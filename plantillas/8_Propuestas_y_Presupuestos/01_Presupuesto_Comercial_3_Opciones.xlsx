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ALCANCE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AYUDA" sheetId="5" state="visible" r:id="rId5"/>
  </sheets>
  <definedNames>
    <definedName name="_xlnm.Print_Titles" localSheetId="1">'PRESUPUESTO'!$11:$11</definedName>
    <definedName name="_xlnm.Print_Titles" localSheetId="2">'ALCANCE'!$4:$4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0B2A4A"/>
      <sz val="10"/>
    </font>
    <font>
      <name val="Arial"/>
      <i val="1"/>
      <color rgb="005B6B78"/>
      <sz val="9"/>
    </font>
    <font>
      <name val="Arial"/>
      <b val="1"/>
      <color rgb="00FFFFFF"/>
    </font>
    <font>
      <name val="Arial"/>
      <b val="1"/>
      <color rgb="00FFFFFF"/>
      <sz val="10"/>
    </font>
    <font>
      <name val="Arial"/>
      <b val="1"/>
      <color rgb="000B2A4A"/>
      <sz val="9"/>
    </font>
    <font>
      <name val="Arial"/>
      <b val="1"/>
      <color rgb="000B2A4A"/>
      <sz val="11"/>
    </font>
    <font>
      <name val="Arial"/>
      <b val="1"/>
      <color rgb="00FFFFFF"/>
      <sz val="13"/>
    </font>
    <font>
      <name val="Arial"/>
      <b val="1"/>
      <color rgb="005B6B78"/>
      <sz val="9"/>
    </font>
    <font>
      <name val="Arial"/>
      <b val="1"/>
      <color rgb="000B2A4A"/>
    </font>
    <font>
      <name val="Arial"/>
      <b val="1"/>
      <color rgb="000E7C8B"/>
      <sz val="9"/>
    </font>
    <font>
      <name val="Arial"/>
      <b val="1"/>
      <color rgb="000B2A4A"/>
      <sz val="24"/>
    </font>
    <font>
      <name val="Arial"/>
      <i val="1"/>
      <color rgb="000B2A4A"/>
      <sz val="10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10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0E7C8B"/>
      </patternFill>
    </fill>
    <fill>
      <patternFill patternType="solid">
        <fgColor rgb="00EEF2F5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2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ck">
        <color rgb="00C9A227"/>
      </left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3" fillId="2" borderId="0" pivotButton="0" quotePrefix="0" xfId="0"/>
    <xf numFmtId="0" fontId="17" fillId="2" borderId="0" pivotButton="0" quotePrefix="0" xfId="0"/>
    <xf numFmtId="0" fontId="18" fillId="2" borderId="0" applyAlignment="1" pivotButton="0" quotePrefix="0" xfId="0">
      <alignment horizontal="right" vertical="center"/>
    </xf>
    <xf numFmtId="0" fontId="33" fillId="0" borderId="0" pivotButton="0" quotePrefix="0" xfId="0"/>
    <xf numFmtId="0" fontId="19" fillId="2" borderId="0" applyAlignment="1" pivotButton="0" quotePrefix="0" xfId="0">
      <alignment vertical="center" wrapText="1"/>
    </xf>
    <xf numFmtId="0" fontId="20" fillId="2" borderId="0" pivotButton="0" quotePrefix="0" xfId="0"/>
    <xf numFmtId="0" fontId="21" fillId="2" borderId="18" applyAlignment="1" pivotButton="0" quotePrefix="0" xfId="0">
      <alignment horizontal="center" vertical="center"/>
    </xf>
    <xf numFmtId="0" fontId="33" fillId="0" borderId="19" pivotButton="0" quotePrefix="0" xfId="0"/>
    <xf numFmtId="0" fontId="22" fillId="0" borderId="1" pivotButton="0" quotePrefix="0" xfId="0"/>
    <xf numFmtId="0" fontId="33" fillId="0" borderId="1" pivotButton="0" quotePrefix="0" xfId="0"/>
    <xf numFmtId="0" fontId="1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3" fillId="0" borderId="0" pivotButton="0" quotePrefix="0" xfId="0"/>
    <xf numFmtId="0" fontId="5" fillId="0" borderId="20" applyAlignment="1" pivotButton="0" quotePrefix="0" xfId="0">
      <alignment vertical="center"/>
    </xf>
    <xf numFmtId="0" fontId="24" fillId="0" borderId="20" applyAlignment="1" pivotButton="0" quotePrefix="0" xfId="0">
      <alignment vertical="center" wrapText="1"/>
    </xf>
    <xf numFmtId="0" fontId="33" fillId="0" borderId="20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33" fillId="4" borderId="7" applyProtection="1" pivotButton="0" quotePrefix="0" xfId="0">
      <protection locked="0" hidden="0"/>
    </xf>
    <xf numFmtId="0" fontId="27" fillId="0" borderId="0" pivotButton="0" quotePrefix="0" xfId="0"/>
    <xf numFmtId="0" fontId="33" fillId="7" borderId="7" pivotButton="0" quotePrefix="0" xfId="0"/>
    <xf numFmtId="0" fontId="33" fillId="2" borderId="7" pivotButton="0" quotePrefix="0" xfId="0"/>
    <xf numFmtId="0" fontId="33" fillId="8" borderId="7" pivotButton="0" quotePrefix="0" xfId="0"/>
    <xf numFmtId="0" fontId="28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3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3" fillId="0" borderId="2" pivotButton="0" quotePrefix="0" xfId="0"/>
    <xf numFmtId="0" fontId="33" fillId="0" borderId="5" pivotButton="0" quotePrefix="0" xfId="0"/>
    <xf numFmtId="0" fontId="33" fillId="0" borderId="6" pivotButton="0" quotePrefix="0" xfId="0"/>
    <xf numFmtId="0" fontId="4" fillId="3" borderId="7" pivotButton="0" quotePrefix="0" xfId="0"/>
    <xf numFmtId="164" fontId="33" fillId="4" borderId="7" applyProtection="1" pivotButton="0" quotePrefix="0" xfId="0">
      <protection locked="0" hidden="0"/>
    </xf>
    <xf numFmtId="9" fontId="33" fillId="4" borderId="7" applyProtection="1" pivotButton="0" quotePrefix="0" xfId="0">
      <protection locked="0" hidden="0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4" borderId="7" applyAlignment="1" applyProtection="1" pivotButton="0" quotePrefix="0" xfId="0">
      <alignment horizontal="center" vertical="center"/>
      <protection locked="0" hidden="0"/>
    </xf>
    <xf numFmtId="0" fontId="7" fillId="5" borderId="8" applyAlignment="1" pivotButton="0" quotePrefix="0" xfId="0">
      <alignment horizontal="center" vertical="center" wrapText="1"/>
    </xf>
    <xf numFmtId="0" fontId="8" fillId="6" borderId="0" applyAlignment="1" pivotButton="0" quotePrefix="0" xfId="0">
      <alignment vertical="center" indent="1"/>
    </xf>
    <xf numFmtId="0" fontId="33" fillId="4" borderId="7" applyAlignment="1" applyProtection="1" pivotButton="0" quotePrefix="0" xfId="0">
      <alignment vertical="center"/>
      <protection locked="0" hidden="0"/>
    </xf>
    <xf numFmtId="165" fontId="33" fillId="4" borderId="7" applyAlignment="1" applyProtection="1" pivotButton="0" quotePrefix="0" xfId="0">
      <alignment vertical="center"/>
      <protection locked="0" hidden="0"/>
    </xf>
    <xf numFmtId="1" fontId="33" fillId="4" borderId="7" applyAlignment="1" applyProtection="1" pivotButton="0" quotePrefix="0" xfId="0">
      <alignment vertical="center"/>
      <protection locked="0" hidden="0"/>
    </xf>
    <xf numFmtId="165" fontId="33" fillId="7" borderId="7" applyAlignment="1" pivotButton="0" quotePrefix="0" xfId="0">
      <alignment vertical="center"/>
    </xf>
    <xf numFmtId="0" fontId="9" fillId="0" borderId="0" applyAlignment="1" pivotButton="0" quotePrefix="0" xfId="0">
      <alignment horizontal="right"/>
    </xf>
    <xf numFmtId="165" fontId="5" fillId="3" borderId="7" pivotButton="0" quotePrefix="0" xfId="0"/>
    <xf numFmtId="0" fontId="5" fillId="0" borderId="0" applyAlignment="1" pivotButton="0" quotePrefix="0" xfId="0">
      <alignment horizontal="right" vertical="center"/>
    </xf>
    <xf numFmtId="9" fontId="33" fillId="4" borderId="7" applyAlignment="1" applyProtection="1" pivotButton="0" quotePrefix="0" xfId="0">
      <alignment vertical="center"/>
      <protection locked="0" hidden="0"/>
    </xf>
    <xf numFmtId="0" fontId="10" fillId="0" borderId="0" applyAlignment="1" pivotButton="0" quotePrefix="0" xfId="0">
      <alignment horizontal="right" vertical="center"/>
    </xf>
    <xf numFmtId="165" fontId="11" fillId="2" borderId="7" applyAlignment="1" pivotButton="0" quotePrefix="0" xfId="0">
      <alignment vertical="center"/>
    </xf>
    <xf numFmtId="0" fontId="7" fillId="6" borderId="0" applyAlignment="1" pivotButton="0" quotePrefix="0" xfId="0">
      <alignment vertical="center" indent="1"/>
    </xf>
    <xf numFmtId="0" fontId="5" fillId="0" borderId="0" pivotButton="0" quotePrefix="0" xfId="0"/>
    <xf numFmtId="165" fontId="33" fillId="7" borderId="7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0" borderId="9" applyAlignment="1" pivotButton="0" quotePrefix="0" xfId="0">
      <alignment horizontal="center" vertical="center" wrapText="1"/>
    </xf>
    <xf numFmtId="0" fontId="33" fillId="0" borderId="10" pivotButton="0" quotePrefix="0" xfId="0"/>
    <xf numFmtId="0" fontId="13" fillId="0" borderId="0" applyAlignment="1" pivotButton="0" quotePrefix="0" xfId="0">
      <alignment horizontal="center"/>
    </xf>
    <xf numFmtId="0" fontId="13" fillId="3" borderId="7" applyAlignment="1" pivotButton="0" quotePrefix="0" xfId="0">
      <alignment vertical="center" wrapText="1"/>
    </xf>
    <xf numFmtId="0" fontId="33" fillId="4" borderId="7" applyAlignment="1" applyProtection="1" pivotButton="0" quotePrefix="0" xfId="0">
      <alignment vertical="top" wrapText="1"/>
      <protection locked="0" hidden="0"/>
    </xf>
    <xf numFmtId="0" fontId="33" fillId="0" borderId="11" pivotButton="0" quotePrefix="0" xfId="0"/>
    <xf numFmtId="0" fontId="33" fillId="0" borderId="12" pivotButton="0" quotePrefix="0" xfId="0"/>
    <xf numFmtId="0" fontId="14" fillId="3" borderId="13" applyAlignment="1" pivotButton="0" quotePrefix="0" xfId="0">
      <alignment horizontal="center" vertical="center"/>
    </xf>
    <xf numFmtId="0" fontId="33" fillId="3" borderId="14" pivotButton="0" quotePrefix="0" xfId="0"/>
    <xf numFmtId="49" fontId="15" fillId="8" borderId="15" applyAlignment="1" pivotButton="0" quotePrefix="0" xfId="0">
      <alignment horizontal="center" vertical="center"/>
    </xf>
    <xf numFmtId="0" fontId="33" fillId="8" borderId="16" pivotButton="0" quotePrefix="0" xfId="0"/>
    <xf numFmtId="165" fontId="15" fillId="8" borderId="15" applyAlignment="1" pivotButton="0" quotePrefix="0" xfId="0">
      <alignment horizontal="center" vertical="center"/>
    </xf>
    <xf numFmtId="0" fontId="16" fillId="9" borderId="17" applyAlignment="1" pivotButton="0" quotePrefix="0" xfId="0">
      <alignment vertical="center" wrapText="1"/>
    </xf>
    <xf numFmtId="0" fontId="33" fillId="0" borderId="7" pivotButton="0" quotePrefix="0" xfId="0"/>
    <xf numFmtId="0" fontId="29" fillId="2" borderId="0" applyAlignment="1" pivotButton="0" quotePrefix="0" xfId="0">
      <alignment vertical="center"/>
    </xf>
    <xf numFmtId="0" fontId="30" fillId="2" borderId="0" pivotButton="0" quotePrefix="0" xfId="0"/>
    <xf numFmtId="0" fontId="5" fillId="0" borderId="21" applyAlignment="1" pivotButton="0" quotePrefix="0" xfId="0">
      <alignment vertical="top" wrapText="1"/>
    </xf>
    <xf numFmtId="0" fontId="24" fillId="0" borderId="21" applyAlignment="1" pivotButton="0" quotePrefix="0" xfId="0">
      <alignment vertical="top" wrapText="1"/>
    </xf>
    <xf numFmtId="0" fontId="31" fillId="0" borderId="21" pivotButton="0" quotePrefix="0" xfId="0"/>
    <xf numFmtId="0" fontId="24" fillId="0" borderId="21" applyAlignment="1" pivotButton="0" quotePrefix="0" xfId="0">
      <alignment vertical="center" wrapText="1"/>
    </xf>
    <xf numFmtId="0" fontId="32" fillId="4" borderId="7" applyAlignment="1" applyProtection="1" pivotButton="0" quotePrefix="0" xfId="0">
      <alignment horizontal="center"/>
      <protection locked="0" hidden="0"/>
    </xf>
    <xf numFmtId="0" fontId="24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0B2A4A"/>
      </font>
      <fill>
        <patternFill patternType="solid">
          <fgColor rgb="00C9A227"/>
          <bgColor rgb="00C9A227"/>
        </patternFill>
      </fill>
    </dxf>
    <dxf>
      <font>
        <name val="Arial"/>
        <b val="1"/>
        <color rgb="000B2A4A"/>
        <sz val="13"/>
      </font>
      <fill>
        <patternFill patternType="solid">
          <fgColor rgb="00C9A227"/>
          <bgColor rgb="00C9A227"/>
        </patternFill>
      </fill>
    </dxf>
    <dxf>
      <fill>
        <patternFill patternType="solid">
          <fgColor rgb="00FFF4CC"/>
          <bgColor rgb="00FFF4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por fase y opción (sin IVA)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2A6FBA"/>
            </a:solidFill>
            <a:ln xmlns:a="http://schemas.openxmlformats.org/drawingml/2006/main">
              <a:solidFill>
                <a:srgbClr val="2A6FBA"/>
              </a:solidFill>
              <a:prstDash val="solid"/>
            </a:ln>
          </spPr>
          <cat>
            <numRef>
              <f>'RESUMEN'!$B$26:$B$28</f>
            </numRef>
          </cat>
          <val>
            <numRef>
              <f>'RESUMEN'!$C$26:$C$28</f>
            </numRef>
          </val>
        </ser>
        <ser>
          <idx val="1"/>
          <order val="1"/>
          <tx>
            <strRef>
              <f>'RESUMEN'!D25</f>
            </strRef>
          </tx>
          <spPr>
            <a:solidFill xmlns:a="http://schemas.openxmlformats.org/drawingml/2006/main">
              <a:srgbClr val="12A0A8"/>
            </a:solidFill>
            <a:ln xmlns:a="http://schemas.openxmlformats.org/drawingml/2006/main">
              <a:solidFill>
                <a:srgbClr val="12A0A8"/>
              </a:solidFill>
              <a:prstDash val="solid"/>
            </a:ln>
          </spPr>
          <cat>
            <numRef>
              <f>'RESUMEN'!$B$26:$B$28</f>
            </numRef>
          </cat>
          <val>
            <numRef>
              <f>'RESUMEN'!$D$26:$D$28</f>
            </numRef>
          </val>
        </ser>
        <ser>
          <idx val="2"/>
          <order val="2"/>
          <tx>
            <strRef>
              <f>'RESUMEN'!E25</f>
            </strRef>
          </tx>
          <spPr>
            <a:solidFill xmlns:a="http://schemas.openxmlformats.org/drawingml/2006/main">
              <a:srgbClr val="E69F00"/>
            </a:solidFill>
            <a:ln xmlns:a="http://schemas.openxmlformats.org/drawingml/2006/main">
              <a:solidFill>
                <a:srgbClr val="E69F00"/>
              </a:solidFill>
              <a:prstDash val="solid"/>
            </a:ln>
          </spPr>
          <cat>
            <numRef>
              <f>'RESUMEN'!$B$26:$B$28</f>
            </numRef>
          </cat>
          <val>
            <numRef>
              <f>'RESUMEN'!$E$26:$E$28</f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8ED"/>
              </a:solidFill>
              <a:prstDash val="solid"/>
            </a:ln>
          </spPr>
        </majorGridlines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84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ESUPUESTO'!A1" TargetMode="External" Id="rId1"/><Relationship Type="http://schemas.openxmlformats.org/officeDocument/2006/relationships/hyperlink" Target="#'ALCANCE'!A1" TargetMode="External" Id="rId2"/><Relationship Type="http://schemas.openxmlformats.org/officeDocument/2006/relationships/hyperlink" Target="#'RESUMEN'!A1" TargetMode="External" Id="rId3"/><Relationship Type="http://schemas.openxmlformats.org/officeDocument/2006/relationships/hyperlink" Target="#'AYUDA'!A1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PRESUPUESTO COMERCIAL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21" customHeight="1">
      <c r="A16" s="4" t="n"/>
      <c r="B16" s="11" t="inlineStr">
        <is>
          <t>▸</t>
        </is>
      </c>
      <c r="C16" s="12" t="inlineStr">
        <is>
          <t>PRESUPUESTO</t>
        </is>
      </c>
      <c r="D16" s="13" t="inlineStr"/>
      <c r="E16" s="4" t="n"/>
      <c r="F16" s="4" t="n"/>
      <c r="G16" s="4" t="n"/>
    </row>
    <row r="17" ht="21" customHeight="1">
      <c r="A17" s="4" t="n"/>
      <c r="B17" s="11" t="inlineStr">
        <is>
          <t>▸</t>
        </is>
      </c>
      <c r="C17" s="12" t="inlineStr">
        <is>
          <t>ALCANCE</t>
        </is>
      </c>
      <c r="D17" s="13" t="inlineStr"/>
      <c r="E17" s="4" t="n"/>
      <c r="F17" s="4" t="n"/>
      <c r="G17" s="4" t="n"/>
    </row>
    <row r="18" ht="36" customHeight="1">
      <c r="A18" s="4" t="n"/>
      <c r="B18" s="11" t="inlineStr">
        <is>
          <t>▸</t>
        </is>
      </c>
      <c r="C18" s="12" t="inlineStr">
        <is>
          <t>RESUMEN</t>
        </is>
      </c>
      <c r="D18" s="13" t="inlineStr">
        <is>
          <t>Tablero con indicadores y gráficas que se actualizan automáticamente con tus datos.</t>
        </is>
      </c>
      <c r="E18" s="4" t="n"/>
      <c r="F18" s="4" t="n"/>
      <c r="G18" s="4" t="n"/>
    </row>
    <row r="19" ht="21" customHeight="1">
      <c r="A19" s="4" t="n"/>
      <c r="B19" s="11" t="inlineStr">
        <is>
          <t>▸</t>
        </is>
      </c>
      <c r="C19" s="14" t="inlineStr">
        <is>
          <t>AYUDA</t>
        </is>
      </c>
      <c r="D19" s="13" t="inlineStr">
        <is>
          <t>Preguntas frecuentes, glosario y lista de verificación para cerrar tu periodo.</t>
        </is>
      </c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 ht="24" customHeight="1">
      <c r="A21" s="4" t="n"/>
      <c r="B21" s="9" t="inlineStr">
        <is>
          <t>FICHA TÉCNICA</t>
        </is>
      </c>
      <c r="C21" s="10" t="n"/>
      <c r="D21" s="10" t="n"/>
      <c r="E21" s="10" t="n"/>
      <c r="F21" s="10" t="n"/>
      <c r="G21" s="4" t="n"/>
    </row>
    <row r="22" ht="21" customHeight="1">
      <c r="A22" s="4" t="n"/>
      <c r="B22" s="4" t="n"/>
      <c r="C22" s="15" t="inlineStr">
        <is>
          <t>Capacidad</t>
        </is>
      </c>
      <c r="D22" s="16" t="inlineStr">
        <is>
          <t>3 opciones · 3 fases · hasta 17 conceptos</t>
        </is>
      </c>
      <c r="E22" s="17" t="n"/>
      <c r="F22" s="17" t="n"/>
      <c r="G22" s="4" t="n"/>
    </row>
    <row r="23" ht="21" customHeight="1">
      <c r="A23" s="4" t="n"/>
      <c r="B23" s="4" t="n"/>
      <c r="C23" s="15" t="inlineStr">
        <is>
          <t>Compatibilidad</t>
        </is>
      </c>
      <c r="D23" s="16" t="inlineStr">
        <is>
          <t>Excel 2016, 2019, 2021 y Microsoft 365 (Windows y Mac)</t>
        </is>
      </c>
      <c r="E23" s="17" t="n"/>
      <c r="F23" s="17" t="n"/>
      <c r="G23" s="4" t="n"/>
    </row>
    <row r="24" ht="21" customHeight="1">
      <c r="A24" s="4" t="n"/>
      <c r="B24" s="4" t="n"/>
      <c r="C24" s="15" t="inlineStr">
        <is>
          <t>Idioma y moneda</t>
        </is>
      </c>
      <c r="D24" s="16" t="inlineStr">
        <is>
          <t>Español (México) · Pesos mexicanos (MXN) · IVA 16%</t>
        </is>
      </c>
      <c r="E24" s="17" t="n"/>
      <c r="F24" s="17" t="n"/>
      <c r="G24" s="4" t="n"/>
    </row>
    <row r="25" ht="21" customHeight="1">
      <c r="A25" s="4" t="n"/>
      <c r="B25" s="4" t="n"/>
      <c r="C25" s="15" t="inlineStr">
        <is>
          <t>Protección</t>
        </is>
      </c>
      <c r="D25" s="16" t="inlineStr">
        <is>
          <t>Hojas protegidas sin contraseña (Revisar &gt; Desproteger hoja)</t>
        </is>
      </c>
      <c r="E25" s="17" t="n"/>
      <c r="F25" s="17" t="n"/>
      <c r="G25" s="4" t="n"/>
    </row>
    <row r="26" ht="21" customHeight="1">
      <c r="A26" s="4" t="n"/>
      <c r="B26" s="4" t="n"/>
      <c r="C26" s="15" t="inlineStr">
        <is>
          <t>Fuente</t>
        </is>
      </c>
      <c r="D26" s="16" t="inlineStr">
        <is>
          <t>Arial (disponible en Windows, Mac y Google Sheets)</t>
        </is>
      </c>
      <c r="E26" s="17" t="n"/>
      <c r="F26" s="17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 ht="24" customHeight="1">
      <c r="A28" s="4" t="n"/>
      <c r="B28" s="9" t="inlineStr">
        <is>
          <t>CÓMO USARLO</t>
        </is>
      </c>
      <c r="C28" s="10" t="n"/>
      <c r="D28" s="10" t="n"/>
      <c r="E28" s="10" t="n"/>
      <c r="F28" s="10" t="n"/>
      <c r="G28" s="4" t="n"/>
    </row>
    <row r="29" ht="36" customHeight="1">
      <c r="A29" s="4" t="n"/>
      <c r="B29" s="18" t="n">
        <v>1</v>
      </c>
      <c r="C29" s="13" t="inlineStr">
        <is>
          <t>Captura cliente, proyecto, fecha y elige la OPCIÓN RECOMENDADA (celda B7): se resalta en dorado en todo el libro.</t>
        </is>
      </c>
      <c r="D29" s="4" t="n"/>
      <c r="E29" s="4" t="n"/>
      <c r="F29" s="4" t="n"/>
      <c r="G29" s="4" t="n"/>
    </row>
    <row r="30" ht="36" customHeight="1">
      <c r="A30" s="4" t="n"/>
      <c r="B30" s="18" t="n">
        <v>2</v>
      </c>
      <c r="C30" s="13" t="inlineStr">
        <is>
          <t>En cada fase escribe clave, concepto, tipo (directo/indirecto), precio unitario y la cantidad que incluye cada opción; cantidad 0 = no incluye.</t>
        </is>
      </c>
      <c r="D30" s="4" t="n"/>
      <c r="E30" s="4" t="n"/>
      <c r="F30" s="4" t="n"/>
      <c r="G30" s="4" t="n"/>
    </row>
    <row r="31" ht="36" customHeight="1">
      <c r="A31" s="4" t="n"/>
      <c r="B31" s="18" t="n">
        <v>3</v>
      </c>
      <c r="C31" s="13" t="inlineStr">
        <is>
          <t>Captura descuento (%) y duración en semanas por opción; el IVA, el total y la inversión por semana se calculan solos.</t>
        </is>
      </c>
      <c r="D31" s="4" t="n"/>
      <c r="E31" s="4" t="n"/>
      <c r="F31" s="4" t="n"/>
      <c r="G31" s="4" t="n"/>
    </row>
    <row r="32" ht="21" customHeight="1">
      <c r="A32" s="4" t="n"/>
      <c r="B32" s="18" t="n">
        <v>4</v>
      </c>
      <c r="C32" s="13" t="inlineStr">
        <is>
          <t>Ajusta el cronograma de pagos; la celda de verificación confirma que suma 100%.</t>
        </is>
      </c>
      <c r="D32" s="4" t="n"/>
      <c r="E32" s="4" t="n"/>
      <c r="F32" s="4" t="n"/>
      <c r="G32" s="4" t="n"/>
    </row>
    <row r="33" ht="36" customHeight="1">
      <c r="A33" s="4" t="n"/>
      <c r="B33" s="18" t="n">
        <v>5</v>
      </c>
      <c r="C33" s="13" t="inlineStr">
        <is>
          <t>Redacta alcance, entregables, beneficios, exclusiones y condiciones en la hoja ALCANCE y revisa el ANÁLISIS DE VALOR antes de enviar.</t>
        </is>
      </c>
      <c r="D33" s="4" t="n"/>
      <c r="E33" s="4" t="n"/>
      <c r="F33" s="4" t="n"/>
      <c r="G33" s="4" t="n"/>
    </row>
    <row r="34" ht="36" customHeight="1">
      <c r="A34" s="4" t="n"/>
      <c r="B34" s="18" t="n">
        <v>6</v>
      </c>
      <c r="C34" s="13" t="inlineStr">
        <is>
          <t>Personaliza: inserta tu logotipo en el recuadro punteado de la esquina superior derecha (Insertar &gt; Imágenes) y captura los datos de tu empresa en las celdas de captura.</t>
        </is>
      </c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 ht="24" customHeight="1">
      <c r="A36" s="4" t="n"/>
      <c r="B36" s="9" t="inlineStr">
        <is>
          <t>RECOMENDACIONES DE USO</t>
        </is>
      </c>
      <c r="C36" s="10" t="n"/>
      <c r="D36" s="10" t="n"/>
      <c r="E36" s="10" t="n"/>
      <c r="F36" s="10" t="n"/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Presenta siempre tres opciones: la del medio suele ser la recomendada y ancla la decisión del cliente.</t>
        </is>
      </c>
      <c r="D37" s="4" t="n"/>
      <c r="E37" s="4" t="n"/>
      <c r="F37" s="4" t="n"/>
      <c r="G37" s="4" t="n"/>
    </row>
    <row r="38" ht="36" customHeight="1">
      <c r="A38" s="4" t="n"/>
      <c r="B38" s="19" t="inlineStr">
        <is>
          <t>✓</t>
        </is>
      </c>
      <c r="C38" s="13" t="inlineStr">
        <is>
          <t>Cada opción debe diferenciarse por alcance, no solo por precio: más entregables, más control, más acompañamiento.</t>
        </is>
      </c>
      <c r="D38" s="4" t="n"/>
      <c r="E38" s="4" t="n"/>
      <c r="F38" s="4" t="n"/>
      <c r="G38" s="4" t="n"/>
    </row>
    <row r="39" ht="21" customHeight="1">
      <c r="A39" s="4" t="n"/>
      <c r="B39" s="19" t="inlineStr">
        <is>
          <t>✓</t>
        </is>
      </c>
      <c r="C39" s="13" t="inlineStr">
        <is>
          <t>Marca la opción recomendada en la celda B7 del PRESUPUESTO: se resalta sola en dorado.</t>
        </is>
      </c>
      <c r="D39" s="4" t="n"/>
      <c r="E39" s="4" t="n"/>
      <c r="F39" s="4" t="n"/>
      <c r="G39" s="4" t="n"/>
    </row>
    <row r="40" ht="21" customHeight="1">
      <c r="A40" s="4" t="n"/>
      <c r="B40" s="19" t="inlineStr">
        <is>
          <t>✓</t>
        </is>
      </c>
      <c r="C40" s="13" t="inlineStr">
        <is>
          <t>Separa costos directos (lo que el cliente ve) de indirectos (gestión, coordinación) para explicar el precio.</t>
        </is>
      </c>
      <c r="D40" s="4" t="n"/>
      <c r="E40" s="4" t="n"/>
      <c r="F40" s="4" t="n"/>
      <c r="G40" s="4" t="n"/>
    </row>
    <row r="41" ht="21" customHeight="1">
      <c r="A41" s="4" t="n"/>
      <c r="B41" s="19" t="inlineStr">
        <is>
          <t>✓</t>
        </is>
      </c>
      <c r="C41" s="13" t="inlineStr">
        <is>
          <t>El cronograma de pagos debe sumar 100%; la celda de verificación te avisa.</t>
        </is>
      </c>
      <c r="D41" s="4" t="n"/>
      <c r="E41" s="4" t="n"/>
      <c r="F41" s="4" t="n"/>
      <c r="G41" s="4" t="n"/>
    </row>
    <row r="42" ht="21" customHeight="1">
      <c r="A42" s="4" t="n"/>
      <c r="B42" s="19" t="inlineStr">
        <is>
          <t>✓</t>
        </is>
      </c>
      <c r="C42" s="13" t="inlineStr">
        <is>
          <t>Envía el presupuesto en PDF junto con la propuesta comercial (Word) y confirma la vigencia.</t>
        </is>
      </c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 ht="24" customHeight="1">
      <c r="A44" s="4" t="n"/>
      <c r="B44" s="9" t="inlineStr">
        <is>
          <t>LEYENDA DE COLORES</t>
        </is>
      </c>
      <c r="C44" s="10" t="n"/>
      <c r="D44" s="10" t="n"/>
      <c r="E44" s="10" t="n"/>
      <c r="F44" s="10" t="n"/>
      <c r="G44" s="4" t="n"/>
    </row>
    <row r="45">
      <c r="A45" s="4" t="n"/>
      <c r="B45" s="20" t="inlineStr"/>
      <c r="C45" s="21" t="inlineStr">
        <is>
          <t>CELDA DE CAPTURA: escribe aquí.</t>
        </is>
      </c>
      <c r="D45" s="4" t="n"/>
      <c r="E45" s="4" t="n"/>
      <c r="F45" s="4" t="n"/>
      <c r="G45" s="4" t="n"/>
    </row>
    <row r="46">
      <c r="A46" s="4" t="n"/>
      <c r="B46" s="22" t="inlineStr"/>
      <c r="C46" s="21" t="inlineStr">
        <is>
          <t>CÁLCULO AUTOMÁTICO: no la modifiques.</t>
        </is>
      </c>
      <c r="D46" s="4" t="n"/>
      <c r="E46" s="4" t="n"/>
      <c r="F46" s="4" t="n"/>
      <c r="G46" s="4" t="n"/>
    </row>
    <row r="47">
      <c r="A47" s="4" t="n"/>
      <c r="B47" s="23" t="inlineStr"/>
      <c r="C47" s="21" t="inlineStr">
        <is>
          <t>ENCABEZADOS Y TÍTULOS.</t>
        </is>
      </c>
      <c r="D47" s="4" t="n"/>
      <c r="E47" s="4" t="n"/>
      <c r="F47" s="4" t="n"/>
      <c r="G47" s="4" t="n"/>
    </row>
    <row r="48">
      <c r="A48" s="4" t="n"/>
      <c r="B48" s="24" t="inlineStr"/>
      <c r="C48" s="21" t="inlineStr">
        <is>
          <t>* CAMPO OBLIGATORIO: complétalo antes de imprimir o enviar.</t>
        </is>
      </c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 ht="26" customHeight="1">
      <c r="A50" s="1" t="n"/>
      <c r="B50" s="25" t="inlineStr">
        <is>
          <t>Formatos administrativos  ·  Para uso interno de tu empresa</t>
        </is>
      </c>
      <c r="C50" s="4" t="n"/>
      <c r="D50" s="4" t="n"/>
      <c r="E50" s="4" t="n"/>
      <c r="F50" s="4" t="n"/>
      <c r="G50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5">
    <mergeCell ref="C39:F39"/>
    <mergeCell ref="C38:F38"/>
    <mergeCell ref="D17:F17"/>
    <mergeCell ref="C32:F32"/>
    <mergeCell ref="C37:F37"/>
    <mergeCell ref="D16:F16"/>
    <mergeCell ref="C34:F34"/>
    <mergeCell ref="D18:F18"/>
    <mergeCell ref="C30:F30"/>
    <mergeCell ref="C33:F33"/>
    <mergeCell ref="D25:F25"/>
    <mergeCell ref="C42:F42"/>
    <mergeCell ref="B4:F5"/>
    <mergeCell ref="D24:F24"/>
    <mergeCell ref="D23:F23"/>
    <mergeCell ref="E2:F2"/>
    <mergeCell ref="C29:F29"/>
    <mergeCell ref="D26:F26"/>
    <mergeCell ref="C41:F41"/>
    <mergeCell ref="C40:F40"/>
    <mergeCell ref="D19:F19"/>
    <mergeCell ref="C31:F31"/>
    <mergeCell ref="B6:F6"/>
    <mergeCell ref="D22:F22"/>
    <mergeCell ref="B50:F50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J51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4" customWidth="1" min="2" max="2"/>
    <col width="12" customWidth="1" min="3" max="3"/>
    <col width="15" customWidth="1" min="4" max="4"/>
    <col width="19.25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44" customHeight="1">
      <c r="A1" s="26" t="inlineStr">
        <is>
          <t>PRESUPUESTO COMERCIAL · TRES OPCIONES</t>
        </is>
      </c>
      <c r="B1" s="1" t="n"/>
      <c r="C1" s="1" t="n"/>
      <c r="D1" s="1" t="n"/>
      <c r="E1" s="1" t="n"/>
      <c r="F1" s="1" t="n"/>
      <c r="G1" s="1" t="n"/>
      <c r="H1" s="1" t="n"/>
      <c r="I1" s="27" t="inlineStr">
        <is>
          <t>INSERTE SU LOGO
(clic derecho &gt; Insertar imagen)</t>
        </is>
      </c>
      <c r="J1" s="28" t="n"/>
    </row>
    <row r="2" ht="26" customHeight="1">
      <c r="A2" s="29" t="inlineStr">
        <is>
          <t>Esencial, profesional y estratégico: inversión, alcance y condiciones</t>
        </is>
      </c>
      <c r="B2" s="30" t="n"/>
      <c r="C2" s="30" t="n"/>
      <c r="D2" s="30" t="n"/>
      <c r="E2" s="30" t="n"/>
      <c r="F2" s="30" t="n"/>
      <c r="G2" s="30" t="n"/>
      <c r="H2" s="30" t="n"/>
      <c r="I2" s="31" t="n"/>
      <c r="J2" s="3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33" t="inlineStr">
        <is>
          <t>CLIENTE *</t>
        </is>
      </c>
      <c r="B4" s="20" t="n"/>
      <c r="C4" s="20" t="n"/>
      <c r="D4" s="20" t="n"/>
      <c r="E4" s="33" t="inlineStr">
        <is>
          <t>FOLIO *</t>
        </is>
      </c>
      <c r="F4" s="20" t="n"/>
      <c r="G4" s="20" t="n"/>
      <c r="H4" s="4" t="n"/>
      <c r="I4" s="4" t="n"/>
      <c r="J4" s="4" t="n"/>
    </row>
    <row r="5">
      <c r="A5" s="33" t="inlineStr">
        <is>
          <t>PROYECTO</t>
        </is>
      </c>
      <c r="B5" s="20" t="n"/>
      <c r="C5" s="20" t="n"/>
      <c r="D5" s="20" t="n"/>
      <c r="E5" s="33" t="inlineStr">
        <is>
          <t>FECHA *</t>
        </is>
      </c>
      <c r="F5" s="34" t="n"/>
      <c r="G5" s="20" t="n"/>
      <c r="H5" s="4" t="n"/>
      <c r="I5" s="4" t="n"/>
      <c r="J5" s="4" t="n"/>
    </row>
    <row r="6">
      <c r="A6" s="33" t="inlineStr">
        <is>
          <t>ELABORÓ</t>
        </is>
      </c>
      <c r="B6" s="20" t="n"/>
      <c r="C6" s="20" t="n"/>
      <c r="D6" s="20" t="n"/>
      <c r="E6" s="33" t="inlineStr">
        <is>
          <t>VIGENCIA (DÍAS)</t>
        </is>
      </c>
      <c r="F6" s="20" t="n">
        <v>15</v>
      </c>
      <c r="G6" s="20" t="n"/>
      <c r="H6" s="4" t="n"/>
      <c r="I6" s="4" t="n"/>
      <c r="J6" s="4" t="n"/>
    </row>
    <row r="7">
      <c r="A7" s="33" t="inlineStr">
        <is>
          <t>OPCIÓN RECOMENDADA</t>
        </is>
      </c>
      <c r="B7" s="20" t="inlineStr">
        <is>
          <t>PROFESIONAL</t>
        </is>
      </c>
      <c r="C7" s="20" t="n"/>
      <c r="D7" s="20" t="n"/>
      <c r="E7" s="33" t="inlineStr">
        <is>
          <t>IVA</t>
        </is>
      </c>
      <c r="F7" s="35" t="n">
        <v>0.16</v>
      </c>
      <c r="G7" s="20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22" customHeight="1">
      <c r="A9" s="36" t="inlineStr">
        <is>
          <t>Marca con * lo obligatorio. Captura cantidad 0 en las opciones que NO incluyen un concepto.</t>
        </is>
      </c>
      <c r="B9" s="4" t="n"/>
      <c r="C9" s="4" t="n"/>
      <c r="D9" s="4" t="n"/>
      <c r="E9" s="4" t="n"/>
      <c r="F9" s="4" t="n"/>
      <c r="G9" s="4" t="n"/>
      <c r="H9" s="37">
        <f>IF($B$7=H$11,"★ RECOMENDADA","")</f>
        <v/>
      </c>
      <c r="I9" s="37">
        <f>IF($B$7=I$11,"★ RECOMENDADA","")</f>
        <v/>
      </c>
      <c r="J9" s="37">
        <f>IF($B$7=J$11,"★ RECOMENDADA","")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38" t="inlineStr">
        <is>
          <t>PARA EMPEZAR</t>
        </is>
      </c>
      <c r="I10" s="38" t="inlineStr">
        <is>
          <t>EL MÁS ELEGIDO</t>
        </is>
      </c>
      <c r="J10" s="38" t="inlineStr">
        <is>
          <t>MÁXIMO CONTROL</t>
        </is>
      </c>
    </row>
    <row r="11" ht="34" customHeight="1">
      <c r="A11" s="39" t="inlineStr">
        <is>
          <t>CLAVE</t>
        </is>
      </c>
      <c r="B11" s="39" t="inlineStr">
        <is>
          <t>CONCEPTO</t>
        </is>
      </c>
      <c r="C11" s="39" t="inlineStr">
        <is>
          <t>TIPO</t>
        </is>
      </c>
      <c r="D11" s="39" t="inlineStr">
        <is>
          <t>PRECIO UNITARIO</t>
        </is>
      </c>
      <c r="E11" s="39" t="inlineStr">
        <is>
          <t>CANT. ESENCIAL</t>
        </is>
      </c>
      <c r="F11" s="39" t="inlineStr">
        <is>
          <t>CANT. PROFESIONAL</t>
        </is>
      </c>
      <c r="G11" s="39" t="inlineStr">
        <is>
          <t>CANT. ESTRATÉGICO</t>
        </is>
      </c>
      <c r="H11" s="39" t="inlineStr">
        <is>
          <t>ESENCIAL</t>
        </is>
      </c>
      <c r="I11" s="39" t="inlineStr">
        <is>
          <t>PROFESIONAL</t>
        </is>
      </c>
      <c r="J11" s="39" t="inlineStr">
        <is>
          <t>ESTRATÉGICO</t>
        </is>
      </c>
    </row>
    <row r="12" ht="22" customHeight="1">
      <c r="A12" s="40" t="inlineStr">
        <is>
          <t>FASE 1 · ORDENAR (DIAGNÓSTICO)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20" customHeight="1">
      <c r="A13" s="41" t="n"/>
      <c r="B13" s="41" t="n"/>
      <c r="C13" s="41" t="n"/>
      <c r="D13" s="42" t="n"/>
      <c r="E13" s="43" t="n"/>
      <c r="F13" s="43" t="n"/>
      <c r="G13" s="43" t="n"/>
      <c r="H13" s="44">
        <f>IF(OR($D13="",E13=""),"",$D13*E13)</f>
        <v/>
      </c>
      <c r="I13" s="44">
        <f>IF(OR($D13="",F13=""),"",$D13*F13)</f>
        <v/>
      </c>
      <c r="J13" s="44">
        <f>IF(OR($D13="",G13=""),"",$D13*G13)</f>
        <v/>
      </c>
    </row>
    <row r="14" ht="20" customHeight="1">
      <c r="A14" s="41" t="n"/>
      <c r="B14" s="41" t="n"/>
      <c r="C14" s="41" t="n"/>
      <c r="D14" s="42" t="n"/>
      <c r="E14" s="43" t="n"/>
      <c r="F14" s="43" t="n"/>
      <c r="G14" s="43" t="n"/>
      <c r="H14" s="44">
        <f>IF(OR($D14="",E14=""),"",$D14*E14)</f>
        <v/>
      </c>
      <c r="I14" s="44">
        <f>IF(OR($D14="",F14=""),"",$D14*F14)</f>
        <v/>
      </c>
      <c r="J14" s="44">
        <f>IF(OR($D14="",G14=""),"",$D14*G14)</f>
        <v/>
      </c>
    </row>
    <row r="15" ht="20" customHeight="1">
      <c r="A15" s="41" t="n"/>
      <c r="B15" s="41" t="n"/>
      <c r="C15" s="41" t="n"/>
      <c r="D15" s="42" t="n"/>
      <c r="E15" s="43" t="n"/>
      <c r="F15" s="43" t="n"/>
      <c r="G15" s="43" t="n"/>
      <c r="H15" s="44">
        <f>IF(OR($D15="",E15=""),"",$D15*E15)</f>
        <v/>
      </c>
      <c r="I15" s="44">
        <f>IF(OR($D15="",F15=""),"",$D15*F15)</f>
        <v/>
      </c>
      <c r="J15" s="44">
        <f>IF(OR($D15="",G15=""),"",$D15*G15)</f>
        <v/>
      </c>
    </row>
    <row r="16" ht="20" customHeight="1">
      <c r="A16" s="41" t="n"/>
      <c r="B16" s="41" t="n"/>
      <c r="C16" s="41" t="n"/>
      <c r="D16" s="42" t="n"/>
      <c r="E16" s="43" t="n"/>
      <c r="F16" s="43" t="n"/>
      <c r="G16" s="43" t="n"/>
      <c r="H16" s="44">
        <f>IF(OR($D16="",E16=""),"",$D16*E16)</f>
        <v/>
      </c>
      <c r="I16" s="44">
        <f>IF(OR($D16="",F16=""),"",$D16*F16)</f>
        <v/>
      </c>
      <c r="J16" s="44">
        <f>IF(OR($D16="",G16=""),"",$D16*G16)</f>
        <v/>
      </c>
    </row>
    <row r="17" ht="20" customHeight="1">
      <c r="A17" s="41" t="n"/>
      <c r="B17" s="41" t="n"/>
      <c r="C17" s="41" t="n"/>
      <c r="D17" s="42" t="n"/>
      <c r="E17" s="43" t="n"/>
      <c r="F17" s="43" t="n"/>
      <c r="G17" s="43" t="n"/>
      <c r="H17" s="44">
        <f>IF(OR($D17="",E17=""),"",$D17*E17)</f>
        <v/>
      </c>
      <c r="I17" s="44">
        <f>IF(OR($D17="",F17=""),"",$D17*F17)</f>
        <v/>
      </c>
      <c r="J17" s="44">
        <f>IF(OR($D17="",G17=""),"",$D17*G17)</f>
        <v/>
      </c>
    </row>
    <row r="18" ht="20" customHeight="1">
      <c r="A18" s="41" t="n"/>
      <c r="B18" s="41" t="n"/>
      <c r="C18" s="41" t="n"/>
      <c r="D18" s="42" t="n"/>
      <c r="E18" s="43" t="n"/>
      <c r="F18" s="43" t="n"/>
      <c r="G18" s="43" t="n"/>
      <c r="H18" s="44">
        <f>IF(OR($D18="",E18=""),"",$D18*E18)</f>
        <v/>
      </c>
      <c r="I18" s="44">
        <f>IF(OR($D18="",F18=""),"",$D18*F18)</f>
        <v/>
      </c>
      <c r="J18" s="44">
        <f>IF(OR($D18="",G18=""),"",$D18*G18)</f>
        <v/>
      </c>
    </row>
    <row r="19">
      <c r="A19" s="4" t="n"/>
      <c r="B19" s="45" t="inlineStr">
        <is>
          <t>SUBTOTAL FASE 1</t>
        </is>
      </c>
      <c r="C19" s="4" t="n"/>
      <c r="D19" s="4" t="n"/>
      <c r="E19" s="4" t="n"/>
      <c r="F19" s="4" t="n"/>
      <c r="G19" s="4" t="n"/>
      <c r="H19" s="46">
        <f>SUM(H13:H18)</f>
        <v/>
      </c>
      <c r="I19" s="46">
        <f>SUM(I13:I18)</f>
        <v/>
      </c>
      <c r="J19" s="46">
        <f>SUM(J13:J18)</f>
        <v/>
      </c>
    </row>
    <row r="20" ht="22" customHeight="1">
      <c r="A20" s="40" t="inlineStr">
        <is>
          <t>FASE 2 · PLANEAR E IMPLEMENTAR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0" customHeight="1">
      <c r="A21" s="41" t="n"/>
      <c r="B21" s="41" t="n"/>
      <c r="C21" s="41" t="n"/>
      <c r="D21" s="42" t="n"/>
      <c r="E21" s="43" t="n"/>
      <c r="F21" s="43" t="n"/>
      <c r="G21" s="43" t="n"/>
      <c r="H21" s="44">
        <f>IF(OR($D21="",E21=""),"",$D21*E21)</f>
        <v/>
      </c>
      <c r="I21" s="44">
        <f>IF(OR($D21="",F21=""),"",$D21*F21)</f>
        <v/>
      </c>
      <c r="J21" s="44">
        <f>IF(OR($D21="",G21=""),"",$D21*G21)</f>
        <v/>
      </c>
    </row>
    <row r="22" ht="20" customHeight="1">
      <c r="A22" s="41" t="n"/>
      <c r="B22" s="41" t="n"/>
      <c r="C22" s="41" t="n"/>
      <c r="D22" s="42" t="n"/>
      <c r="E22" s="43" t="n"/>
      <c r="F22" s="43" t="n"/>
      <c r="G22" s="43" t="n"/>
      <c r="H22" s="44">
        <f>IF(OR($D22="",E22=""),"",$D22*E22)</f>
        <v/>
      </c>
      <c r="I22" s="44">
        <f>IF(OR($D22="",F22=""),"",$D22*F22)</f>
        <v/>
      </c>
      <c r="J22" s="44">
        <f>IF(OR($D22="",G22=""),"",$D22*G22)</f>
        <v/>
      </c>
    </row>
    <row r="23" ht="20" customHeight="1">
      <c r="A23" s="41" t="n"/>
      <c r="B23" s="41" t="n"/>
      <c r="C23" s="41" t="n"/>
      <c r="D23" s="42" t="n"/>
      <c r="E23" s="43" t="n"/>
      <c r="F23" s="43" t="n"/>
      <c r="G23" s="43" t="n"/>
      <c r="H23" s="44">
        <f>IF(OR($D23="",E23=""),"",$D23*E23)</f>
        <v/>
      </c>
      <c r="I23" s="44">
        <f>IF(OR($D23="",F23=""),"",$D23*F23)</f>
        <v/>
      </c>
      <c r="J23" s="44">
        <f>IF(OR($D23="",G23=""),"",$D23*G23)</f>
        <v/>
      </c>
    </row>
    <row r="24" ht="20" customHeight="1">
      <c r="A24" s="41" t="n"/>
      <c r="B24" s="41" t="n"/>
      <c r="C24" s="41" t="n"/>
      <c r="D24" s="42" t="n"/>
      <c r="E24" s="43" t="n"/>
      <c r="F24" s="43" t="n"/>
      <c r="G24" s="43" t="n"/>
      <c r="H24" s="44">
        <f>IF(OR($D24="",E24=""),"",$D24*E24)</f>
        <v/>
      </c>
      <c r="I24" s="44">
        <f>IF(OR($D24="",F24=""),"",$D24*F24)</f>
        <v/>
      </c>
      <c r="J24" s="44">
        <f>IF(OR($D24="",G24=""),"",$D24*G24)</f>
        <v/>
      </c>
    </row>
    <row r="25" ht="20" customHeight="1">
      <c r="A25" s="41" t="n"/>
      <c r="B25" s="41" t="n"/>
      <c r="C25" s="41" t="n"/>
      <c r="D25" s="42" t="n"/>
      <c r="E25" s="43" t="n"/>
      <c r="F25" s="43" t="n"/>
      <c r="G25" s="43" t="n"/>
      <c r="H25" s="44">
        <f>IF(OR($D25="",E25=""),"",$D25*E25)</f>
        <v/>
      </c>
      <c r="I25" s="44">
        <f>IF(OR($D25="",F25=""),"",$D25*F25)</f>
        <v/>
      </c>
      <c r="J25" s="44">
        <f>IF(OR($D25="",G25=""),"",$D25*G25)</f>
        <v/>
      </c>
    </row>
    <row r="26" ht="20" customHeight="1">
      <c r="A26" s="41" t="n"/>
      <c r="B26" s="41" t="n"/>
      <c r="C26" s="41" t="n"/>
      <c r="D26" s="42" t="n"/>
      <c r="E26" s="43" t="n"/>
      <c r="F26" s="43" t="n"/>
      <c r="G26" s="43" t="n"/>
      <c r="H26" s="44">
        <f>IF(OR($D26="",E26=""),"",$D26*E26)</f>
        <v/>
      </c>
      <c r="I26" s="44">
        <f>IF(OR($D26="",F26=""),"",$D26*F26)</f>
        <v/>
      </c>
      <c r="J26" s="44">
        <f>IF(OR($D26="",G26=""),"",$D26*G26)</f>
        <v/>
      </c>
    </row>
    <row r="27">
      <c r="A27" s="4" t="n"/>
      <c r="B27" s="45" t="inlineStr">
        <is>
          <t>SUBTOTAL FASE 2</t>
        </is>
      </c>
      <c r="C27" s="4" t="n"/>
      <c r="D27" s="4" t="n"/>
      <c r="E27" s="4" t="n"/>
      <c r="F27" s="4" t="n"/>
      <c r="G27" s="4" t="n"/>
      <c r="H27" s="46">
        <f>SUM(H21:H26)</f>
        <v/>
      </c>
      <c r="I27" s="46">
        <f>SUM(I21:I26)</f>
        <v/>
      </c>
      <c r="J27" s="46">
        <f>SUM(J21:J26)</f>
        <v/>
      </c>
    </row>
    <row r="28" ht="22" customHeight="1">
      <c r="A28" s="40" t="inlineStr">
        <is>
          <t>FASE 3 · EJECUTAR Y CERRAR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20" customHeight="1">
      <c r="A29" s="41" t="n"/>
      <c r="B29" s="41" t="n"/>
      <c r="C29" s="41" t="n"/>
      <c r="D29" s="42" t="n"/>
      <c r="E29" s="43" t="n"/>
      <c r="F29" s="43" t="n"/>
      <c r="G29" s="43" t="n"/>
      <c r="H29" s="44">
        <f>IF(OR($D29="",E29=""),"",$D29*E29)</f>
        <v/>
      </c>
      <c r="I29" s="44">
        <f>IF(OR($D29="",F29=""),"",$D29*F29)</f>
        <v/>
      </c>
      <c r="J29" s="44">
        <f>IF(OR($D29="",G29=""),"",$D29*G29)</f>
        <v/>
      </c>
    </row>
    <row r="30" ht="20" customHeight="1">
      <c r="A30" s="41" t="n"/>
      <c r="B30" s="41" t="n"/>
      <c r="C30" s="41" t="n"/>
      <c r="D30" s="42" t="n"/>
      <c r="E30" s="43" t="n"/>
      <c r="F30" s="43" t="n"/>
      <c r="G30" s="43" t="n"/>
      <c r="H30" s="44">
        <f>IF(OR($D30="",E30=""),"",$D30*E30)</f>
        <v/>
      </c>
      <c r="I30" s="44">
        <f>IF(OR($D30="",F30=""),"",$D30*F30)</f>
        <v/>
      </c>
      <c r="J30" s="44">
        <f>IF(OR($D30="",G30=""),"",$D30*G30)</f>
        <v/>
      </c>
    </row>
    <row r="31" ht="20" customHeight="1">
      <c r="A31" s="41" t="n"/>
      <c r="B31" s="41" t="n"/>
      <c r="C31" s="41" t="n"/>
      <c r="D31" s="42" t="n"/>
      <c r="E31" s="43" t="n"/>
      <c r="F31" s="43" t="n"/>
      <c r="G31" s="43" t="n"/>
      <c r="H31" s="44">
        <f>IF(OR($D31="",E31=""),"",$D31*E31)</f>
        <v/>
      </c>
      <c r="I31" s="44">
        <f>IF(OR($D31="",F31=""),"",$D31*F31)</f>
        <v/>
      </c>
      <c r="J31" s="44">
        <f>IF(OR($D31="",G31=""),"",$D31*G31)</f>
        <v/>
      </c>
    </row>
    <row r="32" ht="20" customHeight="1">
      <c r="A32" s="41" t="n"/>
      <c r="B32" s="41" t="n"/>
      <c r="C32" s="41" t="n"/>
      <c r="D32" s="42" t="n"/>
      <c r="E32" s="43" t="n"/>
      <c r="F32" s="43" t="n"/>
      <c r="G32" s="43" t="n"/>
      <c r="H32" s="44">
        <f>IF(OR($D32="",E32=""),"",$D32*E32)</f>
        <v/>
      </c>
      <c r="I32" s="44">
        <f>IF(OR($D32="",F32=""),"",$D32*F32)</f>
        <v/>
      </c>
      <c r="J32" s="44">
        <f>IF(OR($D32="",G32=""),"",$D32*G32)</f>
        <v/>
      </c>
    </row>
    <row r="33" ht="20" customHeight="1">
      <c r="A33" s="41" t="n"/>
      <c r="B33" s="41" t="n"/>
      <c r="C33" s="41" t="n"/>
      <c r="D33" s="42" t="n"/>
      <c r="E33" s="43" t="n"/>
      <c r="F33" s="43" t="n"/>
      <c r="G33" s="43" t="n"/>
      <c r="H33" s="44">
        <f>IF(OR($D33="",E33=""),"",$D33*E33)</f>
        <v/>
      </c>
      <c r="I33" s="44">
        <f>IF(OR($D33="",F33=""),"",$D33*F33)</f>
        <v/>
      </c>
      <c r="J33" s="44">
        <f>IF(OR($D33="",G33=""),"",$D33*G33)</f>
        <v/>
      </c>
    </row>
    <row r="34">
      <c r="A34" s="4" t="n"/>
      <c r="B34" s="45" t="inlineStr">
        <is>
          <t>SUBTOTAL FASE 3</t>
        </is>
      </c>
      <c r="C34" s="4" t="n"/>
      <c r="D34" s="4" t="n"/>
      <c r="E34" s="4" t="n"/>
      <c r="F34" s="4" t="n"/>
      <c r="G34" s="4" t="n"/>
      <c r="H34" s="46">
        <f>SUM(H29:H33)</f>
        <v/>
      </c>
      <c r="I34" s="46">
        <f>SUM(I29:I33)</f>
        <v/>
      </c>
      <c r="J34" s="46">
        <f>SUM(J29:J33)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0" customHeight="1">
      <c r="A36" s="47" t="inlineStr">
        <is>
          <t>COSTOS DIRECTOS</t>
        </is>
      </c>
      <c r="B36" s="4" t="n"/>
      <c r="C36" s="4" t="n"/>
      <c r="D36" s="4" t="n"/>
      <c r="E36" s="4" t="n"/>
      <c r="F36" s="4" t="n"/>
      <c r="G36" s="4" t="n"/>
      <c r="H36" s="44">
        <f>SUMIF($C$12:$C$34,"DIRECTO",H12:H34)</f>
        <v/>
      </c>
      <c r="I36" s="44">
        <f>SUMIF($C$12:$C$34,"DIRECTO",I12:I34)</f>
        <v/>
      </c>
      <c r="J36" s="44">
        <f>SUMIF($C$12:$C$34,"DIRECTO",J12:J34)</f>
        <v/>
      </c>
    </row>
    <row r="37" ht="20" customHeight="1">
      <c r="A37" s="47" t="inlineStr">
        <is>
          <t>COSTOS INDIRECTOS</t>
        </is>
      </c>
      <c r="B37" s="4" t="n"/>
      <c r="C37" s="4" t="n"/>
      <c r="D37" s="4" t="n"/>
      <c r="E37" s="4" t="n"/>
      <c r="F37" s="4" t="n"/>
      <c r="G37" s="4" t="n"/>
      <c r="H37" s="44">
        <f>SUMIF($C$12:$C$34,"INDIRECTO",H12:H34)</f>
        <v/>
      </c>
      <c r="I37" s="44">
        <f>SUMIF($C$12:$C$34,"INDIRECTO",I12:I34)</f>
        <v/>
      </c>
      <c r="J37" s="44">
        <f>SUMIF($C$12:$C$34,"INDIRECTO",J12:J34)</f>
        <v/>
      </c>
    </row>
    <row r="38" ht="20" customHeight="1">
      <c r="A38" s="47" t="inlineStr">
        <is>
          <t>SUBTOTAL</t>
        </is>
      </c>
      <c r="B38" s="4" t="n"/>
      <c r="C38" s="4" t="n"/>
      <c r="D38" s="4" t="n"/>
      <c r="E38" s="4" t="n"/>
      <c r="F38" s="4" t="n"/>
      <c r="G38" s="4" t="n"/>
      <c r="H38" s="44">
        <f>H36+H37</f>
        <v/>
      </c>
      <c r="I38" s="44">
        <f>I36+I37</f>
        <v/>
      </c>
      <c r="J38" s="44">
        <f>J36+J37</f>
        <v/>
      </c>
    </row>
    <row r="39" ht="20" customHeight="1">
      <c r="A39" s="47" t="inlineStr">
        <is>
          <t>DESCUENTO (%)</t>
        </is>
      </c>
      <c r="B39" s="4" t="n"/>
      <c r="C39" s="4" t="n"/>
      <c r="D39" s="4" t="n"/>
      <c r="E39" s="4" t="n"/>
      <c r="F39" s="4" t="n"/>
      <c r="G39" s="4" t="n"/>
      <c r="H39" s="48" t="n">
        <v>0</v>
      </c>
      <c r="I39" s="48" t="n">
        <v>0</v>
      </c>
      <c r="J39" s="48" t="n">
        <v>0</v>
      </c>
    </row>
    <row r="40" ht="20" customHeight="1">
      <c r="A40" s="47" t="inlineStr">
        <is>
          <t>DESCUENTO ($)</t>
        </is>
      </c>
      <c r="B40" s="4" t="n"/>
      <c r="C40" s="4" t="n"/>
      <c r="D40" s="4" t="n"/>
      <c r="E40" s="4" t="n"/>
      <c r="F40" s="4" t="n"/>
      <c r="G40" s="4" t="n"/>
      <c r="H40" s="44">
        <f>H38*H39</f>
        <v/>
      </c>
      <c r="I40" s="44">
        <f>I38*I39</f>
        <v/>
      </c>
      <c r="J40" s="44">
        <f>J38*J39</f>
        <v/>
      </c>
    </row>
    <row r="41" ht="20" customHeight="1">
      <c r="A41" s="47" t="inlineStr">
        <is>
          <t>SUBTOTAL NETO</t>
        </is>
      </c>
      <c r="B41" s="4" t="n"/>
      <c r="C41" s="4" t="n"/>
      <c r="D41" s="4" t="n"/>
      <c r="E41" s="4" t="n"/>
      <c r="F41" s="4" t="n"/>
      <c r="G41" s="4" t="n"/>
      <c r="H41" s="44">
        <f>H38-H40</f>
        <v/>
      </c>
      <c r="I41" s="44">
        <f>I38-I40</f>
        <v/>
      </c>
      <c r="J41" s="44">
        <f>J38-J40</f>
        <v/>
      </c>
    </row>
    <row r="42" ht="20" customHeight="1">
      <c r="A42" s="47" t="inlineStr">
        <is>
          <t>IVA</t>
        </is>
      </c>
      <c r="B42" s="4" t="n"/>
      <c r="C42" s="4" t="n"/>
      <c r="D42" s="4" t="n"/>
      <c r="E42" s="4" t="n"/>
      <c r="F42" s="4" t="n"/>
      <c r="G42" s="4" t="n"/>
      <c r="H42" s="44">
        <f>H41*$F$7</f>
        <v/>
      </c>
      <c r="I42" s="44">
        <f>I41*$F$7</f>
        <v/>
      </c>
      <c r="J42" s="44">
        <f>J41*$F$7</f>
        <v/>
      </c>
    </row>
    <row r="43" ht="30" customHeight="1">
      <c r="A43" s="49" t="inlineStr">
        <is>
          <t>TOTAL DE LA INVERSIÓN</t>
        </is>
      </c>
      <c r="B43" s="4" t="n"/>
      <c r="C43" s="4" t="n"/>
      <c r="D43" s="4" t="n"/>
      <c r="E43" s="4" t="n"/>
      <c r="F43" s="4" t="n"/>
      <c r="G43" s="4" t="n"/>
      <c r="H43" s="50">
        <f>H41+H42</f>
        <v/>
      </c>
      <c r="I43" s="50">
        <f>I41+I42</f>
        <v/>
      </c>
      <c r="J43" s="50">
        <f>J41+J42</f>
        <v/>
      </c>
    </row>
    <row r="44" ht="20" customHeight="1">
      <c r="A44" s="47" t="inlineStr">
        <is>
          <t>DURACIÓN (SEMANAS)</t>
        </is>
      </c>
      <c r="B44" s="4" t="n"/>
      <c r="C44" s="4" t="n"/>
      <c r="D44" s="4" t="n"/>
      <c r="E44" s="4" t="n"/>
      <c r="F44" s="4" t="n"/>
      <c r="G44" s="4" t="n"/>
      <c r="H44" s="43" t="n"/>
      <c r="I44" s="43" t="n"/>
      <c r="J44" s="43" t="n"/>
    </row>
    <row r="45" ht="20" customHeight="1">
      <c r="A45" s="47" t="inlineStr">
        <is>
          <t>INVERSIÓN POR SEMANA</t>
        </is>
      </c>
      <c r="B45" s="4" t="n"/>
      <c r="C45" s="4" t="n"/>
      <c r="D45" s="4" t="n"/>
      <c r="E45" s="4" t="n"/>
      <c r="F45" s="4" t="n"/>
      <c r="G45" s="4" t="n"/>
      <c r="H45" s="44">
        <f>IF(OR(H44="",H44=0),"",H43/H44)</f>
        <v/>
      </c>
      <c r="I45" s="44">
        <f>IF(OR(I44="",I44=0),"",I43/I44)</f>
        <v/>
      </c>
      <c r="J45" s="44">
        <f>IF(OR(J44="",J44=0),"",J43/J44)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51" t="inlineStr">
        <is>
          <t>CRONOGRAMA DE PAGOS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52" t="inlineStr">
        <is>
          <t>ANTICIPO AL INICIO</t>
        </is>
      </c>
      <c r="B48" s="4" t="n"/>
      <c r="C48" s="4" t="n"/>
      <c r="D48" s="35" t="n">
        <v>0.4</v>
      </c>
      <c r="E48" s="4" t="n"/>
      <c r="F48" s="4" t="n"/>
      <c r="G48" s="4" t="n"/>
      <c r="H48" s="53">
        <f>H$43*$D48</f>
        <v/>
      </c>
      <c r="I48" s="53">
        <f>I$43*$D48</f>
        <v/>
      </c>
      <c r="J48" s="53">
        <f>J$43*$D48</f>
        <v/>
      </c>
    </row>
    <row r="49">
      <c r="A49" s="52" t="inlineStr">
        <is>
          <t>PAGO POR AVANCE (A MITAD DEL PROYECTO)</t>
        </is>
      </c>
      <c r="B49" s="4" t="n"/>
      <c r="C49" s="4" t="n"/>
      <c r="D49" s="35" t="n">
        <v>0.3</v>
      </c>
      <c r="E49" s="4" t="n"/>
      <c r="F49" s="4" t="n"/>
      <c r="G49" s="4" t="n"/>
      <c r="H49" s="53">
        <f>H$43*$D49</f>
        <v/>
      </c>
      <c r="I49" s="53">
        <f>I$43*$D49</f>
        <v/>
      </c>
      <c r="J49" s="53">
        <f>J$43*$D49</f>
        <v/>
      </c>
    </row>
    <row r="50">
      <c r="A50" s="52" t="inlineStr">
        <is>
          <t>PAGO AL CIERRE Y ENTREGA</t>
        </is>
      </c>
      <c r="B50" s="4" t="n"/>
      <c r="C50" s="4" t="n"/>
      <c r="D50" s="35" t="n">
        <v>0.3</v>
      </c>
      <c r="E50" s="4" t="n"/>
      <c r="F50" s="4" t="n"/>
      <c r="G50" s="4" t="n"/>
      <c r="H50" s="53">
        <f>H$43*$D50</f>
        <v/>
      </c>
      <c r="I50" s="53">
        <f>I$43*$D50</f>
        <v/>
      </c>
      <c r="J50" s="53">
        <f>J$43*$D50</f>
        <v/>
      </c>
    </row>
    <row r="51">
      <c r="A51" s="54" t="inlineStr">
        <is>
          <t>VERIFICACIÓN (DEBE SUMAR 100%)</t>
        </is>
      </c>
      <c r="B51" s="4" t="n"/>
      <c r="C51" s="4" t="n"/>
      <c r="D51" s="55">
        <f>IF(ROUND(SUM(D48:D50),4)=1,"✔ 100%","✘ AJUSTA LOS %")</f>
        <v/>
      </c>
      <c r="E51" s="4" t="n"/>
      <c r="F51" s="4" t="n"/>
      <c r="G51" s="4" t="n"/>
      <c r="H51" s="4" t="n"/>
      <c r="I51" s="4" t="n"/>
      <c r="J51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F4:G4"/>
    <mergeCell ref="A47:J47"/>
    <mergeCell ref="A38:G38"/>
    <mergeCell ref="F6:G6"/>
    <mergeCell ref="A20:J20"/>
    <mergeCell ref="A1:H1"/>
    <mergeCell ref="A43:G43"/>
    <mergeCell ref="A50:C50"/>
    <mergeCell ref="A28:J28"/>
    <mergeCell ref="F7:G7"/>
    <mergeCell ref="A44:G44"/>
    <mergeCell ref="A40:G40"/>
    <mergeCell ref="A9:G9"/>
    <mergeCell ref="A39:G39"/>
    <mergeCell ref="F5:G5"/>
    <mergeCell ref="I1:J2"/>
    <mergeCell ref="B6:D6"/>
    <mergeCell ref="A45:G45"/>
    <mergeCell ref="A36:G36"/>
    <mergeCell ref="B5:D5"/>
    <mergeCell ref="A2:H2"/>
    <mergeCell ref="B4:D4"/>
    <mergeCell ref="B7:D7"/>
    <mergeCell ref="A41:G41"/>
    <mergeCell ref="A48:C48"/>
    <mergeCell ref="A51:C51"/>
    <mergeCell ref="A37:G37"/>
    <mergeCell ref="A49:C49"/>
    <mergeCell ref="A12:J12"/>
    <mergeCell ref="A42:G42"/>
  </mergeCells>
  <conditionalFormatting sqref="H11:J11">
    <cfRule type="expression" priority="1" dxfId="0" stopIfTrue="1">
      <formula>H$11=$B$7</formula>
    </cfRule>
  </conditionalFormatting>
  <conditionalFormatting sqref="H43:J43">
    <cfRule type="expression" priority="2" dxfId="1" stopIfTrue="1">
      <formula>H$11=$B$7</formula>
    </cfRule>
  </conditionalFormatting>
  <conditionalFormatting sqref="H9:J10">
    <cfRule type="expression" priority="3" dxfId="2">
      <formula>H$11=$B$7</formula>
    </cfRule>
  </conditionalFormatting>
  <conditionalFormatting sqref="H12:J42">
    <cfRule type="expression" priority="4" dxfId="2">
      <formula>H$11=$B$7</formula>
    </cfRule>
  </conditionalFormatting>
  <conditionalFormatting sqref="H44:J51">
    <cfRule type="expression" priority="5" dxfId="2">
      <formula>H$11=$B$7</formula>
    </cfRule>
  </conditionalFormatting>
  <dataValidations count="7">
    <dataValidation sqref="B7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"ESENCIAL,PROFESIONAL,ESTRATÉGICO"</formula1>
    </dataValidation>
    <dataValidation sqref="D13:D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3:C18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"DIRECTO,INDIRECTO"</formula1>
    </dataValidation>
    <dataValidation sqref="D21:D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1:C26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"DIRECTO,INDIRECTO"</formula1>
    </dataValidation>
    <dataValidation sqref="D29:D3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9:C33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"DIRECTO,INDIRECTO"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6" customWidth="1" min="4" max="4"/>
  </cols>
  <sheetData>
    <row r="1" ht="44" customHeight="1">
      <c r="A1" s="26" t="inlineStr">
        <is>
          <t>ALCANCE Y CONDICIONES POR OPCIÓN</t>
        </is>
      </c>
      <c r="B1" s="1" t="n"/>
      <c r="C1" s="1" t="n"/>
      <c r="D1" s="56" t="inlineStr">
        <is>
          <t>INSERTE SU LOGO
(clic derecho &gt; Insertar imagen)</t>
        </is>
      </c>
    </row>
    <row r="2" ht="26" customHeight="1">
      <c r="A2" s="29" t="inlineStr">
        <is>
          <t>Lo que incluye cada opción, qué se entrega y qué queda fuera</t>
        </is>
      </c>
      <c r="B2" s="30" t="n"/>
      <c r="C2" s="30" t="n"/>
      <c r="D2" s="57" t="n"/>
    </row>
    <row r="3">
      <c r="A3" s="4" t="n"/>
      <c r="B3" s="58">
        <f>IF(PRESUPUESTO!$B$7=B4,"★ RECOMENDADA","")</f>
        <v/>
      </c>
      <c r="C3" s="58">
        <f>IF(PRESUPUESTO!$B$7=C4,"★ RECOMENDADA","")</f>
        <v/>
      </c>
      <c r="D3" s="58">
        <f>IF(PRESUPUESTO!$B$7=D4,"★ RECOMENDADA","")</f>
        <v/>
      </c>
    </row>
    <row r="4" ht="36" customHeight="1">
      <c r="A4" s="39" t="inlineStr">
        <is>
          <t>CONCEPTO</t>
        </is>
      </c>
      <c r="B4" s="39" t="inlineStr">
        <is>
          <t>ESENCIAL</t>
        </is>
      </c>
      <c r="C4" s="39" t="inlineStr">
        <is>
          <t>PROFESIONAL</t>
        </is>
      </c>
      <c r="D4" s="39" t="inlineStr">
        <is>
          <t>ESTRATÉGICO</t>
        </is>
      </c>
    </row>
    <row r="5" ht="64" customHeight="1">
      <c r="A5" s="59" t="inlineStr">
        <is>
          <t>ALCANCE</t>
        </is>
      </c>
      <c r="B5" s="60" t="inlineStr">
        <is>
          <t>[Diagnóstico y plan de trabajo]</t>
        </is>
      </c>
      <c r="C5" s="60" t="inlineStr">
        <is>
          <t>[Diagnóstico, implementación de controles y tablero]</t>
        </is>
      </c>
      <c r="D5" s="60" t="inlineStr">
        <is>
          <t>[Implementación integral, capacitación y soporte]</t>
        </is>
      </c>
    </row>
    <row r="6" ht="64" customHeight="1">
      <c r="A6" s="59" t="inlineStr">
        <is>
          <t>ENTREGABLES</t>
        </is>
      </c>
      <c r="B6" s="60" t="inlineStr">
        <is>
          <t>[Informe de diagnóstico · Libro de control]</t>
        </is>
      </c>
      <c r="C6" s="60" t="inlineStr">
        <is>
          <t>[Informe · Libro de control · Tablero · Reporte semanal]</t>
        </is>
      </c>
      <c r="D6" s="60" t="inlineStr">
        <is>
          <t>[Todo lo anterior · Procedimientos · Plan a 90 días]</t>
        </is>
      </c>
    </row>
    <row r="7" ht="64" customHeight="1">
      <c r="A7" s="59" t="inlineStr">
        <is>
          <t>TIEMPO DE ENTREGA</t>
        </is>
      </c>
      <c r="B7" s="60" t="inlineStr">
        <is>
          <t>[4 semanas]</t>
        </is>
      </c>
      <c r="C7" s="60" t="inlineStr">
        <is>
          <t>[6 semanas]</t>
        </is>
      </c>
      <c r="D7" s="60" t="inlineStr">
        <is>
          <t>[8 semanas]</t>
        </is>
      </c>
    </row>
    <row r="8" ht="64" customHeight="1">
      <c r="A8" s="59" t="inlineStr">
        <is>
          <t>BENEFICIOS CLAVE</t>
        </is>
      </c>
      <c r="B8" s="60" t="inlineStr">
        <is>
          <t>[Orden y visibilidad inicial]</t>
        </is>
      </c>
      <c r="C8" s="60" t="inlineStr">
        <is>
          <t>[Control semanal y decisiones con información]</t>
        </is>
      </c>
      <c r="D8" s="60" t="inlineStr">
        <is>
          <t>[Operación estandarizada y cierre con evidencia]</t>
        </is>
      </c>
    </row>
    <row r="9" ht="64" customHeight="1">
      <c r="A9" s="59" t="inlineStr">
        <is>
          <t>EXCLUSIONES</t>
        </is>
      </c>
      <c r="B9" s="60" t="inlineStr">
        <is>
          <t>[Capacitación · Soporte posterior]</t>
        </is>
      </c>
      <c r="C9" s="60" t="inlineStr">
        <is>
          <t>[Soporte posterior al cierre]</t>
        </is>
      </c>
      <c r="D9" s="60" t="inlineStr">
        <is>
          <t>[Trámites ante autoridades]</t>
        </is>
      </c>
    </row>
    <row r="10" ht="64" customHeight="1">
      <c r="A10" s="59" t="inlineStr">
        <is>
          <t>CONDICIONES COMERCIALES</t>
        </is>
      </c>
      <c r="B10" s="60" t="inlineStr">
        <is>
          <t>[Pago 40/30/30 · Vigencia 15 días]</t>
        </is>
      </c>
      <c r="C10" s="60" t="inlineStr">
        <is>
          <t>[Pago 40/30/30 · Vigencia 15 días]</t>
        </is>
      </c>
      <c r="D10" s="60" t="inlineStr">
        <is>
          <t>[Pago 40/30/30 · Vigencia 15 días]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C1"/>
    <mergeCell ref="D1:D2"/>
    <mergeCell ref="A2:C2"/>
  </mergeCells>
  <conditionalFormatting sqref="B4:D4">
    <cfRule type="expression" priority="1" dxfId="0" stopIfTrue="1">
      <formula>B$4=PRESUPUESTO!$B$7</formula>
    </cfRule>
  </conditionalFormatting>
  <conditionalFormatting sqref="B3:D3">
    <cfRule type="expression" priority="2" dxfId="2">
      <formula>B$4=PRESUPUESTO!$B$7</formula>
    </cfRule>
  </conditionalFormatting>
  <conditionalFormatting sqref="B5:D10">
    <cfRule type="expression" priority="3" dxfId="2">
      <formula>B$4=PRESUPUESTO!$B$7</formula>
    </cfRule>
  </conditionalFormatting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6" t="inlineStr">
        <is>
          <t>ANÁLISIS DE VALOR</t>
        </is>
      </c>
      <c r="B1" s="1" t="n"/>
      <c r="C1" s="1" t="n"/>
      <c r="D1" s="1" t="n"/>
      <c r="E1" s="1" t="n"/>
      <c r="F1" s="1" t="n"/>
      <c r="G1" s="1" t="n"/>
      <c r="H1" s="27" t="inlineStr">
        <is>
          <t>INSERTE SU LOGO
(clic derecho &gt; Insertar imagen)</t>
        </is>
      </c>
      <c r="I1" s="61" t="n"/>
      <c r="J1" s="28" t="n"/>
    </row>
    <row r="2" ht="26" customHeight="1">
      <c r="A2" s="29" t="inlineStr">
        <is>
          <t>Comparativo de inversión por opción y por fase</t>
        </is>
      </c>
      <c r="B2" s="30" t="n"/>
      <c r="C2" s="30" t="n"/>
      <c r="D2" s="30" t="n"/>
      <c r="E2" s="30" t="n"/>
      <c r="F2" s="30" t="n"/>
      <c r="G2" s="30" t="n"/>
      <c r="H2" s="31" t="n"/>
      <c r="I2" s="62" t="n"/>
      <c r="J2" s="3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63" t="inlineStr">
        <is>
          <t>OPCIÓN RECOMENDADA</t>
        </is>
      </c>
      <c r="C4" s="64" t="n"/>
      <c r="D4" s="63" t="inlineStr">
        <is>
          <t>INVERSIÓN RECOMENDADA</t>
        </is>
      </c>
      <c r="E4" s="64" t="n"/>
      <c r="F4" s="63" t="inlineStr">
        <is>
          <t>BRECHA ENTRE OPCIONES</t>
        </is>
      </c>
      <c r="G4" s="64" t="n"/>
      <c r="H4" s="63" t="inlineStr">
        <is>
          <t>INVERSIÓN POR SEMANA (REC.)</t>
        </is>
      </c>
      <c r="I4" s="64" t="n"/>
      <c r="J4" s="4" t="n"/>
    </row>
    <row r="5" ht="46" customHeight="1">
      <c r="A5" s="4" t="n"/>
      <c r="B5" s="65">
        <f>PRESUPUESTO!B7</f>
        <v/>
      </c>
      <c r="C5" s="66" t="n"/>
      <c r="D5" s="67">
        <f>IFERROR(INDEX(PRESUPUESTO!H43:J43,MATCH(PRESUPUESTO!B7,PRESUPUESTO!H11:J11,0)),0)</f>
        <v/>
      </c>
      <c r="E5" s="66" t="n"/>
      <c r="F5" s="67">
        <f>PRESUPUESTO!J43-PRESUPUESTO!H43</f>
        <v/>
      </c>
      <c r="G5" s="66" t="n"/>
      <c r="H5" s="67">
        <f>IFERROR(INDEX(PRESUPUESTO!H45:J45,MATCH(PRESUPUESTO!B7,PRESUPUESTO!H11:J11,0)),0)</f>
        <v/>
      </c>
      <c r="I5" s="66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0" customHeight="1">
      <c r="A7" s="4" t="n"/>
      <c r="B7" s="68">
        <f>IF(D5=0,"Captura conceptos y precios en la hoja PRESUPUESTO para ver el análisis.","La opción "&amp;B5&amp;" requiere $"&amp;TEXT(D5,"#,##0")&amp;" (IVA incluido). Pasar de la esencial a la estratégica agrega $"&amp;TEXT(F5,"#,##0")&amp;" de inversión a cambio de mayor alcance y control.")</f>
        <v/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9" t="inlineStr">
        <is>
          <t>OPCIÓN</t>
        </is>
      </c>
      <c r="C25" s="39" t="inlineStr">
        <is>
          <t>FASE 1</t>
        </is>
      </c>
      <c r="D25" s="39" t="inlineStr">
        <is>
          <t>FASE 2</t>
        </is>
      </c>
      <c r="E25" s="39" t="inlineStr">
        <is>
          <t>FASE 3</t>
        </is>
      </c>
      <c r="F25" s="39" t="inlineStr">
        <is>
          <t>TOTAL SIN IVA</t>
        </is>
      </c>
      <c r="G25" s="4" t="n"/>
      <c r="H25" s="4" t="n"/>
      <c r="I25" s="4" t="n"/>
      <c r="J25" s="4" t="n"/>
    </row>
    <row r="26">
      <c r="A26" s="4" t="n"/>
      <c r="B26" s="69" t="inlineStr">
        <is>
          <t>ESENCIAL</t>
        </is>
      </c>
      <c r="C26" s="53">
        <f>PRESUPUESTO!H19</f>
        <v/>
      </c>
      <c r="D26" s="53">
        <f>PRESUPUESTO!H27</f>
        <v/>
      </c>
      <c r="E26" s="53">
        <f>PRESUPUESTO!H34</f>
        <v/>
      </c>
      <c r="F26" s="53">
        <f>PRESUPUESTO!H41</f>
        <v/>
      </c>
      <c r="G26" s="4" t="n"/>
      <c r="H26" s="4" t="n"/>
      <c r="I26" s="4" t="n"/>
      <c r="J26" s="4" t="n"/>
    </row>
    <row r="27">
      <c r="A27" s="4" t="n"/>
      <c r="B27" s="69" t="inlineStr">
        <is>
          <t>PROFESIONAL</t>
        </is>
      </c>
      <c r="C27" s="53">
        <f>PRESUPUESTO!I19</f>
        <v/>
      </c>
      <c r="D27" s="53">
        <f>PRESUPUESTO!I27</f>
        <v/>
      </c>
      <c r="E27" s="53">
        <f>PRESUPUESTO!I34</f>
        <v/>
      </c>
      <c r="F27" s="53">
        <f>PRESUPUESTO!I41</f>
        <v/>
      </c>
      <c r="G27" s="4" t="n"/>
      <c r="H27" s="4" t="n"/>
      <c r="I27" s="4" t="n"/>
      <c r="J27" s="4" t="n"/>
    </row>
    <row r="28">
      <c r="A28" s="4" t="n"/>
      <c r="B28" s="69" t="inlineStr">
        <is>
          <t>ESTRATÉGICO</t>
        </is>
      </c>
      <c r="C28" s="53">
        <f>PRESUPUESTO!J19</f>
        <v/>
      </c>
      <c r="D28" s="53">
        <f>PRESUPUESTO!J27</f>
        <v/>
      </c>
      <c r="E28" s="53">
        <f>PRESUPUESTO!J34</f>
        <v/>
      </c>
      <c r="F28" s="53">
        <f>PRESUPUESTO!J41</f>
        <v/>
      </c>
      <c r="G28" s="4" t="n"/>
      <c r="H28" s="4" t="n"/>
      <c r="I28" s="4" t="n"/>
      <c r="J28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F4:G4"/>
    <mergeCell ref="H1:J2"/>
    <mergeCell ref="A1:G1"/>
    <mergeCell ref="B7:I7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70" t="inlineStr">
        <is>
          <t>AYUDA Y PREGUNTAS FRECUENTES</t>
        </is>
      </c>
      <c r="C1" s="4" t="n"/>
      <c r="D1" s="4" t="n"/>
      <c r="E1" s="1" t="n"/>
    </row>
    <row r="2">
      <c r="A2" s="1" t="n"/>
      <c r="B2" s="71" t="inlineStr">
        <is>
          <t>PRESUPUESTO COMERCIAL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72" t="inlineStr">
        <is>
          <t>¿Cómo cambio los conceptos y precios?</t>
        </is>
      </c>
      <c r="D6" s="73" t="inlineStr">
        <is>
          <t>Escribe en las celdas de captura de cada fase: clave, concepto, tipo, precio unitario y la cantidad que incluye cada opción (0 = no incluye).</t>
        </is>
      </c>
      <c r="E6" s="4" t="n"/>
    </row>
    <row r="7" ht="38" customHeight="1">
      <c r="A7" s="4" t="n"/>
      <c r="B7" s="4" t="n"/>
      <c r="C7" s="72" t="inlineStr">
        <is>
          <t>¿Cómo funciona el descuento?</t>
        </is>
      </c>
      <c r="D7" s="73" t="inlineStr">
        <is>
          <t>Captura un porcentaje por opción; el IVA se calcula sobre el subtotal neto con el % de IVA de la celda F7.</t>
        </is>
      </c>
      <c r="E7" s="4" t="n"/>
    </row>
    <row r="8" ht="38" customHeight="1">
      <c r="A8" s="4" t="n"/>
      <c r="B8" s="4" t="n"/>
      <c r="C8" s="72" t="inlineStr">
        <is>
          <t>¿Qué es el análisis de valor?</t>
        </is>
      </c>
      <c r="D8" s="73" t="inlineStr">
        <is>
          <t>Divide la inversión total entre las semanas de duración para comparar el costo semanal de cada opción.</t>
        </is>
      </c>
      <c r="E8" s="4" t="n"/>
    </row>
    <row r="9" ht="53" customHeight="1">
      <c r="A9" s="4" t="n"/>
      <c r="B9" s="4" t="n"/>
      <c r="C9" s="72" t="inlineStr">
        <is>
          <t>¿Por qué no puedo escribir en algunas celdas?</t>
        </is>
      </c>
      <c r="D9" s="73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9" s="4" t="n"/>
    </row>
    <row r="10" ht="38" customHeight="1">
      <c r="A10" s="4" t="n"/>
      <c r="B10" s="4" t="n"/>
      <c r="C10" s="72" t="inlineStr">
        <is>
          <t>¿Cómo agrego mi logotipo?</t>
        </is>
      </c>
      <c r="D10" s="73" t="inlineStr">
        <is>
          <t>Haz clic en el recuadro punteado de la esquina superior derecha del formato y usa Insertar &gt; Imágenes. Ajusta el tamaño sin salirte del recuadro.</t>
        </is>
      </c>
      <c r="E10" s="4" t="n"/>
    </row>
    <row r="11" ht="38" customHeight="1">
      <c r="A11" s="4" t="n"/>
      <c r="B11" s="4" t="n"/>
      <c r="C11" s="72" t="inlineStr">
        <is>
          <t>¿Cómo lo imprimo o lo convierto a PDF?</t>
        </is>
      </c>
      <c r="D11" s="73" t="inlineStr">
        <is>
          <t>Archivo &gt; Imprimir (ya está ajustado a una hoja de ancho). Para PDF elige 'Microsoft Print to PDF' o Archivo &gt; Exportar &gt; PDF.</t>
        </is>
      </c>
      <c r="E11" s="4" t="n"/>
    </row>
    <row r="12" ht="38" customHeight="1">
      <c r="A12" s="4" t="n"/>
      <c r="B12" s="4" t="n"/>
      <c r="C12" s="72" t="inlineStr">
        <is>
          <t>¿Con qué versiones de Excel funciona?</t>
        </is>
      </c>
      <c r="D12" s="73" t="inlineStr">
        <is>
          <t>Excel 2016, 2019, 2021 y Microsoft 365 (Windows y Mac). Funciona en LibreOffice y Google Sheets, aunque algunas gráficas y formatos pueden verse distintos.</t>
        </is>
      </c>
      <c r="E12" s="4" t="n"/>
    </row>
    <row r="13" ht="38" customHeight="1">
      <c r="A13" s="4" t="n"/>
      <c r="B13" s="4" t="n"/>
      <c r="C13" s="72" t="inlineStr">
        <is>
          <t>¿Puedo cambiar la letra?</t>
        </is>
      </c>
      <c r="D13" s="73" t="inlineStr">
        <is>
          <t>El diseño usa la fuente Arial, disponible en Windows, Mac y Google Sheets. Si necesitas otra, selecciona todo (Ctrl+E) y cambia la fuente; no afecta el funcionamiento.</t>
        </is>
      </c>
      <c r="E13" s="4" t="n"/>
    </row>
    <row r="14" ht="38" customHeight="1">
      <c r="A14" s="4" t="n"/>
      <c r="B14" s="4" t="n"/>
      <c r="C14" s="72" t="inlineStr">
        <is>
          <t>¿Puedo usarlo en varias empresas o por varios años?</t>
        </is>
      </c>
      <c r="D14" s="73" t="inlineStr">
        <is>
          <t>Sí. Guarda una copia del archivo por empresa o por periodo (Archivo &gt; Guardar como) y deja el original en blanco como plantilla maestra.</t>
        </is>
      </c>
      <c r="E14" s="4" t="n"/>
    </row>
    <row r="15">
      <c r="A15" s="4" t="n"/>
      <c r="B15" s="4" t="n"/>
      <c r="C15" s="4" t="n"/>
      <c r="D15" s="4" t="n"/>
      <c r="E15" s="4" t="n"/>
    </row>
    <row r="16" ht="24" customHeight="1">
      <c r="A16" s="4" t="n"/>
      <c r="B16" s="9" t="inlineStr">
        <is>
          <t>GLOSARIO</t>
        </is>
      </c>
      <c r="C16" s="10" t="n"/>
      <c r="D16" s="10" t="n"/>
      <c r="E16" s="4" t="n"/>
    </row>
    <row r="17" ht="21" customHeight="1">
      <c r="A17" s="4" t="n"/>
      <c r="B17" s="4" t="n"/>
      <c r="C17" s="74" t="inlineStr">
        <is>
          <t>COSTO DIRECTO</t>
        </is>
      </c>
      <c r="D17" s="75" t="inlineStr">
        <is>
          <t>Trabajo o producto que el cliente recibe de forma visible.</t>
        </is>
      </c>
      <c r="E17" s="4" t="n"/>
    </row>
    <row r="18" ht="21" customHeight="1">
      <c r="A18" s="4" t="n"/>
      <c r="B18" s="4" t="n"/>
      <c r="C18" s="74" t="inlineStr">
        <is>
          <t>COSTO INDIRECTO</t>
        </is>
      </c>
      <c r="D18" s="75" t="inlineStr">
        <is>
          <t>Gestión, coordinación y administración del proyecto.</t>
        </is>
      </c>
      <c r="E18" s="4" t="n"/>
    </row>
    <row r="19" ht="21" customHeight="1">
      <c r="A19" s="4" t="n"/>
      <c r="B19" s="4" t="n"/>
      <c r="C19" s="74" t="inlineStr">
        <is>
          <t>OPCIÓN RECOMENDADA</t>
        </is>
      </c>
      <c r="D19" s="75" t="inlineStr">
        <is>
          <t>Paquete que mejor equilibra alcance e inversión para el cliente.</t>
        </is>
      </c>
      <c r="E19" s="4" t="n"/>
    </row>
    <row r="20" ht="21" customHeight="1">
      <c r="A20" s="4" t="n"/>
      <c r="B20" s="4" t="n"/>
      <c r="C20" s="74" t="inlineStr">
        <is>
          <t>VIGENCIA</t>
        </is>
      </c>
      <c r="D20" s="75" t="inlineStr">
        <is>
          <t>Días durante los cuales se respetan los precios.</t>
        </is>
      </c>
      <c r="E20" s="4" t="n"/>
    </row>
    <row r="21" ht="21" customHeight="1">
      <c r="A21" s="4" t="n"/>
      <c r="B21" s="4" t="n"/>
      <c r="C21" s="74" t="inlineStr">
        <is>
          <t>ANTICIPO</t>
        </is>
      </c>
      <c r="D21" s="75" t="inlineStr">
        <is>
          <t>Pago inicial que activa el calendario del proyecto.</t>
        </is>
      </c>
      <c r="E21" s="4" t="n"/>
    </row>
    <row r="22">
      <c r="A22" s="4" t="n"/>
      <c r="B22" s="4" t="n"/>
      <c r="C22" s="4" t="n"/>
      <c r="D22" s="4" t="n"/>
      <c r="E22" s="4" t="n"/>
    </row>
    <row r="23" ht="24" customHeight="1">
      <c r="A23" s="4" t="n"/>
      <c r="B23" s="9" t="inlineStr">
        <is>
          <t>LISTA DE VERIFICACIÓN (marca ☑ al completar)</t>
        </is>
      </c>
      <c r="C23" s="10" t="n"/>
      <c r="D23" s="10" t="n"/>
      <c r="E23" s="4" t="n"/>
    </row>
    <row r="24" ht="20" customHeight="1">
      <c r="A24" s="4" t="n"/>
      <c r="B24" s="76" t="inlineStr">
        <is>
          <t>☐</t>
        </is>
      </c>
      <c r="C24" s="77" t="inlineStr">
        <is>
          <t>Datos del cliente y proyecto completos</t>
        </is>
      </c>
      <c r="D24" s="4" t="n"/>
      <c r="E24" s="4" t="n"/>
    </row>
    <row r="25" ht="20" customHeight="1">
      <c r="A25" s="4" t="n"/>
      <c r="B25" s="76" t="inlineStr">
        <is>
          <t>☐</t>
        </is>
      </c>
      <c r="C25" s="77" t="inlineStr">
        <is>
          <t>Conceptos, precios y cantidades por opción</t>
        </is>
      </c>
      <c r="D25" s="4" t="n"/>
      <c r="E25" s="4" t="n"/>
    </row>
    <row r="26" ht="20" customHeight="1">
      <c r="A26" s="4" t="n"/>
      <c r="B26" s="76" t="inlineStr">
        <is>
          <t>☐</t>
        </is>
      </c>
      <c r="C26" s="77" t="inlineStr">
        <is>
          <t>Opción recomendada seleccionada</t>
        </is>
      </c>
      <c r="D26" s="4" t="n"/>
      <c r="E26" s="4" t="n"/>
    </row>
    <row r="27" ht="20" customHeight="1">
      <c r="A27" s="4" t="n"/>
      <c r="B27" s="76" t="inlineStr">
        <is>
          <t>☐</t>
        </is>
      </c>
      <c r="C27" s="77" t="inlineStr">
        <is>
          <t>Cronograma de pagos suma 100%</t>
        </is>
      </c>
      <c r="D27" s="4" t="n"/>
      <c r="E27" s="4" t="n"/>
    </row>
    <row r="28" ht="20" customHeight="1">
      <c r="A28" s="4" t="n"/>
      <c r="B28" s="76" t="inlineStr">
        <is>
          <t>☐</t>
        </is>
      </c>
      <c r="C28" s="77" t="inlineStr">
        <is>
          <t>Alcance, entregables y exclusiones redactados (hoja ALCANCE)</t>
        </is>
      </c>
      <c r="D28" s="4" t="n"/>
      <c r="E28" s="4" t="n"/>
    </row>
    <row r="29" ht="20" customHeight="1">
      <c r="A29" s="4" t="n"/>
      <c r="B29" s="76" t="inlineStr">
        <is>
          <t>☐</t>
        </is>
      </c>
      <c r="C29" s="77" t="inlineStr">
        <is>
          <t>PDF enviado con la propuesta</t>
        </is>
      </c>
      <c r="D29" s="4" t="n"/>
      <c r="E29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8">
    <mergeCell ref="C29:D29"/>
    <mergeCell ref="C24:D24"/>
    <mergeCell ref="B1:D1"/>
    <mergeCell ref="C25:D25"/>
    <mergeCell ref="C27:D27"/>
    <mergeCell ref="C28:D28"/>
    <mergeCell ref="C26:D26"/>
    <mergeCell ref="B2:D2"/>
  </mergeCells>
  <dataValidations count="1">
    <dataValidation sqref="B24 B25 B26 B27 B28 B29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2026-10-07T22:57:54Z</dcterms:created>
  <dcterms:modified xmlns:dcterms="http://purl.org/dc/terms/" xmlns:xsi="http://www.w3.org/2001/XMLSchema-instance" xsi:type="dcterms:W3CDTF">2026-10-07T22:57:54Z</dcterms:modified>
</cp:coreProperties>
</file>