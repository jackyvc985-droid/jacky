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Cálculo estimado por periodo (referencia administrativa, no sustituye cálculo fiscal)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PERIODO</t>
        </is>
      </c>
      <c r="G4" s="17" t="n"/>
      <c r="H4" s="17" t="n"/>
      <c r="I4" s="17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17" t="n"/>
      <c r="D5" s="17" t="n"/>
      <c r="E5" s="4" t="n"/>
      <c r="F5" s="29" t="inlineStr">
        <is>
          <t>% RETENCIÓN IMSS (EST.)</t>
        </is>
      </c>
      <c r="G5" s="30" t="n">
        <v>0.0275</v>
      </c>
      <c r="H5" s="17" t="n"/>
      <c r="I5" s="17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n"/>
      <c r="C8" s="33" t="n"/>
      <c r="D8" s="17" t="n"/>
      <c r="E8" s="17" t="n"/>
      <c r="F8" s="34">
        <f>IF(C8="","",C8*D8)</f>
        <v/>
      </c>
      <c r="G8" s="34">
        <f>IF(C8="","",E8*(C8/8)*2)</f>
        <v/>
      </c>
      <c r="H8" s="33" t="n"/>
      <c r="I8" s="34">
        <f>IF(C8="","",ROUND((F8+G8)*$G$5,2))</f>
        <v/>
      </c>
      <c r="J8" s="33" t="n"/>
      <c r="K8" s="34">
        <f>IF(C8="","",F8+G8+H8-I8-J8)</f>
        <v/>
      </c>
    </row>
    <row r="9">
      <c r="A9" s="32" t="n">
        <v>2</v>
      </c>
      <c r="B9" s="17" t="n"/>
      <c r="C9" s="33" t="n"/>
      <c r="D9" s="17" t="n"/>
      <c r="E9" s="17" t="n"/>
      <c r="F9" s="34">
        <f>IF(C9="","",C9*D9)</f>
        <v/>
      </c>
      <c r="G9" s="34">
        <f>IF(C9="","",E9*(C9/8)*2)</f>
        <v/>
      </c>
      <c r="H9" s="33" t="n"/>
      <c r="I9" s="34">
        <f>IF(C9="","",ROUND((F9+G9)*$G$5,2))</f>
        <v/>
      </c>
      <c r="J9" s="33" t="n"/>
      <c r="K9" s="34">
        <f>IF(C9="","",F9+G9+H9-I9-J9)</f>
        <v/>
      </c>
    </row>
    <row r="10">
      <c r="A10" s="32" t="n">
        <v>3</v>
      </c>
      <c r="B10" s="17" t="n"/>
      <c r="C10" s="33" t="n"/>
      <c r="D10" s="17" t="n"/>
      <c r="E10" s="17" t="n"/>
      <c r="F10" s="34">
        <f>IF(C10="","",C10*D10)</f>
        <v/>
      </c>
      <c r="G10" s="34">
        <f>IF(C10="","",E10*(C10/8)*2)</f>
        <v/>
      </c>
      <c r="H10" s="33" t="n"/>
      <c r="I10" s="34">
        <f>IF(C10="","",ROUND((F10+G10)*$G$5,2))</f>
        <v/>
      </c>
      <c r="J10" s="33" t="n"/>
      <c r="K10" s="34">
        <f>IF(C10="","",F10+G10+H10-I10-J10)</f>
        <v/>
      </c>
    </row>
    <row r="11">
      <c r="A11" s="32" t="n">
        <v>4</v>
      </c>
      <c r="B11" s="17" t="n"/>
      <c r="C11" s="33" t="n"/>
      <c r="D11" s="17" t="n"/>
      <c r="E11" s="17" t="n"/>
      <c r="F11" s="34">
        <f>IF(C11="","",C11*D11)</f>
        <v/>
      </c>
      <c r="G11" s="34">
        <f>IF(C11="","",E11*(C11/8)*2)</f>
        <v/>
      </c>
      <c r="H11" s="33" t="n"/>
      <c r="I11" s="34">
        <f>IF(C11="","",ROUND((F11+G11)*$G$5,2))</f>
        <v/>
      </c>
      <c r="J11" s="33" t="n"/>
      <c r="K11" s="34">
        <f>IF(C11="","",F11+G11+H11-I11-J11)</f>
        <v/>
      </c>
    </row>
    <row r="12">
      <c r="A12" s="32" t="n">
        <v>5</v>
      </c>
      <c r="B12" s="17" t="n"/>
      <c r="C12" s="33" t="n"/>
      <c r="D12" s="17" t="n"/>
      <c r="E12" s="17" t="n"/>
      <c r="F12" s="34">
        <f>IF(C12="","",C12*D12)</f>
        <v/>
      </c>
      <c r="G12" s="34">
        <f>IF(C12="","",E12*(C12/8)*2)</f>
        <v/>
      </c>
      <c r="H12" s="33" t="n"/>
      <c r="I12" s="34">
        <f>IF(C12="","",ROUND((F12+G12)*$G$5,2))</f>
        <v/>
      </c>
      <c r="J12" s="33" t="n"/>
      <c r="K12" s="34">
        <f>IF(C12="","",F12+G12+H12-I12-J12)</f>
        <v/>
      </c>
    </row>
    <row r="13">
      <c r="A13" s="32" t="n">
        <v>6</v>
      </c>
      <c r="B13" s="17" t="n"/>
      <c r="C13" s="33" t="n"/>
      <c r="D13" s="17" t="n"/>
      <c r="E13" s="17" t="n"/>
      <c r="F13" s="34">
        <f>IF(C13="","",C13*D13)</f>
        <v/>
      </c>
      <c r="G13" s="34">
        <f>IF(C13="","",E13*(C13/8)*2)</f>
        <v/>
      </c>
      <c r="H13" s="33" t="n"/>
      <c r="I13" s="34">
        <f>IF(C13="","",ROUND((F13+G13)*$G$5,2))</f>
        <v/>
      </c>
      <c r="J13" s="33" t="n"/>
      <c r="K13" s="34">
        <f>IF(C13="","",F13+G13+H13-I13-J13)</f>
        <v/>
      </c>
    </row>
    <row r="14">
      <c r="A14" s="32" t="n">
        <v>7</v>
      </c>
      <c r="B14" s="17" t="n"/>
      <c r="C14" s="33" t="n"/>
      <c r="D14" s="17" t="n"/>
      <c r="E14" s="17" t="n"/>
      <c r="F14" s="34">
        <f>IF(C14="","",C14*D14)</f>
        <v/>
      </c>
      <c r="G14" s="34">
        <f>IF(C14="","",E14*(C14/8)*2)</f>
        <v/>
      </c>
      <c r="H14" s="33" t="n"/>
      <c r="I14" s="34">
        <f>IF(C14="","",ROUND((F14+G14)*$G$5,2))</f>
        <v/>
      </c>
      <c r="J14" s="33" t="n"/>
      <c r="K14" s="34">
        <f>IF(C14="","",F14+G14+H14-I14-J14)</f>
        <v/>
      </c>
    </row>
    <row r="15">
      <c r="A15" s="32" t="n">
        <v>8</v>
      </c>
      <c r="B15" s="17" t="n"/>
      <c r="C15" s="33" t="n"/>
      <c r="D15" s="17" t="n"/>
      <c r="E15" s="17" t="n"/>
      <c r="F15" s="34">
        <f>IF(C15="","",C15*D15)</f>
        <v/>
      </c>
      <c r="G15" s="34">
        <f>IF(C15="","",E15*(C15/8)*2)</f>
        <v/>
      </c>
      <c r="H15" s="33" t="n"/>
      <c r="I15" s="34">
        <f>IF(C15="","",ROUND((F15+G15)*$G$5,2))</f>
        <v/>
      </c>
      <c r="J15" s="33" t="n"/>
      <c r="K15" s="34">
        <f>IF(C15="","",F15+G15+H15-I15-J15)</f>
        <v/>
      </c>
    </row>
    <row r="16">
      <c r="A16" s="32" t="n">
        <v>9</v>
      </c>
      <c r="B16" s="17" t="n"/>
      <c r="C16" s="33" t="n"/>
      <c r="D16" s="17" t="n"/>
      <c r="E16" s="17" t="n"/>
      <c r="F16" s="34">
        <f>IF(C16="","",C16*D16)</f>
        <v/>
      </c>
      <c r="G16" s="34">
        <f>IF(C16="","",E16*(C16/8)*2)</f>
        <v/>
      </c>
      <c r="H16" s="33" t="n"/>
      <c r="I16" s="34">
        <f>IF(C16="","",ROUND((F16+G16)*$G$5,2))</f>
        <v/>
      </c>
      <c r="J16" s="33" t="n"/>
      <c r="K16" s="34">
        <f>IF(C16="","",F16+G16+H16-I16-J16)</f>
        <v/>
      </c>
    </row>
    <row r="17">
      <c r="A17" s="32" t="n">
        <v>10</v>
      </c>
      <c r="B17" s="17" t="n"/>
      <c r="C17" s="33" t="n"/>
      <c r="D17" s="17" t="n"/>
      <c r="E17" s="17" t="n"/>
      <c r="F17" s="34">
        <f>IF(C17="","",C17*D17)</f>
        <v/>
      </c>
      <c r="G17" s="34">
        <f>IF(C17="","",E17*(C17/8)*2)</f>
        <v/>
      </c>
      <c r="H17" s="33" t="n"/>
      <c r="I17" s="34">
        <f>IF(C17="","",ROUND((F17+G17)*$G$5,2))</f>
        <v/>
      </c>
      <c r="J17" s="33" t="n"/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37" t="n"/>
      <c r="C71" s="4" t="n"/>
      <c r="D71" s="37" t="n"/>
      <c r="E71" s="37" t="n"/>
      <c r="F71" s="4" t="n"/>
      <c r="G71" s="37" t="n"/>
      <c r="H71" s="37" t="n"/>
      <c r="I71" s="4" t="n"/>
      <c r="J71" s="4" t="n"/>
      <c r="K71" s="4" t="n"/>
    </row>
    <row r="72">
      <c r="A72" s="38" t="inlineStr">
        <is>
          <t>ELABORÓ</t>
        </is>
      </c>
      <c r="B72" s="4" t="n"/>
      <c r="C72" s="4" t="n"/>
      <c r="D72" s="38" t="inlineStr">
        <is>
          <t>REVISÓ</t>
        </is>
      </c>
      <c r="E72" s="4" t="n"/>
      <c r="F72" s="4" t="n"/>
      <c r="G72" s="38" t="inlineStr">
        <is>
          <t>AUTORIZÓ</t>
        </is>
      </c>
      <c r="H72" s="4" t="n"/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9" t="n"/>
      <c r="J1" s="24" t="n"/>
    </row>
    <row r="2" ht="26" customHeight="1">
      <c r="A2" s="25" t="inlineStr">
        <is>
          <t>Percepciones, deducciones y neto del periodo</t>
        </is>
      </c>
      <c r="B2" s="26" t="n"/>
      <c r="C2" s="26" t="n"/>
      <c r="D2" s="26" t="n"/>
      <c r="E2" s="26" t="n"/>
      <c r="F2" s="26" t="n"/>
      <c r="G2" s="26" t="n"/>
      <c r="H2" s="27" t="n"/>
      <c r="I2" s="40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PERCEPCIONES</t>
        </is>
      </c>
      <c r="C4" s="42" t="n"/>
      <c r="D4" s="41" t="inlineStr">
        <is>
          <t>DEDUCCIONES</t>
        </is>
      </c>
      <c r="E4" s="42" t="n"/>
      <c r="F4" s="41" t="inlineStr">
        <is>
          <t>NETO A PAGAR</t>
        </is>
      </c>
      <c r="G4" s="42" t="n"/>
      <c r="H4" s="41" t="inlineStr">
        <is>
          <t>EMPLEADOS</t>
        </is>
      </c>
      <c r="I4" s="42" t="n"/>
      <c r="J4" s="4" t="n"/>
    </row>
    <row r="5" ht="36" customHeight="1">
      <c r="A5" s="4" t="n"/>
      <c r="B5" s="43">
        <f>FORMATO!F68+FORMATO!G68+FORMATO!H68</f>
        <v/>
      </c>
      <c r="C5" s="44" t="n"/>
      <c r="D5" s="43">
        <f>FORMATO!I68+FORMATO!J68</f>
        <v/>
      </c>
      <c r="E5" s="44" t="n"/>
      <c r="F5" s="43">
        <f>FORMATO!K68</f>
        <v/>
      </c>
      <c r="G5" s="44" t="n"/>
      <c r="H5" s="45">
        <f>COUNT(FORMATO!C8:C67)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NÓMINA SIMPLIFICADA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D23" s="4" t="n"/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D24" s="4" t="n"/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D25" s="4" t="n"/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