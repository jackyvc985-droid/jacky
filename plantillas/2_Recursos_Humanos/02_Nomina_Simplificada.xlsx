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>
    <definedName name="_xlnm.Print_Titles" localSheetId="1">'FORMATO'!$7:$7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FFFFFF"/>
    </font>
    <font>
      <name val="Arial"/>
      <b val="1"/>
    </font>
    <font>
      <name val="Arial"/>
      <b val="1"/>
      <color rgb="000B2A4A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i val="1"/>
      <color rgb="000B2A4A"/>
      <sz val="10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9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1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bottom style="thin"/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ck">
        <color rgb="00C9A227"/>
      </left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8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right" vertical="center"/>
    </xf>
    <xf numFmtId="0" fontId="28" fillId="0" borderId="0" pivotButton="0" quotePrefix="0" xfId="0"/>
    <xf numFmtId="0" fontId="13" fillId="2" borderId="0" applyAlignment="1" pivotButton="0" quotePrefix="0" xfId="0">
      <alignment vertical="center" wrapText="1"/>
    </xf>
    <xf numFmtId="0" fontId="14" fillId="2" borderId="0" pivotButton="0" quotePrefix="0" xfId="0"/>
    <xf numFmtId="0" fontId="15" fillId="2" borderId="17" applyAlignment="1" pivotButton="0" quotePrefix="0" xfId="0">
      <alignment horizontal="center" vertical="center"/>
    </xf>
    <xf numFmtId="0" fontId="28" fillId="0" borderId="18" pivotButton="0" quotePrefix="0" xfId="0"/>
    <xf numFmtId="0" fontId="16" fillId="0" borderId="1" pivotButton="0" quotePrefix="0" xfId="0"/>
    <xf numFmtId="0" fontId="28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7" fillId="0" borderId="0" pivotButton="0" quotePrefix="0" xfId="0"/>
    <xf numFmtId="0" fontId="19" fillId="0" borderId="19" applyAlignment="1" pivotButton="0" quotePrefix="0" xfId="0">
      <alignment vertical="center"/>
    </xf>
    <xf numFmtId="0" fontId="18" fillId="0" borderId="19" applyAlignment="1" pivotButton="0" quotePrefix="0" xfId="0">
      <alignment vertical="center" wrapText="1"/>
    </xf>
    <xf numFmtId="0" fontId="28" fillId="0" borderId="19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4" borderId="7" applyProtection="1" pivotButton="0" quotePrefix="0" xfId="0">
      <protection locked="0" hidden="0"/>
    </xf>
    <xf numFmtId="0" fontId="22" fillId="0" borderId="0" pivotButton="0" quotePrefix="0" xfId="0"/>
    <xf numFmtId="0" fontId="28" fillId="6" borderId="7" pivotButton="0" quotePrefix="0" xfId="0"/>
    <xf numFmtId="0" fontId="28" fillId="2" borderId="7" pivotButton="0" quotePrefix="0" xfId="0"/>
    <xf numFmtId="0" fontId="28" fillId="7" borderId="7" pivotButton="0" quotePrefix="0" xfId="0"/>
    <xf numFmtId="0" fontId="23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8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8" fillId="0" borderId="2" pivotButton="0" quotePrefix="0" xfId="0"/>
    <xf numFmtId="0" fontId="28" fillId="0" borderId="5" pivotButton="0" quotePrefix="0" xfId="0"/>
    <xf numFmtId="0" fontId="28" fillId="0" borderId="6" pivotButton="0" quotePrefix="0" xfId="0"/>
    <xf numFmtId="0" fontId="4" fillId="3" borderId="7" pivotButton="0" quotePrefix="0" xfId="0"/>
    <xf numFmtId="10" fontId="28" fillId="4" borderId="7" applyProtection="1" pivotButton="0" quotePrefix="0" xfId="0">
      <protection locked="0" hidden="0"/>
    </xf>
    <xf numFmtId="0" fontId="5" fillId="5" borderId="8" applyAlignment="1" pivotButton="0" quotePrefix="0" xfId="0">
      <alignment horizontal="center" vertical="center" wrapText="1"/>
    </xf>
    <xf numFmtId="0" fontId="28" fillId="6" borderId="7" applyAlignment="1" pivotButton="0" quotePrefix="0" xfId="0">
      <alignment horizontal="center"/>
    </xf>
    <xf numFmtId="0" fontId="28" fillId="4" borderId="7" applyAlignment="1" applyProtection="1" pivotButton="0" quotePrefix="0" xfId="0">
      <alignment vertical="center"/>
      <protection locked="0" hidden="0"/>
    </xf>
    <xf numFmtId="164" fontId="28" fillId="4" borderId="7" applyAlignment="1" applyProtection="1" pivotButton="0" quotePrefix="0" xfId="0">
      <alignment vertical="center"/>
      <protection locked="0" hidden="0"/>
    </xf>
    <xf numFmtId="164" fontId="28" fillId="6" borderId="7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164" fontId="7" fillId="3" borderId="7" pivotButton="0" quotePrefix="0" xfId="0"/>
    <xf numFmtId="0" fontId="28" fillId="0" borderId="9" pivotButton="0" quotePrefix="0" xfId="0"/>
    <xf numFmtId="0" fontId="6" fillId="0" borderId="0" applyAlignment="1" pivotButton="0" quotePrefix="0" xfId="0">
      <alignment horizontal="center"/>
    </xf>
    <xf numFmtId="0" fontId="28" fillId="0" borderId="10" pivotButton="0" quotePrefix="0" xfId="0"/>
    <xf numFmtId="0" fontId="28" fillId="0" borderId="11" pivotButton="0" quotePrefix="0" xfId="0"/>
    <xf numFmtId="0" fontId="8" fillId="3" borderId="12" applyAlignment="1" pivotButton="0" quotePrefix="0" xfId="0">
      <alignment horizontal="center" vertical="center"/>
    </xf>
    <xf numFmtId="0" fontId="28" fillId="3" borderId="13" pivotButton="0" quotePrefix="0" xfId="0"/>
    <xf numFmtId="164" fontId="9" fillId="7" borderId="14" applyAlignment="1" pivotButton="0" quotePrefix="0" xfId="0">
      <alignment horizontal="center" vertical="center"/>
    </xf>
    <xf numFmtId="0" fontId="28" fillId="7" borderId="15" pivotButton="0" quotePrefix="0" xfId="0"/>
    <xf numFmtId="1" fontId="9" fillId="7" borderId="14" applyAlignment="1" pivotButton="0" quotePrefix="0" xfId="0">
      <alignment horizontal="center" vertical="center"/>
    </xf>
    <xf numFmtId="0" fontId="10" fillId="8" borderId="16" applyAlignment="1" pivotButton="0" quotePrefix="0" xfId="0">
      <alignment vertical="center" wrapText="1"/>
    </xf>
    <xf numFmtId="0" fontId="28" fillId="0" borderId="7" pivotButton="0" quotePrefix="0" xfId="0"/>
    <xf numFmtId="164" fontId="28" fillId="6" borderId="7" pivotButton="0" quotePrefix="0" xfId="0"/>
    <xf numFmtId="0" fontId="24" fillId="2" borderId="0" applyAlignment="1" pivotButton="0" quotePrefix="0" xfId="0">
      <alignment vertical="center"/>
    </xf>
    <xf numFmtId="0" fontId="25" fillId="2" borderId="0" pivotButton="0" quotePrefix="0" xfId="0"/>
    <xf numFmtId="0" fontId="19" fillId="0" borderId="20" applyAlignment="1" pivotButton="0" quotePrefix="0" xfId="0">
      <alignment vertical="top" wrapText="1"/>
    </xf>
    <xf numFmtId="0" fontId="18" fillId="0" borderId="20" applyAlignment="1" pivotButton="0" quotePrefix="0" xfId="0">
      <alignment vertical="top" wrapText="1"/>
    </xf>
    <xf numFmtId="0" fontId="26" fillId="0" borderId="20" pivotButton="0" quotePrefix="0" xfId="0"/>
    <xf numFmtId="0" fontId="18" fillId="0" borderId="20" applyAlignment="1" pivotButton="0" quotePrefix="0" xfId="0">
      <alignment vertical="center" wrapText="1"/>
    </xf>
    <xf numFmtId="0" fontId="27" fillId="4" borderId="7" applyAlignment="1" applyProtection="1" pivotButton="0" quotePrefix="0" xfId="0">
      <alignment horizontal="center"/>
      <protection locked="0" hidden="0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Neto a pagar por empleado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12A0A8"/>
            </a:solidFill>
            <a:ln xmlns:a="http://schemas.openxmlformats.org/drawingml/2006/main">
              <a:solidFill>
                <a:srgbClr val="12A0A8"/>
              </a:solidFill>
              <a:prstDash val="solid"/>
            </a:ln>
          </spPr>
          <cat>
            <numRef>
              <f>'RESUMEN'!$B$26:$B$40</f>
            </numRef>
          </cat>
          <val>
            <numRef>
              <f>'RESUMEN'!$C$26:$C$40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8ED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RESUMEN'!A1" TargetMode="External" Id="rId2"/><Relationship Type="http://schemas.openxmlformats.org/officeDocument/2006/relationships/hyperlink" Target="#'AYUDA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NÓMINA SIMPLIFICADA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FICHA TÉCNICA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4" t="n"/>
      <c r="C21" s="15" t="inlineStr">
        <is>
          <t>Capacidad</t>
        </is>
      </c>
      <c r="D21" s="16" t="inlineStr">
        <is>
          <t>60 empleados</t>
        </is>
      </c>
      <c r="E21" s="17" t="n"/>
      <c r="F21" s="17" t="n"/>
      <c r="G21" s="4" t="n"/>
    </row>
    <row r="22" ht="21" customHeight="1">
      <c r="A22" s="4" t="n"/>
      <c r="B22" s="4" t="n"/>
      <c r="C22" s="15" t="inlineStr">
        <is>
          <t>Compatibilidad</t>
        </is>
      </c>
      <c r="D22" s="16" t="inlineStr">
        <is>
          <t>Excel 2016, 2019, 2021 y Microsoft 365 (Windows y Mac)</t>
        </is>
      </c>
      <c r="E22" s="17" t="n"/>
      <c r="F22" s="17" t="n"/>
      <c r="G22" s="4" t="n"/>
    </row>
    <row r="23" ht="21" customHeight="1">
      <c r="A23" s="4" t="n"/>
      <c r="B23" s="4" t="n"/>
      <c r="C23" s="15" t="inlineStr">
        <is>
          <t>Idioma y moneda</t>
        </is>
      </c>
      <c r="D23" s="16" t="inlineStr">
        <is>
          <t>Español (México) · Pesos mexicanos (MXN) · IVA 16%</t>
        </is>
      </c>
      <c r="E23" s="17" t="n"/>
      <c r="F23" s="17" t="n"/>
      <c r="G23" s="4" t="n"/>
    </row>
    <row r="24" ht="21" customHeight="1">
      <c r="A24" s="4" t="n"/>
      <c r="B24" s="4" t="n"/>
      <c r="C24" s="15" t="inlineStr">
        <is>
          <t>Protección</t>
        </is>
      </c>
      <c r="D24" s="16" t="inlineStr">
        <is>
          <t>Hojas protegidas sin contraseña (Revisar &gt; Desproteger hoja)</t>
        </is>
      </c>
      <c r="E24" s="17" t="n"/>
      <c r="F24" s="17" t="n"/>
      <c r="G24" s="4" t="n"/>
    </row>
    <row r="25" ht="21" customHeight="1">
      <c r="A25" s="4" t="n"/>
      <c r="B25" s="4" t="n"/>
      <c r="C25" s="15" t="inlineStr">
        <is>
          <t>Fuente</t>
        </is>
      </c>
      <c r="D25" s="16" t="inlineStr">
        <is>
          <t>Arial (disponible en Windows, Mac y Google Sheets)</t>
        </is>
      </c>
      <c r="E25" s="17" t="n"/>
      <c r="F25" s="17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CÓMO USARLO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8" t="n">
        <v>1</v>
      </c>
      <c r="C28" s="13" t="inlineStr">
        <is>
          <t>Captura sueldo diario, días trabajados y horas extra de cada empleado.</t>
        </is>
      </c>
      <c r="D28" s="4" t="n"/>
      <c r="E28" s="4" t="n"/>
      <c r="F28" s="4" t="n"/>
      <c r="G28" s="4" t="n"/>
    </row>
    <row r="29" ht="21" customHeight="1">
      <c r="A29" s="4" t="n"/>
      <c r="B29" s="18" t="n">
        <v>2</v>
      </c>
      <c r="C29" s="13" t="inlineStr">
        <is>
          <t>Las horas extra se pagan al doble de la hora ordinaria (jornada de 8 h).</t>
        </is>
      </c>
      <c r="D29" s="4" t="n"/>
      <c r="E29" s="4" t="n"/>
      <c r="F29" s="4" t="n"/>
      <c r="G29" s="4" t="n"/>
    </row>
    <row r="30" ht="21" customHeight="1">
      <c r="A30" s="4" t="n"/>
      <c r="B30" s="18" t="n">
        <v>3</v>
      </c>
      <c r="C30" s="13" t="inlineStr">
        <is>
          <t>El ISR retenido se captura manualmente según la tabla del SAT vigente.</t>
        </is>
      </c>
      <c r="D30" s="4" t="n"/>
      <c r="E30" s="4" t="n"/>
      <c r="F30" s="4" t="n"/>
      <c r="G30" s="4" t="n"/>
    </row>
    <row r="31" ht="21" customHeight="1">
      <c r="A31" s="4" t="n"/>
      <c r="B31" s="18" t="n">
        <v>4</v>
      </c>
      <c r="C31" s="13" t="inlineStr">
        <is>
          <t>Ajusta el % de retención IMSS según tu cálculo; el valor incluido es solo una referencia.</t>
        </is>
      </c>
      <c r="D31" s="4" t="n"/>
      <c r="E31" s="4" t="n"/>
      <c r="F31" s="4" t="n"/>
      <c r="G31" s="4" t="n"/>
    </row>
    <row r="32" ht="21" customHeight="1">
      <c r="A32" s="4" t="n"/>
      <c r="B32" s="18" t="n">
        <v>5</v>
      </c>
      <c r="C32" s="13" t="inlineStr">
        <is>
          <t>Este formato es de control administrativo. Para timbrado de recibos usa tu sistema de nómina CFDI.</t>
        </is>
      </c>
      <c r="D32" s="4" t="n"/>
      <c r="E32" s="4" t="n"/>
      <c r="F32" s="4" t="n"/>
      <c r="G32" s="4" t="n"/>
    </row>
    <row r="33" ht="36" customHeight="1">
      <c r="A33" s="4" t="n"/>
      <c r="B33" s="18" t="n">
        <v>6</v>
      </c>
      <c r="C33" s="13" t="inlineStr">
        <is>
          <t>Personaliza: inserta tu logotipo en el recuadro punteado de la esquina superior derecha (Insertar &gt; Imágenes) y captura los datos de tu empresa en las celdas de captura.</t>
        </is>
      </c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 ht="24" customHeight="1">
      <c r="A35" s="4" t="n"/>
      <c r="B35" s="9" t="inlineStr">
        <is>
          <t>RECOMENDACIONES DE USO</t>
        </is>
      </c>
      <c r="C35" s="10" t="n"/>
      <c r="D35" s="10" t="n"/>
      <c r="E35" s="10" t="n"/>
      <c r="F35" s="10" t="n"/>
      <c r="G35" s="4" t="n"/>
    </row>
    <row r="36" ht="36" customHeight="1">
      <c r="A36" s="4" t="n"/>
      <c r="B36" s="19" t="inlineStr">
        <is>
          <t>✓</t>
        </is>
      </c>
      <c r="C36" s="13" t="inlineStr">
        <is>
          <t>Este formato sirve para control interno y estimaciones; el cálculo oficial debe hacerse con tablas vigentes del SAT e IMSS.</t>
        </is>
      </c>
      <c r="D36" s="4" t="n"/>
      <c r="E36" s="4" t="n"/>
      <c r="F36" s="4" t="n"/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Captura el ISR retenido que te arroje tu sistema de nómina o tu contador.</t>
        </is>
      </c>
      <c r="D37" s="4" t="n"/>
      <c r="E37" s="4" t="n"/>
      <c r="F37" s="4" t="n"/>
      <c r="G37" s="4" t="n"/>
    </row>
    <row r="38" ht="21" customHeight="1">
      <c r="A38" s="4" t="n"/>
      <c r="B38" s="19" t="inlineStr">
        <is>
          <t>✓</t>
        </is>
      </c>
      <c r="C38" s="13" t="inlineStr">
        <is>
          <t>Las horas extra dobles tienen un límite semanal; verifica la LFT antes de pagar.</t>
        </is>
      </c>
      <c r="D38" s="4" t="n"/>
      <c r="E38" s="4" t="n"/>
      <c r="F38" s="4" t="n"/>
      <c r="G38" s="4" t="n"/>
    </row>
    <row r="39" ht="21" customHeight="1">
      <c r="A39" s="4" t="n"/>
      <c r="B39" s="19" t="inlineStr">
        <is>
          <t>✓</t>
        </is>
      </c>
      <c r="C39" s="13" t="inlineStr">
        <is>
          <t>Guarda un archivo por periodo (semana, quincena o mes).</t>
        </is>
      </c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 ht="24" customHeight="1">
      <c r="A41" s="4" t="n"/>
      <c r="B41" s="9" t="inlineStr">
        <is>
          <t>LEYENDA DE COLORES</t>
        </is>
      </c>
      <c r="C41" s="10" t="n"/>
      <c r="D41" s="10" t="n"/>
      <c r="E41" s="10" t="n"/>
      <c r="F41" s="10" t="n"/>
      <c r="G41" s="4" t="n"/>
    </row>
    <row r="42">
      <c r="A42" s="4" t="n"/>
      <c r="B42" s="20" t="inlineStr"/>
      <c r="C42" s="21" t="inlineStr">
        <is>
          <t>CELDA DE CAPTURA: escribe aquí.</t>
        </is>
      </c>
      <c r="D42" s="4" t="n"/>
      <c r="E42" s="4" t="n"/>
      <c r="F42" s="4" t="n"/>
      <c r="G42" s="4" t="n"/>
    </row>
    <row r="43">
      <c r="A43" s="4" t="n"/>
      <c r="B43" s="22" t="inlineStr"/>
      <c r="C43" s="21" t="inlineStr">
        <is>
          <t>CÁLCULO AUTOMÁTICO: no la modifiques.</t>
        </is>
      </c>
      <c r="D43" s="4" t="n"/>
      <c r="E43" s="4" t="n"/>
      <c r="F43" s="4" t="n"/>
      <c r="G43" s="4" t="n"/>
    </row>
    <row r="44">
      <c r="A44" s="4" t="n"/>
      <c r="B44" s="23" t="inlineStr"/>
      <c r="C44" s="21" t="inlineStr">
        <is>
          <t>ENCABEZADOS Y TÍTULOS.</t>
        </is>
      </c>
      <c r="D44" s="4" t="n"/>
      <c r="E44" s="4" t="n"/>
      <c r="F44" s="4" t="n"/>
      <c r="G44" s="4" t="n"/>
    </row>
    <row r="45">
      <c r="A45" s="4" t="n"/>
      <c r="B45" s="24" t="inlineStr"/>
      <c r="C45" s="21" t="inlineStr">
        <is>
          <t>* CAMPO OBLIGATORIO: complétalo antes de imprimir o enviar.</t>
        </is>
      </c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 ht="26" customHeight="1">
      <c r="A47" s="1" t="n"/>
      <c r="B47" s="25" t="inlineStr">
        <is>
          <t>Formatos administrativos  ·  Para uso interno de tu empresa</t>
        </is>
      </c>
      <c r="C47" s="4" t="n"/>
      <c r="D47" s="4" t="n"/>
      <c r="E47" s="4" t="n"/>
      <c r="F47" s="4" t="n"/>
      <c r="G4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2">
    <mergeCell ref="C39:F39"/>
    <mergeCell ref="B47:F47"/>
    <mergeCell ref="C38:F38"/>
    <mergeCell ref="D17:F17"/>
    <mergeCell ref="C32:F32"/>
    <mergeCell ref="C37:F37"/>
    <mergeCell ref="D16:F16"/>
    <mergeCell ref="C28:F28"/>
    <mergeCell ref="D18:F18"/>
    <mergeCell ref="C30:F30"/>
    <mergeCell ref="C33:F33"/>
    <mergeCell ref="D25:F25"/>
    <mergeCell ref="B4:F5"/>
    <mergeCell ref="D24:F24"/>
    <mergeCell ref="D23:F23"/>
    <mergeCell ref="E2:F2"/>
    <mergeCell ref="C29:F29"/>
    <mergeCell ref="C31:F31"/>
    <mergeCell ref="B6:F6"/>
    <mergeCell ref="D22:F22"/>
    <mergeCell ref="D21:F21"/>
    <mergeCell ref="C36:F36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K72"/>
  <sheetViews>
    <sheetView showGridLines="0" workbookViewId="0">
      <selection activeCell="A1" sqref="A1"/>
    </sheetView>
  </sheetViews>
  <sheetFormatPr baseColWidth="8" defaultRowHeight="15"/>
  <cols>
    <col width="20.4" customWidth="1" min="1" max="1"/>
    <col width="26" customWidth="1" min="2" max="2"/>
    <col width="12" customWidth="1" min="3" max="3"/>
    <col width="12" customWidth="1" min="4" max="4"/>
    <col width="12" customWidth="1" min="5" max="5"/>
    <col width="28.45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44" customHeight="1">
      <c r="A1" s="26" t="inlineStr">
        <is>
          <t>NÓMINA SIMPLIFICADA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7" t="inlineStr">
        <is>
          <t>INSERTE SU LOGO
(clic derecho &gt; Insertar imagen)</t>
        </is>
      </c>
      <c r="K1" s="28" t="n"/>
    </row>
    <row r="2" ht="26" customHeight="1">
      <c r="A2" s="29" t="inlineStr">
        <is>
          <t>Cálculo estimado por periodo (referencia administrativa, no sustituye cálculo fiscal)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1" t="n"/>
      <c r="K2" s="3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33" t="inlineStr">
        <is>
          <t>EMPRESA *</t>
        </is>
      </c>
      <c r="B4" s="20" t="n"/>
      <c r="C4" s="20" t="n"/>
      <c r="D4" s="20" t="n"/>
      <c r="E4" s="4" t="n"/>
      <c r="F4" s="33" t="inlineStr">
        <is>
          <t>PERIODO *</t>
        </is>
      </c>
      <c r="G4" s="20" t="n"/>
      <c r="H4" s="20" t="n"/>
      <c r="I4" s="20" t="n"/>
      <c r="J4" s="4" t="n"/>
      <c r="K4" s="4" t="n"/>
    </row>
    <row r="5">
      <c r="A5" s="33" t="inlineStr">
        <is>
          <t>DÍAS DEL PERIODO</t>
        </is>
      </c>
      <c r="B5" s="20" t="n">
        <v>15</v>
      </c>
      <c r="C5" s="20" t="n"/>
      <c r="D5" s="20" t="n"/>
      <c r="E5" s="4" t="n"/>
      <c r="F5" s="33" t="inlineStr">
        <is>
          <t>% RETENCIÓN IMSS (EST.)</t>
        </is>
      </c>
      <c r="G5" s="34" t="n">
        <v>0.0275</v>
      </c>
      <c r="H5" s="20" t="n"/>
      <c r="I5" s="20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36" customHeight="1">
      <c r="A7" s="35" t="inlineStr">
        <is>
          <t>NO.</t>
        </is>
      </c>
      <c r="B7" s="35" t="inlineStr">
        <is>
          <t>EMPLEADO</t>
        </is>
      </c>
      <c r="C7" s="35" t="inlineStr">
        <is>
          <t>SUELDO DIARIO</t>
        </is>
      </c>
      <c r="D7" s="35" t="inlineStr">
        <is>
          <t>DÍAS TRAB.</t>
        </is>
      </c>
      <c r="E7" s="35" t="inlineStr">
        <is>
          <t>HORAS EXTRA</t>
        </is>
      </c>
      <c r="F7" s="35" t="inlineStr">
        <is>
          <t>SUELDO</t>
        </is>
      </c>
      <c r="G7" s="35" t="inlineStr">
        <is>
          <t>PAGO HORAS EXTRA</t>
        </is>
      </c>
      <c r="H7" s="35" t="inlineStr">
        <is>
          <t>BONOS / OTROS</t>
        </is>
      </c>
      <c r="I7" s="35" t="inlineStr">
        <is>
          <t>RETENCIÓN IMSS</t>
        </is>
      </c>
      <c r="J7" s="35" t="inlineStr">
        <is>
          <t>ISR RETENIDO</t>
        </is>
      </c>
      <c r="K7" s="35" t="inlineStr">
        <is>
          <t>NETO A PAGAR</t>
        </is>
      </c>
    </row>
    <row r="8" ht="20" customHeight="1">
      <c r="A8" s="36" t="n">
        <v>1</v>
      </c>
      <c r="B8" s="37" t="n"/>
      <c r="C8" s="38" t="n"/>
      <c r="D8" s="37" t="n"/>
      <c r="E8" s="37" t="n"/>
      <c r="F8" s="39">
        <f>IF(C8="","",C8*D8)</f>
        <v/>
      </c>
      <c r="G8" s="39">
        <f>IF(C8="","",E8*(C8/8)*2)</f>
        <v/>
      </c>
      <c r="H8" s="38" t="n"/>
      <c r="I8" s="39">
        <f>IF(C8="","",ROUND((F8+G8)*$G$5,2))</f>
        <v/>
      </c>
      <c r="J8" s="38" t="n"/>
      <c r="K8" s="39">
        <f>IF(C8="","",F8+G8+H8-I8-J8)</f>
        <v/>
      </c>
    </row>
    <row r="9" ht="20" customHeight="1">
      <c r="A9" s="36" t="n">
        <v>2</v>
      </c>
      <c r="B9" s="37" t="n"/>
      <c r="C9" s="38" t="n"/>
      <c r="D9" s="37" t="n"/>
      <c r="E9" s="37" t="n"/>
      <c r="F9" s="39">
        <f>IF(C9="","",C9*D9)</f>
        <v/>
      </c>
      <c r="G9" s="39">
        <f>IF(C9="","",E9*(C9/8)*2)</f>
        <v/>
      </c>
      <c r="H9" s="38" t="n"/>
      <c r="I9" s="39">
        <f>IF(C9="","",ROUND((F9+G9)*$G$5,2))</f>
        <v/>
      </c>
      <c r="J9" s="38" t="n"/>
      <c r="K9" s="39">
        <f>IF(C9="","",F9+G9+H9-I9-J9)</f>
        <v/>
      </c>
    </row>
    <row r="10" ht="20" customHeight="1">
      <c r="A10" s="36" t="n">
        <v>3</v>
      </c>
      <c r="B10" s="37" t="n"/>
      <c r="C10" s="38" t="n"/>
      <c r="D10" s="37" t="n"/>
      <c r="E10" s="37" t="n"/>
      <c r="F10" s="39">
        <f>IF(C10="","",C10*D10)</f>
        <v/>
      </c>
      <c r="G10" s="39">
        <f>IF(C10="","",E10*(C10/8)*2)</f>
        <v/>
      </c>
      <c r="H10" s="38" t="n"/>
      <c r="I10" s="39">
        <f>IF(C10="","",ROUND((F10+G10)*$G$5,2))</f>
        <v/>
      </c>
      <c r="J10" s="38" t="n"/>
      <c r="K10" s="39">
        <f>IF(C10="","",F10+G10+H10-I10-J10)</f>
        <v/>
      </c>
    </row>
    <row r="11" ht="20" customHeight="1">
      <c r="A11" s="36" t="n">
        <v>4</v>
      </c>
      <c r="B11" s="37" t="n"/>
      <c r="C11" s="38" t="n"/>
      <c r="D11" s="37" t="n"/>
      <c r="E11" s="37" t="n"/>
      <c r="F11" s="39">
        <f>IF(C11="","",C11*D11)</f>
        <v/>
      </c>
      <c r="G11" s="39">
        <f>IF(C11="","",E11*(C11/8)*2)</f>
        <v/>
      </c>
      <c r="H11" s="38" t="n"/>
      <c r="I11" s="39">
        <f>IF(C11="","",ROUND((F11+G11)*$G$5,2))</f>
        <v/>
      </c>
      <c r="J11" s="38" t="n"/>
      <c r="K11" s="39">
        <f>IF(C11="","",F11+G11+H11-I11-J11)</f>
        <v/>
      </c>
    </row>
    <row r="12" ht="20" customHeight="1">
      <c r="A12" s="36" t="n">
        <v>5</v>
      </c>
      <c r="B12" s="37" t="n"/>
      <c r="C12" s="38" t="n"/>
      <c r="D12" s="37" t="n"/>
      <c r="E12" s="37" t="n"/>
      <c r="F12" s="39">
        <f>IF(C12="","",C12*D12)</f>
        <v/>
      </c>
      <c r="G12" s="39">
        <f>IF(C12="","",E12*(C12/8)*2)</f>
        <v/>
      </c>
      <c r="H12" s="38" t="n"/>
      <c r="I12" s="39">
        <f>IF(C12="","",ROUND((F12+G12)*$G$5,2))</f>
        <v/>
      </c>
      <c r="J12" s="38" t="n"/>
      <c r="K12" s="39">
        <f>IF(C12="","",F12+G12+H12-I12-J12)</f>
        <v/>
      </c>
    </row>
    <row r="13" ht="20" customHeight="1">
      <c r="A13" s="36" t="n">
        <v>6</v>
      </c>
      <c r="B13" s="37" t="n"/>
      <c r="C13" s="38" t="n"/>
      <c r="D13" s="37" t="n"/>
      <c r="E13" s="37" t="n"/>
      <c r="F13" s="39">
        <f>IF(C13="","",C13*D13)</f>
        <v/>
      </c>
      <c r="G13" s="39">
        <f>IF(C13="","",E13*(C13/8)*2)</f>
        <v/>
      </c>
      <c r="H13" s="38" t="n"/>
      <c r="I13" s="39">
        <f>IF(C13="","",ROUND((F13+G13)*$G$5,2))</f>
        <v/>
      </c>
      <c r="J13" s="38" t="n"/>
      <c r="K13" s="39">
        <f>IF(C13="","",F13+G13+H13-I13-J13)</f>
        <v/>
      </c>
    </row>
    <row r="14" ht="20" customHeight="1">
      <c r="A14" s="36" t="n">
        <v>7</v>
      </c>
      <c r="B14" s="37" t="n"/>
      <c r="C14" s="38" t="n"/>
      <c r="D14" s="37" t="n"/>
      <c r="E14" s="37" t="n"/>
      <c r="F14" s="39">
        <f>IF(C14="","",C14*D14)</f>
        <v/>
      </c>
      <c r="G14" s="39">
        <f>IF(C14="","",E14*(C14/8)*2)</f>
        <v/>
      </c>
      <c r="H14" s="38" t="n"/>
      <c r="I14" s="39">
        <f>IF(C14="","",ROUND((F14+G14)*$G$5,2))</f>
        <v/>
      </c>
      <c r="J14" s="38" t="n"/>
      <c r="K14" s="39">
        <f>IF(C14="","",F14+G14+H14-I14-J14)</f>
        <v/>
      </c>
    </row>
    <row r="15" ht="20" customHeight="1">
      <c r="A15" s="36" t="n">
        <v>8</v>
      </c>
      <c r="B15" s="37" t="n"/>
      <c r="C15" s="38" t="n"/>
      <c r="D15" s="37" t="n"/>
      <c r="E15" s="37" t="n"/>
      <c r="F15" s="39">
        <f>IF(C15="","",C15*D15)</f>
        <v/>
      </c>
      <c r="G15" s="39">
        <f>IF(C15="","",E15*(C15/8)*2)</f>
        <v/>
      </c>
      <c r="H15" s="38" t="n"/>
      <c r="I15" s="39">
        <f>IF(C15="","",ROUND((F15+G15)*$G$5,2))</f>
        <v/>
      </c>
      <c r="J15" s="38" t="n"/>
      <c r="K15" s="39">
        <f>IF(C15="","",F15+G15+H15-I15-J15)</f>
        <v/>
      </c>
    </row>
    <row r="16" ht="20" customHeight="1">
      <c r="A16" s="36" t="n">
        <v>9</v>
      </c>
      <c r="B16" s="37" t="n"/>
      <c r="C16" s="38" t="n"/>
      <c r="D16" s="37" t="n"/>
      <c r="E16" s="37" t="n"/>
      <c r="F16" s="39">
        <f>IF(C16="","",C16*D16)</f>
        <v/>
      </c>
      <c r="G16" s="39">
        <f>IF(C16="","",E16*(C16/8)*2)</f>
        <v/>
      </c>
      <c r="H16" s="38" t="n"/>
      <c r="I16" s="39">
        <f>IF(C16="","",ROUND((F16+G16)*$G$5,2))</f>
        <v/>
      </c>
      <c r="J16" s="38" t="n"/>
      <c r="K16" s="39">
        <f>IF(C16="","",F16+G16+H16-I16-J16)</f>
        <v/>
      </c>
    </row>
    <row r="17" ht="20" customHeight="1">
      <c r="A17" s="36" t="n">
        <v>10</v>
      </c>
      <c r="B17" s="37" t="n"/>
      <c r="C17" s="38" t="n"/>
      <c r="D17" s="37" t="n"/>
      <c r="E17" s="37" t="n"/>
      <c r="F17" s="39">
        <f>IF(C17="","",C17*D17)</f>
        <v/>
      </c>
      <c r="G17" s="39">
        <f>IF(C17="","",E17*(C17/8)*2)</f>
        <v/>
      </c>
      <c r="H17" s="38" t="n"/>
      <c r="I17" s="39">
        <f>IF(C17="","",ROUND((F17+G17)*$G$5,2))</f>
        <v/>
      </c>
      <c r="J17" s="38" t="n"/>
      <c r="K17" s="39">
        <f>IF(C17="","",F17+G17+H17-I17-J17)</f>
        <v/>
      </c>
    </row>
    <row r="18" ht="20" customHeight="1">
      <c r="A18" s="36" t="n">
        <v>11</v>
      </c>
      <c r="B18" s="37" t="n"/>
      <c r="C18" s="38" t="n"/>
      <c r="D18" s="37" t="n"/>
      <c r="E18" s="37" t="n"/>
      <c r="F18" s="39">
        <f>IF(C18="","",C18*D18)</f>
        <v/>
      </c>
      <c r="G18" s="39">
        <f>IF(C18="","",E18*(C18/8)*2)</f>
        <v/>
      </c>
      <c r="H18" s="38" t="n"/>
      <c r="I18" s="39">
        <f>IF(C18="","",ROUND((F18+G18)*$G$5,2))</f>
        <v/>
      </c>
      <c r="J18" s="38" t="n"/>
      <c r="K18" s="39">
        <f>IF(C18="","",F18+G18+H18-I18-J18)</f>
        <v/>
      </c>
    </row>
    <row r="19" ht="20" customHeight="1">
      <c r="A19" s="36" t="n">
        <v>12</v>
      </c>
      <c r="B19" s="37" t="n"/>
      <c r="C19" s="38" t="n"/>
      <c r="D19" s="37" t="n"/>
      <c r="E19" s="37" t="n"/>
      <c r="F19" s="39">
        <f>IF(C19="","",C19*D19)</f>
        <v/>
      </c>
      <c r="G19" s="39">
        <f>IF(C19="","",E19*(C19/8)*2)</f>
        <v/>
      </c>
      <c r="H19" s="38" t="n"/>
      <c r="I19" s="39">
        <f>IF(C19="","",ROUND((F19+G19)*$G$5,2))</f>
        <v/>
      </c>
      <c r="J19" s="38" t="n"/>
      <c r="K19" s="39">
        <f>IF(C19="","",F19+G19+H19-I19-J19)</f>
        <v/>
      </c>
    </row>
    <row r="20" ht="20" customHeight="1">
      <c r="A20" s="36" t="n">
        <v>13</v>
      </c>
      <c r="B20" s="37" t="n"/>
      <c r="C20" s="38" t="n"/>
      <c r="D20" s="37" t="n"/>
      <c r="E20" s="37" t="n"/>
      <c r="F20" s="39">
        <f>IF(C20="","",C20*D20)</f>
        <v/>
      </c>
      <c r="G20" s="39">
        <f>IF(C20="","",E20*(C20/8)*2)</f>
        <v/>
      </c>
      <c r="H20" s="38" t="n"/>
      <c r="I20" s="39">
        <f>IF(C20="","",ROUND((F20+G20)*$G$5,2))</f>
        <v/>
      </c>
      <c r="J20" s="38" t="n"/>
      <c r="K20" s="39">
        <f>IF(C20="","",F20+G20+H20-I20-J20)</f>
        <v/>
      </c>
    </row>
    <row r="21" ht="20" customHeight="1">
      <c r="A21" s="36" t="n">
        <v>14</v>
      </c>
      <c r="B21" s="37" t="n"/>
      <c r="C21" s="38" t="n"/>
      <c r="D21" s="37" t="n"/>
      <c r="E21" s="37" t="n"/>
      <c r="F21" s="39">
        <f>IF(C21="","",C21*D21)</f>
        <v/>
      </c>
      <c r="G21" s="39">
        <f>IF(C21="","",E21*(C21/8)*2)</f>
        <v/>
      </c>
      <c r="H21" s="38" t="n"/>
      <c r="I21" s="39">
        <f>IF(C21="","",ROUND((F21+G21)*$G$5,2))</f>
        <v/>
      </c>
      <c r="J21" s="38" t="n"/>
      <c r="K21" s="39">
        <f>IF(C21="","",F21+G21+H21-I21-J21)</f>
        <v/>
      </c>
    </row>
    <row r="22" ht="20" customHeight="1">
      <c r="A22" s="36" t="n">
        <v>15</v>
      </c>
      <c r="B22" s="37" t="n"/>
      <c r="C22" s="38" t="n"/>
      <c r="D22" s="37" t="n"/>
      <c r="E22" s="37" t="n"/>
      <c r="F22" s="39">
        <f>IF(C22="","",C22*D22)</f>
        <v/>
      </c>
      <c r="G22" s="39">
        <f>IF(C22="","",E22*(C22/8)*2)</f>
        <v/>
      </c>
      <c r="H22" s="38" t="n"/>
      <c r="I22" s="39">
        <f>IF(C22="","",ROUND((F22+G22)*$G$5,2))</f>
        <v/>
      </c>
      <c r="J22" s="38" t="n"/>
      <c r="K22" s="39">
        <f>IF(C22="","",F22+G22+H22-I22-J22)</f>
        <v/>
      </c>
    </row>
    <row r="23" ht="20" customHeight="1">
      <c r="A23" s="36" t="n">
        <v>16</v>
      </c>
      <c r="B23" s="37" t="n"/>
      <c r="C23" s="38" t="n"/>
      <c r="D23" s="37" t="n"/>
      <c r="E23" s="37" t="n"/>
      <c r="F23" s="39">
        <f>IF(C23="","",C23*D23)</f>
        <v/>
      </c>
      <c r="G23" s="39">
        <f>IF(C23="","",E23*(C23/8)*2)</f>
        <v/>
      </c>
      <c r="H23" s="38" t="n"/>
      <c r="I23" s="39">
        <f>IF(C23="","",ROUND((F23+G23)*$G$5,2))</f>
        <v/>
      </c>
      <c r="J23" s="38" t="n"/>
      <c r="K23" s="39">
        <f>IF(C23="","",F23+G23+H23-I23-J23)</f>
        <v/>
      </c>
    </row>
    <row r="24" ht="20" customHeight="1">
      <c r="A24" s="36" t="n">
        <v>17</v>
      </c>
      <c r="B24" s="37" t="n"/>
      <c r="C24" s="38" t="n"/>
      <c r="D24" s="37" t="n"/>
      <c r="E24" s="37" t="n"/>
      <c r="F24" s="39">
        <f>IF(C24="","",C24*D24)</f>
        <v/>
      </c>
      <c r="G24" s="39">
        <f>IF(C24="","",E24*(C24/8)*2)</f>
        <v/>
      </c>
      <c r="H24" s="38" t="n"/>
      <c r="I24" s="39">
        <f>IF(C24="","",ROUND((F24+G24)*$G$5,2))</f>
        <v/>
      </c>
      <c r="J24" s="38" t="n"/>
      <c r="K24" s="39">
        <f>IF(C24="","",F24+G24+H24-I24-J24)</f>
        <v/>
      </c>
    </row>
    <row r="25" ht="20" customHeight="1">
      <c r="A25" s="36" t="n">
        <v>18</v>
      </c>
      <c r="B25" s="37" t="n"/>
      <c r="C25" s="38" t="n"/>
      <c r="D25" s="37" t="n"/>
      <c r="E25" s="37" t="n"/>
      <c r="F25" s="39">
        <f>IF(C25="","",C25*D25)</f>
        <v/>
      </c>
      <c r="G25" s="39">
        <f>IF(C25="","",E25*(C25/8)*2)</f>
        <v/>
      </c>
      <c r="H25" s="38" t="n"/>
      <c r="I25" s="39">
        <f>IF(C25="","",ROUND((F25+G25)*$G$5,2))</f>
        <v/>
      </c>
      <c r="J25" s="38" t="n"/>
      <c r="K25" s="39">
        <f>IF(C25="","",F25+G25+H25-I25-J25)</f>
        <v/>
      </c>
    </row>
    <row r="26" ht="20" customHeight="1">
      <c r="A26" s="36" t="n">
        <v>19</v>
      </c>
      <c r="B26" s="37" t="n"/>
      <c r="C26" s="38" t="n"/>
      <c r="D26" s="37" t="n"/>
      <c r="E26" s="37" t="n"/>
      <c r="F26" s="39">
        <f>IF(C26="","",C26*D26)</f>
        <v/>
      </c>
      <c r="G26" s="39">
        <f>IF(C26="","",E26*(C26/8)*2)</f>
        <v/>
      </c>
      <c r="H26" s="38" t="n"/>
      <c r="I26" s="39">
        <f>IF(C26="","",ROUND((F26+G26)*$G$5,2))</f>
        <v/>
      </c>
      <c r="J26" s="38" t="n"/>
      <c r="K26" s="39">
        <f>IF(C26="","",F26+G26+H26-I26-J26)</f>
        <v/>
      </c>
    </row>
    <row r="27" ht="20" customHeight="1">
      <c r="A27" s="36" t="n">
        <v>20</v>
      </c>
      <c r="B27" s="37" t="n"/>
      <c r="C27" s="38" t="n"/>
      <c r="D27" s="37" t="n"/>
      <c r="E27" s="37" t="n"/>
      <c r="F27" s="39">
        <f>IF(C27="","",C27*D27)</f>
        <v/>
      </c>
      <c r="G27" s="39">
        <f>IF(C27="","",E27*(C27/8)*2)</f>
        <v/>
      </c>
      <c r="H27" s="38" t="n"/>
      <c r="I27" s="39">
        <f>IF(C27="","",ROUND((F27+G27)*$G$5,2))</f>
        <v/>
      </c>
      <c r="J27" s="38" t="n"/>
      <c r="K27" s="39">
        <f>IF(C27="","",F27+G27+H27-I27-J27)</f>
        <v/>
      </c>
    </row>
    <row r="28" ht="20" customHeight="1">
      <c r="A28" s="36" t="n">
        <v>21</v>
      </c>
      <c r="B28" s="37" t="n"/>
      <c r="C28" s="38" t="n"/>
      <c r="D28" s="37" t="n"/>
      <c r="E28" s="37" t="n"/>
      <c r="F28" s="39">
        <f>IF(C28="","",C28*D28)</f>
        <v/>
      </c>
      <c r="G28" s="39">
        <f>IF(C28="","",E28*(C28/8)*2)</f>
        <v/>
      </c>
      <c r="H28" s="38" t="n"/>
      <c r="I28" s="39">
        <f>IF(C28="","",ROUND((F28+G28)*$G$5,2))</f>
        <v/>
      </c>
      <c r="J28" s="38" t="n"/>
      <c r="K28" s="39">
        <f>IF(C28="","",F28+G28+H28-I28-J28)</f>
        <v/>
      </c>
    </row>
    <row r="29" ht="20" customHeight="1">
      <c r="A29" s="36" t="n">
        <v>22</v>
      </c>
      <c r="B29" s="37" t="n"/>
      <c r="C29" s="38" t="n"/>
      <c r="D29" s="37" t="n"/>
      <c r="E29" s="37" t="n"/>
      <c r="F29" s="39">
        <f>IF(C29="","",C29*D29)</f>
        <v/>
      </c>
      <c r="G29" s="39">
        <f>IF(C29="","",E29*(C29/8)*2)</f>
        <v/>
      </c>
      <c r="H29" s="38" t="n"/>
      <c r="I29" s="39">
        <f>IF(C29="","",ROUND((F29+G29)*$G$5,2))</f>
        <v/>
      </c>
      <c r="J29" s="38" t="n"/>
      <c r="K29" s="39">
        <f>IF(C29="","",F29+G29+H29-I29-J29)</f>
        <v/>
      </c>
    </row>
    <row r="30" ht="20" customHeight="1">
      <c r="A30" s="36" t="n">
        <v>23</v>
      </c>
      <c r="B30" s="37" t="n"/>
      <c r="C30" s="38" t="n"/>
      <c r="D30" s="37" t="n"/>
      <c r="E30" s="37" t="n"/>
      <c r="F30" s="39">
        <f>IF(C30="","",C30*D30)</f>
        <v/>
      </c>
      <c r="G30" s="39">
        <f>IF(C30="","",E30*(C30/8)*2)</f>
        <v/>
      </c>
      <c r="H30" s="38" t="n"/>
      <c r="I30" s="39">
        <f>IF(C30="","",ROUND((F30+G30)*$G$5,2))</f>
        <v/>
      </c>
      <c r="J30" s="38" t="n"/>
      <c r="K30" s="39">
        <f>IF(C30="","",F30+G30+H30-I30-J30)</f>
        <v/>
      </c>
    </row>
    <row r="31" ht="20" customHeight="1">
      <c r="A31" s="36" t="n">
        <v>24</v>
      </c>
      <c r="B31" s="37" t="n"/>
      <c r="C31" s="38" t="n"/>
      <c r="D31" s="37" t="n"/>
      <c r="E31" s="37" t="n"/>
      <c r="F31" s="39">
        <f>IF(C31="","",C31*D31)</f>
        <v/>
      </c>
      <c r="G31" s="39">
        <f>IF(C31="","",E31*(C31/8)*2)</f>
        <v/>
      </c>
      <c r="H31" s="38" t="n"/>
      <c r="I31" s="39">
        <f>IF(C31="","",ROUND((F31+G31)*$G$5,2))</f>
        <v/>
      </c>
      <c r="J31" s="38" t="n"/>
      <c r="K31" s="39">
        <f>IF(C31="","",F31+G31+H31-I31-J31)</f>
        <v/>
      </c>
    </row>
    <row r="32" ht="20" customHeight="1">
      <c r="A32" s="36" t="n">
        <v>25</v>
      </c>
      <c r="B32" s="37" t="n"/>
      <c r="C32" s="38" t="n"/>
      <c r="D32" s="37" t="n"/>
      <c r="E32" s="37" t="n"/>
      <c r="F32" s="39">
        <f>IF(C32="","",C32*D32)</f>
        <v/>
      </c>
      <c r="G32" s="39">
        <f>IF(C32="","",E32*(C32/8)*2)</f>
        <v/>
      </c>
      <c r="H32" s="38" t="n"/>
      <c r="I32" s="39">
        <f>IF(C32="","",ROUND((F32+G32)*$G$5,2))</f>
        <v/>
      </c>
      <c r="J32" s="38" t="n"/>
      <c r="K32" s="39">
        <f>IF(C32="","",F32+G32+H32-I32-J32)</f>
        <v/>
      </c>
    </row>
    <row r="33" ht="20" customHeight="1">
      <c r="A33" s="36" t="n">
        <v>26</v>
      </c>
      <c r="B33" s="37" t="n"/>
      <c r="C33" s="38" t="n"/>
      <c r="D33" s="37" t="n"/>
      <c r="E33" s="37" t="n"/>
      <c r="F33" s="39">
        <f>IF(C33="","",C33*D33)</f>
        <v/>
      </c>
      <c r="G33" s="39">
        <f>IF(C33="","",E33*(C33/8)*2)</f>
        <v/>
      </c>
      <c r="H33" s="38" t="n"/>
      <c r="I33" s="39">
        <f>IF(C33="","",ROUND((F33+G33)*$G$5,2))</f>
        <v/>
      </c>
      <c r="J33" s="38" t="n"/>
      <c r="K33" s="39">
        <f>IF(C33="","",F33+G33+H33-I33-J33)</f>
        <v/>
      </c>
    </row>
    <row r="34" ht="20" customHeight="1">
      <c r="A34" s="36" t="n">
        <v>27</v>
      </c>
      <c r="B34" s="37" t="n"/>
      <c r="C34" s="38" t="n"/>
      <c r="D34" s="37" t="n"/>
      <c r="E34" s="37" t="n"/>
      <c r="F34" s="39">
        <f>IF(C34="","",C34*D34)</f>
        <v/>
      </c>
      <c r="G34" s="39">
        <f>IF(C34="","",E34*(C34/8)*2)</f>
        <v/>
      </c>
      <c r="H34" s="38" t="n"/>
      <c r="I34" s="39">
        <f>IF(C34="","",ROUND((F34+G34)*$G$5,2))</f>
        <v/>
      </c>
      <c r="J34" s="38" t="n"/>
      <c r="K34" s="39">
        <f>IF(C34="","",F34+G34+H34-I34-J34)</f>
        <v/>
      </c>
    </row>
    <row r="35" ht="20" customHeight="1">
      <c r="A35" s="36" t="n">
        <v>28</v>
      </c>
      <c r="B35" s="37" t="n"/>
      <c r="C35" s="38" t="n"/>
      <c r="D35" s="37" t="n"/>
      <c r="E35" s="37" t="n"/>
      <c r="F35" s="39">
        <f>IF(C35="","",C35*D35)</f>
        <v/>
      </c>
      <c r="G35" s="39">
        <f>IF(C35="","",E35*(C35/8)*2)</f>
        <v/>
      </c>
      <c r="H35" s="38" t="n"/>
      <c r="I35" s="39">
        <f>IF(C35="","",ROUND((F35+G35)*$G$5,2))</f>
        <v/>
      </c>
      <c r="J35" s="38" t="n"/>
      <c r="K35" s="39">
        <f>IF(C35="","",F35+G35+H35-I35-J35)</f>
        <v/>
      </c>
    </row>
    <row r="36" ht="20" customHeight="1">
      <c r="A36" s="36" t="n">
        <v>29</v>
      </c>
      <c r="B36" s="37" t="n"/>
      <c r="C36" s="38" t="n"/>
      <c r="D36" s="37" t="n"/>
      <c r="E36" s="37" t="n"/>
      <c r="F36" s="39">
        <f>IF(C36="","",C36*D36)</f>
        <v/>
      </c>
      <c r="G36" s="39">
        <f>IF(C36="","",E36*(C36/8)*2)</f>
        <v/>
      </c>
      <c r="H36" s="38" t="n"/>
      <c r="I36" s="39">
        <f>IF(C36="","",ROUND((F36+G36)*$G$5,2))</f>
        <v/>
      </c>
      <c r="J36" s="38" t="n"/>
      <c r="K36" s="39">
        <f>IF(C36="","",F36+G36+H36-I36-J36)</f>
        <v/>
      </c>
    </row>
    <row r="37" ht="20" customHeight="1">
      <c r="A37" s="36" t="n">
        <v>30</v>
      </c>
      <c r="B37" s="37" t="n"/>
      <c r="C37" s="38" t="n"/>
      <c r="D37" s="37" t="n"/>
      <c r="E37" s="37" t="n"/>
      <c r="F37" s="39">
        <f>IF(C37="","",C37*D37)</f>
        <v/>
      </c>
      <c r="G37" s="39">
        <f>IF(C37="","",E37*(C37/8)*2)</f>
        <v/>
      </c>
      <c r="H37" s="38" t="n"/>
      <c r="I37" s="39">
        <f>IF(C37="","",ROUND((F37+G37)*$G$5,2))</f>
        <v/>
      </c>
      <c r="J37" s="38" t="n"/>
      <c r="K37" s="39">
        <f>IF(C37="","",F37+G37+H37-I37-J37)</f>
        <v/>
      </c>
    </row>
    <row r="38" ht="20" customHeight="1">
      <c r="A38" s="36" t="n">
        <v>31</v>
      </c>
      <c r="B38" s="37" t="n"/>
      <c r="C38" s="38" t="n"/>
      <c r="D38" s="37" t="n"/>
      <c r="E38" s="37" t="n"/>
      <c r="F38" s="39">
        <f>IF(C38="","",C38*D38)</f>
        <v/>
      </c>
      <c r="G38" s="39">
        <f>IF(C38="","",E38*(C38/8)*2)</f>
        <v/>
      </c>
      <c r="H38" s="38" t="n"/>
      <c r="I38" s="39">
        <f>IF(C38="","",ROUND((F38+G38)*$G$5,2))</f>
        <v/>
      </c>
      <c r="J38" s="38" t="n"/>
      <c r="K38" s="39">
        <f>IF(C38="","",F38+G38+H38-I38-J38)</f>
        <v/>
      </c>
    </row>
    <row r="39" ht="20" customHeight="1">
      <c r="A39" s="36" t="n">
        <v>32</v>
      </c>
      <c r="B39" s="37" t="n"/>
      <c r="C39" s="38" t="n"/>
      <c r="D39" s="37" t="n"/>
      <c r="E39" s="37" t="n"/>
      <c r="F39" s="39">
        <f>IF(C39="","",C39*D39)</f>
        <v/>
      </c>
      <c r="G39" s="39">
        <f>IF(C39="","",E39*(C39/8)*2)</f>
        <v/>
      </c>
      <c r="H39" s="38" t="n"/>
      <c r="I39" s="39">
        <f>IF(C39="","",ROUND((F39+G39)*$G$5,2))</f>
        <v/>
      </c>
      <c r="J39" s="38" t="n"/>
      <c r="K39" s="39">
        <f>IF(C39="","",F39+G39+H39-I39-J39)</f>
        <v/>
      </c>
    </row>
    <row r="40" ht="20" customHeight="1">
      <c r="A40" s="36" t="n">
        <v>33</v>
      </c>
      <c r="B40" s="37" t="n"/>
      <c r="C40" s="38" t="n"/>
      <c r="D40" s="37" t="n"/>
      <c r="E40" s="37" t="n"/>
      <c r="F40" s="39">
        <f>IF(C40="","",C40*D40)</f>
        <v/>
      </c>
      <c r="G40" s="39">
        <f>IF(C40="","",E40*(C40/8)*2)</f>
        <v/>
      </c>
      <c r="H40" s="38" t="n"/>
      <c r="I40" s="39">
        <f>IF(C40="","",ROUND((F40+G40)*$G$5,2))</f>
        <v/>
      </c>
      <c r="J40" s="38" t="n"/>
      <c r="K40" s="39">
        <f>IF(C40="","",F40+G40+H40-I40-J40)</f>
        <v/>
      </c>
    </row>
    <row r="41" ht="20" customHeight="1">
      <c r="A41" s="36" t="n">
        <v>34</v>
      </c>
      <c r="B41" s="37" t="n"/>
      <c r="C41" s="38" t="n"/>
      <c r="D41" s="37" t="n"/>
      <c r="E41" s="37" t="n"/>
      <c r="F41" s="39">
        <f>IF(C41="","",C41*D41)</f>
        <v/>
      </c>
      <c r="G41" s="39">
        <f>IF(C41="","",E41*(C41/8)*2)</f>
        <v/>
      </c>
      <c r="H41" s="38" t="n"/>
      <c r="I41" s="39">
        <f>IF(C41="","",ROUND((F41+G41)*$G$5,2))</f>
        <v/>
      </c>
      <c r="J41" s="38" t="n"/>
      <c r="K41" s="39">
        <f>IF(C41="","",F41+G41+H41-I41-J41)</f>
        <v/>
      </c>
    </row>
    <row r="42" ht="20" customHeight="1">
      <c r="A42" s="36" t="n">
        <v>35</v>
      </c>
      <c r="B42" s="37" t="n"/>
      <c r="C42" s="38" t="n"/>
      <c r="D42" s="37" t="n"/>
      <c r="E42" s="37" t="n"/>
      <c r="F42" s="39">
        <f>IF(C42="","",C42*D42)</f>
        <v/>
      </c>
      <c r="G42" s="39">
        <f>IF(C42="","",E42*(C42/8)*2)</f>
        <v/>
      </c>
      <c r="H42" s="38" t="n"/>
      <c r="I42" s="39">
        <f>IF(C42="","",ROUND((F42+G42)*$G$5,2))</f>
        <v/>
      </c>
      <c r="J42" s="38" t="n"/>
      <c r="K42" s="39">
        <f>IF(C42="","",F42+G42+H42-I42-J42)</f>
        <v/>
      </c>
    </row>
    <row r="43" ht="20" customHeight="1">
      <c r="A43" s="36" t="n">
        <v>36</v>
      </c>
      <c r="B43" s="37" t="n"/>
      <c r="C43" s="38" t="n"/>
      <c r="D43" s="37" t="n"/>
      <c r="E43" s="37" t="n"/>
      <c r="F43" s="39">
        <f>IF(C43="","",C43*D43)</f>
        <v/>
      </c>
      <c r="G43" s="39">
        <f>IF(C43="","",E43*(C43/8)*2)</f>
        <v/>
      </c>
      <c r="H43" s="38" t="n"/>
      <c r="I43" s="39">
        <f>IF(C43="","",ROUND((F43+G43)*$G$5,2))</f>
        <v/>
      </c>
      <c r="J43" s="38" t="n"/>
      <c r="K43" s="39">
        <f>IF(C43="","",F43+G43+H43-I43-J43)</f>
        <v/>
      </c>
    </row>
    <row r="44" ht="20" customHeight="1">
      <c r="A44" s="36" t="n">
        <v>37</v>
      </c>
      <c r="B44" s="37" t="n"/>
      <c r="C44" s="38" t="n"/>
      <c r="D44" s="37" t="n"/>
      <c r="E44" s="37" t="n"/>
      <c r="F44" s="39">
        <f>IF(C44="","",C44*D44)</f>
        <v/>
      </c>
      <c r="G44" s="39">
        <f>IF(C44="","",E44*(C44/8)*2)</f>
        <v/>
      </c>
      <c r="H44" s="38" t="n"/>
      <c r="I44" s="39">
        <f>IF(C44="","",ROUND((F44+G44)*$G$5,2))</f>
        <v/>
      </c>
      <c r="J44" s="38" t="n"/>
      <c r="K44" s="39">
        <f>IF(C44="","",F44+G44+H44-I44-J44)</f>
        <v/>
      </c>
    </row>
    <row r="45" ht="20" customHeight="1">
      <c r="A45" s="36" t="n">
        <v>38</v>
      </c>
      <c r="B45" s="37" t="n"/>
      <c r="C45" s="38" t="n"/>
      <c r="D45" s="37" t="n"/>
      <c r="E45" s="37" t="n"/>
      <c r="F45" s="39">
        <f>IF(C45="","",C45*D45)</f>
        <v/>
      </c>
      <c r="G45" s="39">
        <f>IF(C45="","",E45*(C45/8)*2)</f>
        <v/>
      </c>
      <c r="H45" s="38" t="n"/>
      <c r="I45" s="39">
        <f>IF(C45="","",ROUND((F45+G45)*$G$5,2))</f>
        <v/>
      </c>
      <c r="J45" s="38" t="n"/>
      <c r="K45" s="39">
        <f>IF(C45="","",F45+G45+H45-I45-J45)</f>
        <v/>
      </c>
    </row>
    <row r="46" ht="20" customHeight="1">
      <c r="A46" s="36" t="n">
        <v>39</v>
      </c>
      <c r="B46" s="37" t="n"/>
      <c r="C46" s="38" t="n"/>
      <c r="D46" s="37" t="n"/>
      <c r="E46" s="37" t="n"/>
      <c r="F46" s="39">
        <f>IF(C46="","",C46*D46)</f>
        <v/>
      </c>
      <c r="G46" s="39">
        <f>IF(C46="","",E46*(C46/8)*2)</f>
        <v/>
      </c>
      <c r="H46" s="38" t="n"/>
      <c r="I46" s="39">
        <f>IF(C46="","",ROUND((F46+G46)*$G$5,2))</f>
        <v/>
      </c>
      <c r="J46" s="38" t="n"/>
      <c r="K46" s="39">
        <f>IF(C46="","",F46+G46+H46-I46-J46)</f>
        <v/>
      </c>
    </row>
    <row r="47" ht="20" customHeight="1">
      <c r="A47" s="36" t="n">
        <v>40</v>
      </c>
      <c r="B47" s="37" t="n"/>
      <c r="C47" s="38" t="n"/>
      <c r="D47" s="37" t="n"/>
      <c r="E47" s="37" t="n"/>
      <c r="F47" s="39">
        <f>IF(C47="","",C47*D47)</f>
        <v/>
      </c>
      <c r="G47" s="39">
        <f>IF(C47="","",E47*(C47/8)*2)</f>
        <v/>
      </c>
      <c r="H47" s="38" t="n"/>
      <c r="I47" s="39">
        <f>IF(C47="","",ROUND((F47+G47)*$G$5,2))</f>
        <v/>
      </c>
      <c r="J47" s="38" t="n"/>
      <c r="K47" s="39">
        <f>IF(C47="","",F47+G47+H47-I47-J47)</f>
        <v/>
      </c>
    </row>
    <row r="48" ht="20" customHeight="1">
      <c r="A48" s="36" t="n">
        <v>41</v>
      </c>
      <c r="B48" s="37" t="n"/>
      <c r="C48" s="38" t="n"/>
      <c r="D48" s="37" t="n"/>
      <c r="E48" s="37" t="n"/>
      <c r="F48" s="39">
        <f>IF(C48="","",C48*D48)</f>
        <v/>
      </c>
      <c r="G48" s="39">
        <f>IF(C48="","",E48*(C48/8)*2)</f>
        <v/>
      </c>
      <c r="H48" s="38" t="n"/>
      <c r="I48" s="39">
        <f>IF(C48="","",ROUND((F48+G48)*$G$5,2))</f>
        <v/>
      </c>
      <c r="J48" s="38" t="n"/>
      <c r="K48" s="39">
        <f>IF(C48="","",F48+G48+H48-I48-J48)</f>
        <v/>
      </c>
    </row>
    <row r="49" ht="20" customHeight="1">
      <c r="A49" s="36" t="n">
        <v>42</v>
      </c>
      <c r="B49" s="37" t="n"/>
      <c r="C49" s="38" t="n"/>
      <c r="D49" s="37" t="n"/>
      <c r="E49" s="37" t="n"/>
      <c r="F49" s="39">
        <f>IF(C49="","",C49*D49)</f>
        <v/>
      </c>
      <c r="G49" s="39">
        <f>IF(C49="","",E49*(C49/8)*2)</f>
        <v/>
      </c>
      <c r="H49" s="38" t="n"/>
      <c r="I49" s="39">
        <f>IF(C49="","",ROUND((F49+G49)*$G$5,2))</f>
        <v/>
      </c>
      <c r="J49" s="38" t="n"/>
      <c r="K49" s="39">
        <f>IF(C49="","",F49+G49+H49-I49-J49)</f>
        <v/>
      </c>
    </row>
    <row r="50" ht="20" customHeight="1">
      <c r="A50" s="36" t="n">
        <v>43</v>
      </c>
      <c r="B50" s="37" t="n"/>
      <c r="C50" s="38" t="n"/>
      <c r="D50" s="37" t="n"/>
      <c r="E50" s="37" t="n"/>
      <c r="F50" s="39">
        <f>IF(C50="","",C50*D50)</f>
        <v/>
      </c>
      <c r="G50" s="39">
        <f>IF(C50="","",E50*(C50/8)*2)</f>
        <v/>
      </c>
      <c r="H50" s="38" t="n"/>
      <c r="I50" s="39">
        <f>IF(C50="","",ROUND((F50+G50)*$G$5,2))</f>
        <v/>
      </c>
      <c r="J50" s="38" t="n"/>
      <c r="K50" s="39">
        <f>IF(C50="","",F50+G50+H50-I50-J50)</f>
        <v/>
      </c>
    </row>
    <row r="51" ht="20" customHeight="1">
      <c r="A51" s="36" t="n">
        <v>44</v>
      </c>
      <c r="B51" s="37" t="n"/>
      <c r="C51" s="38" t="n"/>
      <c r="D51" s="37" t="n"/>
      <c r="E51" s="37" t="n"/>
      <c r="F51" s="39">
        <f>IF(C51="","",C51*D51)</f>
        <v/>
      </c>
      <c r="G51" s="39">
        <f>IF(C51="","",E51*(C51/8)*2)</f>
        <v/>
      </c>
      <c r="H51" s="38" t="n"/>
      <c r="I51" s="39">
        <f>IF(C51="","",ROUND((F51+G51)*$G$5,2))</f>
        <v/>
      </c>
      <c r="J51" s="38" t="n"/>
      <c r="K51" s="39">
        <f>IF(C51="","",F51+G51+H51-I51-J51)</f>
        <v/>
      </c>
    </row>
    <row r="52" ht="20" customHeight="1">
      <c r="A52" s="36" t="n">
        <v>45</v>
      </c>
      <c r="B52" s="37" t="n"/>
      <c r="C52" s="38" t="n"/>
      <c r="D52" s="37" t="n"/>
      <c r="E52" s="37" t="n"/>
      <c r="F52" s="39">
        <f>IF(C52="","",C52*D52)</f>
        <v/>
      </c>
      <c r="G52" s="39">
        <f>IF(C52="","",E52*(C52/8)*2)</f>
        <v/>
      </c>
      <c r="H52" s="38" t="n"/>
      <c r="I52" s="39">
        <f>IF(C52="","",ROUND((F52+G52)*$G$5,2))</f>
        <v/>
      </c>
      <c r="J52" s="38" t="n"/>
      <c r="K52" s="39">
        <f>IF(C52="","",F52+G52+H52-I52-J52)</f>
        <v/>
      </c>
    </row>
    <row r="53" ht="20" customHeight="1">
      <c r="A53" s="36" t="n">
        <v>46</v>
      </c>
      <c r="B53" s="37" t="n"/>
      <c r="C53" s="38" t="n"/>
      <c r="D53" s="37" t="n"/>
      <c r="E53" s="37" t="n"/>
      <c r="F53" s="39">
        <f>IF(C53="","",C53*D53)</f>
        <v/>
      </c>
      <c r="G53" s="39">
        <f>IF(C53="","",E53*(C53/8)*2)</f>
        <v/>
      </c>
      <c r="H53" s="38" t="n"/>
      <c r="I53" s="39">
        <f>IF(C53="","",ROUND((F53+G53)*$G$5,2))</f>
        <v/>
      </c>
      <c r="J53" s="38" t="n"/>
      <c r="K53" s="39">
        <f>IF(C53="","",F53+G53+H53-I53-J53)</f>
        <v/>
      </c>
    </row>
    <row r="54" ht="20" customHeight="1">
      <c r="A54" s="36" t="n">
        <v>47</v>
      </c>
      <c r="B54" s="37" t="n"/>
      <c r="C54" s="38" t="n"/>
      <c r="D54" s="37" t="n"/>
      <c r="E54" s="37" t="n"/>
      <c r="F54" s="39">
        <f>IF(C54="","",C54*D54)</f>
        <v/>
      </c>
      <c r="G54" s="39">
        <f>IF(C54="","",E54*(C54/8)*2)</f>
        <v/>
      </c>
      <c r="H54" s="38" t="n"/>
      <c r="I54" s="39">
        <f>IF(C54="","",ROUND((F54+G54)*$G$5,2))</f>
        <v/>
      </c>
      <c r="J54" s="38" t="n"/>
      <c r="K54" s="39">
        <f>IF(C54="","",F54+G54+H54-I54-J54)</f>
        <v/>
      </c>
    </row>
    <row r="55" ht="20" customHeight="1">
      <c r="A55" s="36" t="n">
        <v>48</v>
      </c>
      <c r="B55" s="37" t="n"/>
      <c r="C55" s="38" t="n"/>
      <c r="D55" s="37" t="n"/>
      <c r="E55" s="37" t="n"/>
      <c r="F55" s="39">
        <f>IF(C55="","",C55*D55)</f>
        <v/>
      </c>
      <c r="G55" s="39">
        <f>IF(C55="","",E55*(C55/8)*2)</f>
        <v/>
      </c>
      <c r="H55" s="38" t="n"/>
      <c r="I55" s="39">
        <f>IF(C55="","",ROUND((F55+G55)*$G$5,2))</f>
        <v/>
      </c>
      <c r="J55" s="38" t="n"/>
      <c r="K55" s="39">
        <f>IF(C55="","",F55+G55+H55-I55-J55)</f>
        <v/>
      </c>
    </row>
    <row r="56" ht="20" customHeight="1">
      <c r="A56" s="36" t="n">
        <v>49</v>
      </c>
      <c r="B56" s="37" t="n"/>
      <c r="C56" s="38" t="n"/>
      <c r="D56" s="37" t="n"/>
      <c r="E56" s="37" t="n"/>
      <c r="F56" s="39">
        <f>IF(C56="","",C56*D56)</f>
        <v/>
      </c>
      <c r="G56" s="39">
        <f>IF(C56="","",E56*(C56/8)*2)</f>
        <v/>
      </c>
      <c r="H56" s="38" t="n"/>
      <c r="I56" s="39">
        <f>IF(C56="","",ROUND((F56+G56)*$G$5,2))</f>
        <v/>
      </c>
      <c r="J56" s="38" t="n"/>
      <c r="K56" s="39">
        <f>IF(C56="","",F56+G56+H56-I56-J56)</f>
        <v/>
      </c>
    </row>
    <row r="57" ht="20" customHeight="1">
      <c r="A57" s="36" t="n">
        <v>50</v>
      </c>
      <c r="B57" s="37" t="n"/>
      <c r="C57" s="38" t="n"/>
      <c r="D57" s="37" t="n"/>
      <c r="E57" s="37" t="n"/>
      <c r="F57" s="39">
        <f>IF(C57="","",C57*D57)</f>
        <v/>
      </c>
      <c r="G57" s="39">
        <f>IF(C57="","",E57*(C57/8)*2)</f>
        <v/>
      </c>
      <c r="H57" s="38" t="n"/>
      <c r="I57" s="39">
        <f>IF(C57="","",ROUND((F57+G57)*$G$5,2))</f>
        <v/>
      </c>
      <c r="J57" s="38" t="n"/>
      <c r="K57" s="39">
        <f>IF(C57="","",F57+G57+H57-I57-J57)</f>
        <v/>
      </c>
    </row>
    <row r="58" ht="20" customHeight="1">
      <c r="A58" s="36" t="n">
        <v>51</v>
      </c>
      <c r="B58" s="37" t="n"/>
      <c r="C58" s="38" t="n"/>
      <c r="D58" s="37" t="n"/>
      <c r="E58" s="37" t="n"/>
      <c r="F58" s="39">
        <f>IF(C58="","",C58*D58)</f>
        <v/>
      </c>
      <c r="G58" s="39">
        <f>IF(C58="","",E58*(C58/8)*2)</f>
        <v/>
      </c>
      <c r="H58" s="38" t="n"/>
      <c r="I58" s="39">
        <f>IF(C58="","",ROUND((F58+G58)*$G$5,2))</f>
        <v/>
      </c>
      <c r="J58" s="38" t="n"/>
      <c r="K58" s="39">
        <f>IF(C58="","",F58+G58+H58-I58-J58)</f>
        <v/>
      </c>
    </row>
    <row r="59" ht="20" customHeight="1">
      <c r="A59" s="36" t="n">
        <v>52</v>
      </c>
      <c r="B59" s="37" t="n"/>
      <c r="C59" s="38" t="n"/>
      <c r="D59" s="37" t="n"/>
      <c r="E59" s="37" t="n"/>
      <c r="F59" s="39">
        <f>IF(C59="","",C59*D59)</f>
        <v/>
      </c>
      <c r="G59" s="39">
        <f>IF(C59="","",E59*(C59/8)*2)</f>
        <v/>
      </c>
      <c r="H59" s="38" t="n"/>
      <c r="I59" s="39">
        <f>IF(C59="","",ROUND((F59+G59)*$G$5,2))</f>
        <v/>
      </c>
      <c r="J59" s="38" t="n"/>
      <c r="K59" s="39">
        <f>IF(C59="","",F59+G59+H59-I59-J59)</f>
        <v/>
      </c>
    </row>
    <row r="60" ht="20" customHeight="1">
      <c r="A60" s="36" t="n">
        <v>53</v>
      </c>
      <c r="B60" s="37" t="n"/>
      <c r="C60" s="38" t="n"/>
      <c r="D60" s="37" t="n"/>
      <c r="E60" s="37" t="n"/>
      <c r="F60" s="39">
        <f>IF(C60="","",C60*D60)</f>
        <v/>
      </c>
      <c r="G60" s="39">
        <f>IF(C60="","",E60*(C60/8)*2)</f>
        <v/>
      </c>
      <c r="H60" s="38" t="n"/>
      <c r="I60" s="39">
        <f>IF(C60="","",ROUND((F60+G60)*$G$5,2))</f>
        <v/>
      </c>
      <c r="J60" s="38" t="n"/>
      <c r="K60" s="39">
        <f>IF(C60="","",F60+G60+H60-I60-J60)</f>
        <v/>
      </c>
    </row>
    <row r="61" ht="20" customHeight="1">
      <c r="A61" s="36" t="n">
        <v>54</v>
      </c>
      <c r="B61" s="37" t="n"/>
      <c r="C61" s="38" t="n"/>
      <c r="D61" s="37" t="n"/>
      <c r="E61" s="37" t="n"/>
      <c r="F61" s="39">
        <f>IF(C61="","",C61*D61)</f>
        <v/>
      </c>
      <c r="G61" s="39">
        <f>IF(C61="","",E61*(C61/8)*2)</f>
        <v/>
      </c>
      <c r="H61" s="38" t="n"/>
      <c r="I61" s="39">
        <f>IF(C61="","",ROUND((F61+G61)*$G$5,2))</f>
        <v/>
      </c>
      <c r="J61" s="38" t="n"/>
      <c r="K61" s="39">
        <f>IF(C61="","",F61+G61+H61-I61-J61)</f>
        <v/>
      </c>
    </row>
    <row r="62" ht="20" customHeight="1">
      <c r="A62" s="36" t="n">
        <v>55</v>
      </c>
      <c r="B62" s="37" t="n"/>
      <c r="C62" s="38" t="n"/>
      <c r="D62" s="37" t="n"/>
      <c r="E62" s="37" t="n"/>
      <c r="F62" s="39">
        <f>IF(C62="","",C62*D62)</f>
        <v/>
      </c>
      <c r="G62" s="39">
        <f>IF(C62="","",E62*(C62/8)*2)</f>
        <v/>
      </c>
      <c r="H62" s="38" t="n"/>
      <c r="I62" s="39">
        <f>IF(C62="","",ROUND((F62+G62)*$G$5,2))</f>
        <v/>
      </c>
      <c r="J62" s="38" t="n"/>
      <c r="K62" s="39">
        <f>IF(C62="","",F62+G62+H62-I62-J62)</f>
        <v/>
      </c>
    </row>
    <row r="63" ht="20" customHeight="1">
      <c r="A63" s="36" t="n">
        <v>56</v>
      </c>
      <c r="B63" s="37" t="n"/>
      <c r="C63" s="38" t="n"/>
      <c r="D63" s="37" t="n"/>
      <c r="E63" s="37" t="n"/>
      <c r="F63" s="39">
        <f>IF(C63="","",C63*D63)</f>
        <v/>
      </c>
      <c r="G63" s="39">
        <f>IF(C63="","",E63*(C63/8)*2)</f>
        <v/>
      </c>
      <c r="H63" s="38" t="n"/>
      <c r="I63" s="39">
        <f>IF(C63="","",ROUND((F63+G63)*$G$5,2))</f>
        <v/>
      </c>
      <c r="J63" s="38" t="n"/>
      <c r="K63" s="39">
        <f>IF(C63="","",F63+G63+H63-I63-J63)</f>
        <v/>
      </c>
    </row>
    <row r="64" ht="20" customHeight="1">
      <c r="A64" s="36" t="n">
        <v>57</v>
      </c>
      <c r="B64" s="37" t="n"/>
      <c r="C64" s="38" t="n"/>
      <c r="D64" s="37" t="n"/>
      <c r="E64" s="37" t="n"/>
      <c r="F64" s="39">
        <f>IF(C64="","",C64*D64)</f>
        <v/>
      </c>
      <c r="G64" s="39">
        <f>IF(C64="","",E64*(C64/8)*2)</f>
        <v/>
      </c>
      <c r="H64" s="38" t="n"/>
      <c r="I64" s="39">
        <f>IF(C64="","",ROUND((F64+G64)*$G$5,2))</f>
        <v/>
      </c>
      <c r="J64" s="38" t="n"/>
      <c r="K64" s="39">
        <f>IF(C64="","",F64+G64+H64-I64-J64)</f>
        <v/>
      </c>
    </row>
    <row r="65" ht="20" customHeight="1">
      <c r="A65" s="36" t="n">
        <v>58</v>
      </c>
      <c r="B65" s="37" t="n"/>
      <c r="C65" s="38" t="n"/>
      <c r="D65" s="37" t="n"/>
      <c r="E65" s="37" t="n"/>
      <c r="F65" s="39">
        <f>IF(C65="","",C65*D65)</f>
        <v/>
      </c>
      <c r="G65" s="39">
        <f>IF(C65="","",E65*(C65/8)*2)</f>
        <v/>
      </c>
      <c r="H65" s="38" t="n"/>
      <c r="I65" s="39">
        <f>IF(C65="","",ROUND((F65+G65)*$G$5,2))</f>
        <v/>
      </c>
      <c r="J65" s="38" t="n"/>
      <c r="K65" s="39">
        <f>IF(C65="","",F65+G65+H65-I65-J65)</f>
        <v/>
      </c>
    </row>
    <row r="66" ht="20" customHeight="1">
      <c r="A66" s="36" t="n">
        <v>59</v>
      </c>
      <c r="B66" s="37" t="n"/>
      <c r="C66" s="38" t="n"/>
      <c r="D66" s="37" t="n"/>
      <c r="E66" s="37" t="n"/>
      <c r="F66" s="39">
        <f>IF(C66="","",C66*D66)</f>
        <v/>
      </c>
      <c r="G66" s="39">
        <f>IF(C66="","",E66*(C66/8)*2)</f>
        <v/>
      </c>
      <c r="H66" s="38" t="n"/>
      <c r="I66" s="39">
        <f>IF(C66="","",ROUND((F66+G66)*$G$5,2))</f>
        <v/>
      </c>
      <c r="J66" s="38" t="n"/>
      <c r="K66" s="39">
        <f>IF(C66="","",F66+G66+H66-I66-J66)</f>
        <v/>
      </c>
    </row>
    <row r="67" ht="20" customHeight="1">
      <c r="A67" s="36" t="n">
        <v>60</v>
      </c>
      <c r="B67" s="37" t="n"/>
      <c r="C67" s="38" t="n"/>
      <c r="D67" s="37" t="n"/>
      <c r="E67" s="37" t="n"/>
      <c r="F67" s="39">
        <f>IF(C67="","",C67*D67)</f>
        <v/>
      </c>
      <c r="G67" s="39">
        <f>IF(C67="","",E67*(C67/8)*2)</f>
        <v/>
      </c>
      <c r="H67" s="38" t="n"/>
      <c r="I67" s="39">
        <f>IF(C67="","",ROUND((F67+G67)*$G$5,2))</f>
        <v/>
      </c>
      <c r="J67" s="38" t="n"/>
      <c r="K67" s="39">
        <f>IF(C67="","",F67+G67+H67-I67-J67)</f>
        <v/>
      </c>
    </row>
    <row r="68">
      <c r="A68" s="4" t="n"/>
      <c r="B68" s="4" t="n"/>
      <c r="C68" s="4" t="n"/>
      <c r="D68" s="4" t="n"/>
      <c r="E68" s="40" t="inlineStr">
        <is>
          <t>TOTAL</t>
        </is>
      </c>
      <c r="F68" s="41">
        <f>SUM(F8:F67)</f>
        <v/>
      </c>
      <c r="G68" s="41">
        <f>SUM(G8:G67)</f>
        <v/>
      </c>
      <c r="H68" s="41">
        <f>SUM(H8:H67)</f>
        <v/>
      </c>
      <c r="I68" s="41">
        <f>SUM(I8:I67)</f>
        <v/>
      </c>
      <c r="J68" s="41">
        <f>SUM(J8:J67)</f>
        <v/>
      </c>
      <c r="K68" s="41">
        <f>SUM(K8:K67)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2" t="n"/>
      <c r="B71" s="42" t="n"/>
      <c r="C71" s="4" t="n"/>
      <c r="D71" s="42" t="n"/>
      <c r="E71" s="42" t="n"/>
      <c r="F71" s="4" t="n"/>
      <c r="G71" s="42" t="n"/>
      <c r="H71" s="42" t="n"/>
      <c r="I71" s="4" t="n"/>
      <c r="J71" s="4" t="n"/>
      <c r="K71" s="4" t="n"/>
    </row>
    <row r="72">
      <c r="A72" s="43" t="inlineStr">
        <is>
          <t>ELABORÓ</t>
        </is>
      </c>
      <c r="B72" s="4" t="n"/>
      <c r="C72" s="4" t="n"/>
      <c r="D72" s="43" t="inlineStr">
        <is>
          <t>REVISÓ</t>
        </is>
      </c>
      <c r="E72" s="4" t="n"/>
      <c r="F72" s="4" t="n"/>
      <c r="G72" s="43" t="inlineStr">
        <is>
          <t>AUTORIZÓ</t>
        </is>
      </c>
      <c r="H72" s="4" t="n"/>
      <c r="I72" s="4" t="n"/>
      <c r="J72" s="4" t="n"/>
      <c r="K72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3">
    <mergeCell ref="B5:D5"/>
    <mergeCell ref="A2:I2"/>
    <mergeCell ref="A72:B72"/>
    <mergeCell ref="D72:E72"/>
    <mergeCell ref="G5:I5"/>
    <mergeCell ref="A71:B71"/>
    <mergeCell ref="B4:D4"/>
    <mergeCell ref="A1:I1"/>
    <mergeCell ref="G71:H71"/>
    <mergeCell ref="G4:I4"/>
    <mergeCell ref="J1:K2"/>
    <mergeCell ref="D71:E71"/>
    <mergeCell ref="G72:H72"/>
  </mergeCells>
  <conditionalFormatting sqref="K8:K67">
    <cfRule type="dataBar" priority="1">
      <dataBar showValue="1">
        <cfvo type="num" val="0"/>
        <cfvo type="max"/>
        <color rgb="002A6FBA"/>
      </dataBar>
    </cfRule>
  </conditionalFormatting>
  <dataValidations count="3">
    <dataValidation sqref="C8:C6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8:H6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8:J6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RESUMEN DE NÓMINA</t>
        </is>
      </c>
      <c r="B1" s="1" t="n"/>
      <c r="C1" s="1" t="n"/>
      <c r="D1" s="1" t="n"/>
      <c r="E1" s="1" t="n"/>
      <c r="F1" s="1" t="n"/>
      <c r="G1" s="1" t="n"/>
      <c r="H1" s="27" t="inlineStr">
        <is>
          <t>INSERTE SU LOGO
(clic derecho &gt; Insertar imagen)</t>
        </is>
      </c>
      <c r="I1" s="44" t="n"/>
      <c r="J1" s="28" t="n"/>
    </row>
    <row r="2" ht="26" customHeight="1">
      <c r="A2" s="29" t="inlineStr">
        <is>
          <t>Percepciones, deducciones y neto del periodo</t>
        </is>
      </c>
      <c r="B2" s="30" t="n"/>
      <c r="C2" s="30" t="n"/>
      <c r="D2" s="30" t="n"/>
      <c r="E2" s="30" t="n"/>
      <c r="F2" s="30" t="n"/>
      <c r="G2" s="30" t="n"/>
      <c r="H2" s="31" t="n"/>
      <c r="I2" s="45" t="n"/>
      <c r="J2" s="3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46" t="inlineStr">
        <is>
          <t>PERCEPCIONES</t>
        </is>
      </c>
      <c r="C4" s="47" t="n"/>
      <c r="D4" s="46" t="inlineStr">
        <is>
          <t>DEDUCCIONES</t>
        </is>
      </c>
      <c r="E4" s="47" t="n"/>
      <c r="F4" s="46" t="inlineStr">
        <is>
          <t>NETO A PAGAR</t>
        </is>
      </c>
      <c r="G4" s="47" t="n"/>
      <c r="H4" s="46" t="inlineStr">
        <is>
          <t>EMPLEADOS</t>
        </is>
      </c>
      <c r="I4" s="47" t="n"/>
      <c r="J4" s="4" t="n"/>
    </row>
    <row r="5" ht="46" customHeight="1">
      <c r="A5" s="4" t="n"/>
      <c r="B5" s="48">
        <f>FORMATO!F68+FORMATO!G68+FORMATO!H68</f>
        <v/>
      </c>
      <c r="C5" s="49" t="n"/>
      <c r="D5" s="48">
        <f>FORMATO!I68+FORMATO!J68</f>
        <v/>
      </c>
      <c r="E5" s="49" t="n"/>
      <c r="F5" s="48">
        <f>FORMATO!K68</f>
        <v/>
      </c>
      <c r="G5" s="49" t="n"/>
      <c r="H5" s="50">
        <f>COUNT(FORMATO!C8:C67)</f>
        <v/>
      </c>
      <c r="I5" s="49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0" customHeight="1">
      <c r="A7" s="4" t="n"/>
      <c r="B7" s="51">
        <f>IF(H5=0,"Captura empleados en la hoja FORMATO para ver el análisis automático.","Mayor neto: "&amp;INDEX(FORMATO!B8:B67,MATCH(MAX(FORMATO!K8:K67),FORMATO!K8:K67,0))&amp;" ($"&amp;TEXT(MAX(FORMATO!K8:K67),"#,##0")&amp;"). Neto promedio por empleado: $"&amp;TEXT(F5/H5,"#,##0")&amp;".")</f>
        <v/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5" t="inlineStr">
        <is>
          <t>EMPLEADO</t>
        </is>
      </c>
      <c r="C25" s="35" t="inlineStr">
        <is>
          <t>NETO A PAGAR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52">
        <f>IF(FORMATO!B8="","",FORMATO!B8)</f>
        <v/>
      </c>
      <c r="C26" s="53">
        <f>IF(FORMATO!K8="",0,FORMATO!K8)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52">
        <f>IF(FORMATO!B9="","",FORMATO!B9)</f>
        <v/>
      </c>
      <c r="C27" s="53">
        <f>IF(FORMATO!K9="",0,FORMATO!K9)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52">
        <f>IF(FORMATO!B10="","",FORMATO!B10)</f>
        <v/>
      </c>
      <c r="C28" s="53">
        <f>IF(FORMATO!K10="",0,FORMATO!K10)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52">
        <f>IF(FORMATO!B11="","",FORMATO!B11)</f>
        <v/>
      </c>
      <c r="C29" s="53">
        <f>IF(FORMATO!K11="",0,FORMATO!K11)</f>
        <v/>
      </c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52">
        <f>IF(FORMATO!B12="","",FORMATO!B12)</f>
        <v/>
      </c>
      <c r="C30" s="53">
        <f>IF(FORMATO!K12="",0,FORMATO!K12)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52">
        <f>IF(FORMATO!B13="","",FORMATO!B13)</f>
        <v/>
      </c>
      <c r="C31" s="53">
        <f>IF(FORMATO!K13="",0,FORMATO!K13)</f>
        <v/>
      </c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52">
        <f>IF(FORMATO!B14="","",FORMATO!B14)</f>
        <v/>
      </c>
      <c r="C32" s="53">
        <f>IF(FORMATO!K14="",0,FORMATO!K14)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52">
        <f>IF(FORMATO!B15="","",FORMATO!B15)</f>
        <v/>
      </c>
      <c r="C33" s="53">
        <f>IF(FORMATO!K15="",0,FORMATO!K15)</f>
        <v/>
      </c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52">
        <f>IF(FORMATO!B16="","",FORMATO!B16)</f>
        <v/>
      </c>
      <c r="C34" s="53">
        <f>IF(FORMATO!K16="",0,FORMATO!K16)</f>
        <v/>
      </c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52">
        <f>IF(FORMATO!B17="","",FORMATO!B17)</f>
        <v/>
      </c>
      <c r="C35" s="53">
        <f>IF(FORMATO!K17="",0,FORMATO!K17)</f>
        <v/>
      </c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52">
        <f>IF(FORMATO!B18="","",FORMATO!B18)</f>
        <v/>
      </c>
      <c r="C36" s="53">
        <f>IF(FORMATO!K18="",0,FORMATO!K18)</f>
        <v/>
      </c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52">
        <f>IF(FORMATO!B19="","",FORMATO!B19)</f>
        <v/>
      </c>
      <c r="C37" s="53">
        <f>IF(FORMATO!K19="",0,FORMATO!K19)</f>
        <v/>
      </c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52">
        <f>IF(FORMATO!B20="","",FORMATO!B20)</f>
        <v/>
      </c>
      <c r="C38" s="53">
        <f>IF(FORMATO!K20="",0,FORMATO!K20)</f>
        <v/>
      </c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52">
        <f>IF(FORMATO!B21="","",FORMATO!B21)</f>
        <v/>
      </c>
      <c r="C39" s="53">
        <f>IF(FORMATO!K21="",0,FORMATO!K21)</f>
        <v/>
      </c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52">
        <f>IF(FORMATO!B22="","",FORMATO!B22)</f>
        <v/>
      </c>
      <c r="C40" s="53">
        <f>IF(FORMATO!K22="",0,FORMATO!K22)</f>
        <v/>
      </c>
      <c r="D40" s="4" t="n"/>
      <c r="E40" s="4" t="n"/>
      <c r="F40" s="4" t="n"/>
      <c r="G40" s="4" t="n"/>
      <c r="H40" s="4" t="n"/>
      <c r="I40" s="4" t="n"/>
      <c r="J40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F4:G4"/>
    <mergeCell ref="H1:J2"/>
    <mergeCell ref="A1:G1"/>
    <mergeCell ref="B7:I7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54" t="inlineStr">
        <is>
          <t>AYUDA Y PREGUNTAS FRECUENTES</t>
        </is>
      </c>
      <c r="C1" s="4" t="n"/>
      <c r="D1" s="4" t="n"/>
      <c r="E1" s="1" t="n"/>
    </row>
    <row r="2">
      <c r="A2" s="1" t="n"/>
      <c r="B2" s="55" t="inlineStr">
        <is>
          <t>NÓMINA SIMPLIFICADA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56" t="inlineStr">
        <is>
          <t>¿El % de IMSS es exacto?</t>
        </is>
      </c>
      <c r="D6" s="57" t="inlineStr">
        <is>
          <t>No. Es una referencia editable; la cuota real varía por ramo, salario base de cotización y prima de riesgo.</t>
        </is>
      </c>
      <c r="E6" s="4" t="n"/>
    </row>
    <row r="7" ht="30" customHeight="1">
      <c r="A7" s="4" t="n"/>
      <c r="B7" s="4" t="n"/>
      <c r="C7" s="56" t="inlineStr">
        <is>
          <t>¿Sirve para timbrar recibos?</t>
        </is>
      </c>
      <c r="D7" s="57" t="inlineStr">
        <is>
          <t>No. Para recibos CFDI de nómina usa tu sistema de timbrado.</t>
        </is>
      </c>
      <c r="E7" s="4" t="n"/>
    </row>
    <row r="8" ht="53" customHeight="1">
      <c r="A8" s="4" t="n"/>
      <c r="B8" s="4" t="n"/>
      <c r="C8" s="56" t="inlineStr">
        <is>
          <t>¿Por qué no puedo escribir en algunas celdas?</t>
        </is>
      </c>
      <c r="D8" s="57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6" t="inlineStr">
        <is>
          <t>¿Cómo agrego mi logotipo?</t>
        </is>
      </c>
      <c r="D9" s="57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6" t="inlineStr">
        <is>
          <t>¿Cómo lo imprimo o lo convierto a PDF?</t>
        </is>
      </c>
      <c r="D10" s="57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6" t="inlineStr">
        <is>
          <t>¿Con qué versiones de Excel funciona?</t>
        </is>
      </c>
      <c r="D11" s="57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6" t="inlineStr">
        <is>
          <t>¿Puedo cambiar la letra?</t>
        </is>
      </c>
      <c r="D12" s="57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56" t="inlineStr">
        <is>
          <t>¿Puedo usarlo en varias empresas o por varios años?</t>
        </is>
      </c>
      <c r="D13" s="57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8" t="inlineStr">
        <is>
          <t>SUELDO DIARIO</t>
        </is>
      </c>
      <c r="D16" s="59" t="inlineStr">
        <is>
          <t>Pago por día laborado.</t>
        </is>
      </c>
      <c r="E16" s="4" t="n"/>
    </row>
    <row r="17" ht="21" customHeight="1">
      <c r="A17" s="4" t="n"/>
      <c r="B17" s="4" t="n"/>
      <c r="C17" s="58" t="inlineStr">
        <is>
          <t>SDI</t>
        </is>
      </c>
      <c r="D17" s="59" t="inlineStr">
        <is>
          <t>Salario diario integrado, base de cotización al IMSS.</t>
        </is>
      </c>
      <c r="E17" s="4" t="n"/>
    </row>
    <row r="18" ht="21" customHeight="1">
      <c r="A18" s="4" t="n"/>
      <c r="B18" s="4" t="n"/>
      <c r="C18" s="58" t="inlineStr">
        <is>
          <t>PERCEPCIONES</t>
        </is>
      </c>
      <c r="D18" s="59" t="inlineStr">
        <is>
          <t>Sueldos, horas extra, bonos y demás pagos.</t>
        </is>
      </c>
      <c r="E18" s="4" t="n"/>
    </row>
    <row r="19" ht="21" customHeight="1">
      <c r="A19" s="4" t="n"/>
      <c r="B19" s="4" t="n"/>
      <c r="C19" s="58" t="inlineStr">
        <is>
          <t>DEDUCCIONES</t>
        </is>
      </c>
      <c r="D19" s="59" t="inlineStr">
        <is>
          <t>ISR, IMSS y otros descuentos.</t>
        </is>
      </c>
      <c r="E19" s="4" t="n"/>
    </row>
    <row r="20" ht="21" customHeight="1">
      <c r="A20" s="4" t="n"/>
      <c r="B20" s="4" t="n"/>
      <c r="C20" s="58" t="inlineStr">
        <is>
          <t>NETO</t>
        </is>
      </c>
      <c r="D20" s="59" t="inlineStr">
        <is>
          <t>Percepciones - deducciones.</t>
        </is>
      </c>
      <c r="E20" s="4" t="n"/>
    </row>
    <row r="21">
      <c r="A21" s="4" t="n"/>
      <c r="B21" s="4" t="n"/>
      <c r="C21" s="4" t="n"/>
      <c r="D21" s="4" t="n"/>
      <c r="E21" s="4" t="n"/>
    </row>
    <row r="22" ht="24" customHeight="1">
      <c r="A22" s="4" t="n"/>
      <c r="B22" s="9" t="inlineStr">
        <is>
          <t>LISTA DE VERIFICACIÓN (marca ☑ al completar)</t>
        </is>
      </c>
      <c r="C22" s="10" t="n"/>
      <c r="D22" s="10" t="n"/>
      <c r="E22" s="4" t="n"/>
    </row>
    <row r="23" ht="20" customHeight="1">
      <c r="A23" s="4" t="n"/>
      <c r="B23" s="60" t="inlineStr">
        <is>
          <t>☐</t>
        </is>
      </c>
      <c r="C23" s="61" t="inlineStr">
        <is>
          <t>Asistencia del periodo validada</t>
        </is>
      </c>
      <c r="D23" s="4" t="n"/>
      <c r="E23" s="4" t="n"/>
    </row>
    <row r="24" ht="20" customHeight="1">
      <c r="A24" s="4" t="n"/>
      <c r="B24" s="60" t="inlineStr">
        <is>
          <t>☐</t>
        </is>
      </c>
      <c r="C24" s="61" t="inlineStr">
        <is>
          <t>Horas extra autorizadas</t>
        </is>
      </c>
      <c r="D24" s="4" t="n"/>
      <c r="E24" s="4" t="n"/>
    </row>
    <row r="25" ht="20" customHeight="1">
      <c r="A25" s="4" t="n"/>
      <c r="B25" s="60" t="inlineStr">
        <is>
          <t>☐</t>
        </is>
      </c>
      <c r="C25" s="61" t="inlineStr">
        <is>
          <t>ISR/IMSS calculados</t>
        </is>
      </c>
      <c r="D25" s="4" t="n"/>
      <c r="E25" s="4" t="n"/>
    </row>
    <row r="26" ht="20" customHeight="1">
      <c r="A26" s="4" t="n"/>
      <c r="B26" s="60" t="inlineStr">
        <is>
          <t>☐</t>
        </is>
      </c>
      <c r="C26" s="61" t="inlineStr">
        <is>
          <t>Dispersión y recibos entregados</t>
        </is>
      </c>
      <c r="D26" s="4" t="n"/>
      <c r="E2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4:D24"/>
    <mergeCell ref="B1:D1"/>
    <mergeCell ref="C25:D25"/>
    <mergeCell ref="C26:D26"/>
    <mergeCell ref="C23:D23"/>
    <mergeCell ref="B2:D2"/>
  </mergeCells>
  <dataValidations count="1">
    <dataValidation sqref="B23 B24 B25 B26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2026-10-07T22:57:52Z</dcterms:created>
  <dcterms:modified xmlns:dcterms="http://purl.org/dc/terms/" xmlns:xsi="http://www.w3.org/2001/XMLSchema-instance" xsi:type="dcterms:W3CDTF">2026-10-07T22:57:52Z</dcterms:modified>
</cp:coreProperties>
</file>