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>
    <definedName name="_xlnm.Print_Titles" localSheetId="1">'FORMATO'!$8:$8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  <b val="1"/>
      <color rgb="00FFFFFF"/>
    </font>
    <font>
      <name val="Arial"/>
      <b val="1"/>
    </font>
    <font>
      <name val="Arial"/>
      <b val="1"/>
      <color rgb="000B2A4A"/>
    </font>
    <font>
      <name val="Arial"/>
      <b val="1"/>
      <sz val="12"/>
    </font>
    <font>
      <name val="Arial"/>
      <b val="1"/>
      <color rgb="000E7C8B"/>
      <sz val="9"/>
    </font>
    <font>
      <name val="Arial"/>
      <b val="1"/>
      <color rgb="000B2A4A"/>
      <sz val="24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2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bottom style="thin"/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8" fillId="2" borderId="0" pivotButton="0" quotePrefix="0" xfId="0"/>
    <xf numFmtId="0" fontId="11" fillId="2" borderId="0" pivotButton="0" quotePrefix="0" xfId="0"/>
    <xf numFmtId="0" fontId="12" fillId="2" borderId="0" applyAlignment="1" pivotButton="0" quotePrefix="0" xfId="0">
      <alignment horizontal="right" vertical="center"/>
    </xf>
    <xf numFmtId="0" fontId="28" fillId="0" borderId="0" pivotButton="0" quotePrefix="0" xfId="0"/>
    <xf numFmtId="0" fontId="13" fillId="2" borderId="0" applyAlignment="1" pivotButton="0" quotePrefix="0" xfId="0">
      <alignment vertical="center" wrapText="1"/>
    </xf>
    <xf numFmtId="0" fontId="14" fillId="2" borderId="0" pivotButton="0" quotePrefix="0" xfId="0"/>
    <xf numFmtId="0" fontId="15" fillId="2" borderId="18" applyAlignment="1" pivotButton="0" quotePrefix="0" xfId="0">
      <alignment horizontal="center" vertical="center"/>
    </xf>
    <xf numFmtId="0" fontId="28" fillId="0" borderId="19" pivotButton="0" quotePrefix="0" xfId="0"/>
    <xf numFmtId="0" fontId="16" fillId="0" borderId="1" pivotButton="0" quotePrefix="0" xfId="0"/>
    <xf numFmtId="0" fontId="28" fillId="0" borderId="1" pivotButton="0" quotePrefix="0" xfId="0"/>
    <xf numFmtId="0" fontId="11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7" fillId="0" borderId="0" pivotButton="0" quotePrefix="0" xfId="0"/>
    <xf numFmtId="0" fontId="19" fillId="0" borderId="20" applyAlignment="1" pivotButton="0" quotePrefix="0" xfId="0">
      <alignment vertical="center"/>
    </xf>
    <xf numFmtId="0" fontId="18" fillId="0" borderId="20" applyAlignment="1" pivotButton="0" quotePrefix="0" xfId="0">
      <alignment vertical="center" wrapText="1"/>
    </xf>
    <xf numFmtId="0" fontId="28" fillId="0" borderId="20" pivotButton="0" quotePrefix="0" xfId="0"/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8" fillId="4" borderId="5" applyProtection="1" pivotButton="0" quotePrefix="0" xfId="0">
      <protection locked="0" hidden="0"/>
    </xf>
    <xf numFmtId="0" fontId="22" fillId="0" borderId="0" pivotButton="0" quotePrefix="0" xfId="0"/>
    <xf numFmtId="0" fontId="28" fillId="6" borderId="5" pivotButton="0" quotePrefix="0" xfId="0"/>
    <xf numFmtId="0" fontId="28" fillId="2" borderId="5" pivotButton="0" quotePrefix="0" xfId="0"/>
    <xf numFmtId="0" fontId="28" fillId="7" borderId="5" pivotButton="0" quotePrefix="0" xfId="0"/>
    <xf numFmtId="0" fontId="23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8" fillId="0" borderId="2" pivotButton="0" quotePrefix="0" xfId="0"/>
    <xf numFmtId="0" fontId="28" fillId="0" borderId="4" pivotButton="0" quotePrefix="0" xfId="0"/>
    <xf numFmtId="0" fontId="4" fillId="3" borderId="5" pivotButton="0" quotePrefix="0" xfId="0"/>
    <xf numFmtId="164" fontId="28" fillId="4" borderId="5" applyProtection="1" pivotButton="0" quotePrefix="0" xfId="0">
      <protection locked="0" hidden="0"/>
    </xf>
    <xf numFmtId="0" fontId="5" fillId="5" borderId="6" applyAlignment="1" pivotButton="0" quotePrefix="0" xfId="0">
      <alignment horizontal="center" vertical="center" wrapText="1"/>
    </xf>
    <xf numFmtId="0" fontId="28" fillId="6" borderId="5" applyAlignment="1" pivotButton="0" quotePrefix="0" xfId="0">
      <alignment horizontal="center"/>
    </xf>
    <xf numFmtId="0" fontId="28" fillId="7" borderId="5" applyAlignment="1" pivotButton="0" quotePrefix="0" xfId="0">
      <alignment vertical="center"/>
    </xf>
    <xf numFmtId="0" fontId="28" fillId="4" borderId="5" applyAlignment="1" applyProtection="1" pivotButton="0" quotePrefix="0" xfId="0">
      <alignment vertical="center"/>
      <protection locked="0" hidden="0"/>
    </xf>
    <xf numFmtId="9" fontId="28" fillId="4" borderId="5" applyAlignment="1" applyProtection="1" pivotButton="0" quotePrefix="0" xfId="0">
      <alignment vertical="center"/>
      <protection locked="0" hidden="0"/>
    </xf>
    <xf numFmtId="2" fontId="28" fillId="6" borderId="5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9" fontId="7" fillId="3" borderId="5" pivotButton="0" quotePrefix="0" xfId="0"/>
    <xf numFmtId="2" fontId="7" fillId="3" borderId="5" pivotButton="0" quotePrefix="0" xfId="0"/>
    <xf numFmtId="0" fontId="8" fillId="0" borderId="0" pivotButton="0" quotePrefix="0" xfId="0"/>
    <xf numFmtId="0" fontId="6" fillId="0" borderId="0" pivotButton="0" quotePrefix="0" xfId="0"/>
    <xf numFmtId="0" fontId="28" fillId="0" borderId="7" pivotButton="0" quotePrefix="0" xfId="0"/>
    <xf numFmtId="0" fontId="6" fillId="0" borderId="0" applyAlignment="1" pivotButton="0" quotePrefix="0" xfId="0">
      <alignment horizontal="center"/>
    </xf>
    <xf numFmtId="0" fontId="3" fillId="0" borderId="8" applyAlignment="1" pivotButton="0" quotePrefix="0" xfId="0">
      <alignment horizontal="center" vertical="center" wrapText="1"/>
    </xf>
    <xf numFmtId="0" fontId="28" fillId="0" borderId="9" pivotButton="0" quotePrefix="0" xfId="0"/>
    <xf numFmtId="0" fontId="28" fillId="0" borderId="10" pivotButton="0" quotePrefix="0" xfId="0"/>
    <xf numFmtId="0" fontId="28" fillId="0" borderId="11" pivotButton="0" quotePrefix="0" xfId="0"/>
    <xf numFmtId="0" fontId="28" fillId="0" borderId="12" pivotButton="0" quotePrefix="0" xfId="0"/>
    <xf numFmtId="0" fontId="28" fillId="0" borderId="13" pivotButton="0" quotePrefix="0" xfId="0"/>
    <xf numFmtId="0" fontId="9" fillId="3" borderId="14" applyAlignment="1" pivotButton="0" quotePrefix="0" xfId="0">
      <alignment horizontal="center" vertical="center"/>
    </xf>
    <xf numFmtId="0" fontId="28" fillId="3" borderId="15" pivotButton="0" quotePrefix="0" xfId="0"/>
    <xf numFmtId="2" fontId="10" fillId="7" borderId="16" applyAlignment="1" pivotButton="0" quotePrefix="0" xfId="0">
      <alignment horizontal="center" vertical="center"/>
    </xf>
    <xf numFmtId="0" fontId="28" fillId="7" borderId="17" pivotButton="0" quotePrefix="0" xfId="0"/>
    <xf numFmtId="49" fontId="10" fillId="7" borderId="16" applyAlignment="1" pivotButton="0" quotePrefix="0" xfId="0">
      <alignment horizontal="center" vertical="center"/>
    </xf>
    <xf numFmtId="0" fontId="28" fillId="0" borderId="5" pivotButton="0" quotePrefix="0" xfId="0"/>
    <xf numFmtId="1" fontId="28" fillId="6" borderId="5" pivotButton="0" quotePrefix="0" xfId="0"/>
    <xf numFmtId="0" fontId="24" fillId="2" borderId="0" applyAlignment="1" pivotButton="0" quotePrefix="0" xfId="0">
      <alignment vertical="center"/>
    </xf>
    <xf numFmtId="0" fontId="25" fillId="2" borderId="0" pivotButton="0" quotePrefix="0" xfId="0"/>
    <xf numFmtId="0" fontId="19" fillId="0" borderId="21" applyAlignment="1" pivotButton="0" quotePrefix="0" xfId="0">
      <alignment vertical="top" wrapText="1"/>
    </xf>
    <xf numFmtId="0" fontId="18" fillId="0" borderId="21" applyAlignment="1" pivotButton="0" quotePrefix="0" xfId="0">
      <alignment vertical="top" wrapText="1"/>
    </xf>
    <xf numFmtId="0" fontId="26" fillId="0" borderId="21" pivotButton="0" quotePrefix="0" xfId="0"/>
    <xf numFmtId="0" fontId="18" fillId="0" borderId="21" applyAlignment="1" pivotButton="0" quotePrefix="0" xfId="0">
      <alignment vertical="center" wrapText="1"/>
    </xf>
    <xf numFmtId="0" fontId="27" fillId="4" borderId="5" applyAlignment="1" applyProtection="1" pivotButton="0" quotePrefix="0" xfId="0">
      <alignment horizontal="center"/>
      <protection locked="0" hidden="0"/>
    </xf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roundedCorners val="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Calificación por criterio (1 a 5)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12A0A8"/>
            </a:solidFill>
            <a:ln xmlns:a="http://schemas.openxmlformats.org/drawingml/2006/main">
              <a:solidFill>
                <a:srgbClr val="12A0A8"/>
              </a:solidFill>
              <a:prstDash val="solid"/>
            </a:ln>
          </spPr>
          <cat>
            <numRef>
              <f>'RESUMEN'!$B$26:$B$33</f>
            </numRef>
          </cat>
          <val>
            <numRef>
              <f>'RESUMEN'!$C$26:$C$33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6350">
              <a:solidFill>
                <a:srgbClr val="E3E8ED"/>
              </a:solidFill>
              <a:prstDash val="solid"/>
            </a:ln>
          </spPr>
        </majorGridlines>
        <numFmt formatCode="0" sourceLinked="0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RESUMEN'!A1" TargetMode="External" Id="rId2"/><Relationship Type="http://schemas.openxmlformats.org/officeDocument/2006/relationships/hyperlink" Target="#'AYUDA'!A1" TargetMode="External" Id="rId3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EVALUACIÓN DE DESEMPEÑO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8 criterios ponderados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8" t="n">
        <v>1</v>
      </c>
      <c r="C28" s="13" t="inlineStr">
        <is>
          <t>Llena los datos del empleado y califica cada criterio de 1 a 5.</t>
        </is>
      </c>
      <c r="D28" s="4" t="n"/>
      <c r="E28" s="4" t="n"/>
      <c r="F28" s="4" t="n"/>
      <c r="G28" s="4" t="n"/>
    </row>
    <row r="29" ht="21" customHeight="1">
      <c r="A29" s="4" t="n"/>
      <c r="B29" s="18" t="n">
        <v>2</v>
      </c>
      <c r="C29" s="13" t="inlineStr">
        <is>
          <t>Los pesos suman 100% y pueden modificarse; cuida que el total siga siendo 100%.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El resultado ponderado y la categoría se calculan automáticamente.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Documenta fortalezas y plan de acción antes de recabar firmas.</t>
        </is>
      </c>
      <c r="D31" s="4" t="n"/>
      <c r="E31" s="4" t="n"/>
      <c r="F31" s="4" t="n"/>
      <c r="G31" s="4" t="n"/>
    </row>
    <row r="32" ht="36" customHeight="1">
      <c r="A32" s="4" t="n"/>
      <c r="B32" s="18" t="n">
        <v>5</v>
      </c>
      <c r="C32" s="13" t="inlineStr">
        <is>
          <t>Personaliza: inserta tu logotipo en el recuadro punteado de la esquina superior derecha (Insertar &gt; Imágenes) y captura los datos de tu empresa en las celdas de captura.</t>
        </is>
      </c>
      <c r="D32" s="4" t="n"/>
      <c r="E32" s="4" t="n"/>
      <c r="F32" s="4" t="n"/>
      <c r="G32" s="4" t="n"/>
    </row>
    <row r="33">
      <c r="A33" s="4" t="n"/>
      <c r="B33" s="4" t="n"/>
      <c r="C33" s="4" t="n"/>
      <c r="D33" s="4" t="n"/>
      <c r="E33" s="4" t="n"/>
      <c r="F33" s="4" t="n"/>
      <c r="G33" s="4" t="n"/>
    </row>
    <row r="34" ht="24" customHeight="1">
      <c r="A34" s="4" t="n"/>
      <c r="B34" s="9" t="inlineStr">
        <is>
          <t>RECOMENDACIONES DE USO</t>
        </is>
      </c>
      <c r="C34" s="10" t="n"/>
      <c r="D34" s="10" t="n"/>
      <c r="E34" s="10" t="n"/>
      <c r="F34" s="10" t="n"/>
      <c r="G34" s="4" t="n"/>
    </row>
    <row r="35" ht="21" customHeight="1">
      <c r="A35" s="4" t="n"/>
      <c r="B35" s="19" t="inlineStr">
        <is>
          <t>✓</t>
        </is>
      </c>
      <c r="C35" s="13" t="inlineStr">
        <is>
          <t>Evalúa con hechos y ejemplos, no con impresiones; anota evidencia en la columna de comentarios.</t>
        </is>
      </c>
      <c r="D35" s="4" t="n"/>
      <c r="E35" s="4" t="n"/>
      <c r="F35" s="4" t="n"/>
      <c r="G35" s="4" t="n"/>
    </row>
    <row r="36" ht="21" customHeight="1">
      <c r="A36" s="4" t="n"/>
      <c r="B36" s="19" t="inlineStr">
        <is>
          <t>✓</t>
        </is>
      </c>
      <c r="C36" s="13" t="inlineStr">
        <is>
          <t>Comparte los criterios con el empleado al inicio del periodo.</t>
        </is>
      </c>
      <c r="D36" s="4" t="n"/>
      <c r="E36" s="4" t="n"/>
      <c r="F36" s="4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Realiza la entrevista de retroalimentación dentro de la semana siguiente a la evaluación.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Los pesos de los criterios deben sumar 100%.</t>
        </is>
      </c>
      <c r="D38" s="4" t="n"/>
      <c r="E38" s="4" t="n"/>
      <c r="F38" s="4" t="n"/>
      <c r="G38" s="4" t="n"/>
    </row>
    <row r="39">
      <c r="A39" s="4" t="n"/>
      <c r="B39" s="4" t="n"/>
      <c r="C39" s="4" t="n"/>
      <c r="D39" s="4" t="n"/>
      <c r="E39" s="4" t="n"/>
      <c r="F39" s="4" t="n"/>
      <c r="G39" s="4" t="n"/>
    </row>
    <row r="40" ht="24" customHeight="1">
      <c r="A40" s="4" t="n"/>
      <c r="B40" s="9" t="inlineStr">
        <is>
          <t>LEYENDA DE COLORES</t>
        </is>
      </c>
      <c r="C40" s="10" t="n"/>
      <c r="D40" s="10" t="n"/>
      <c r="E40" s="10" t="n"/>
      <c r="F40" s="10" t="n"/>
      <c r="G40" s="4" t="n"/>
    </row>
    <row r="41">
      <c r="A41" s="4" t="n"/>
      <c r="B41" s="20" t="inlineStr"/>
      <c r="C41" s="21" t="inlineStr">
        <is>
          <t>CELDA DE CAPTURA: escribe aquí.</t>
        </is>
      </c>
      <c r="D41" s="4" t="n"/>
      <c r="E41" s="4" t="n"/>
      <c r="F41" s="4" t="n"/>
      <c r="G41" s="4" t="n"/>
    </row>
    <row r="42">
      <c r="A42" s="4" t="n"/>
      <c r="B42" s="22" t="inlineStr"/>
      <c r="C42" s="21" t="inlineStr">
        <is>
          <t>CÁLCULO AUTOMÁTICO: no la modifiques.</t>
        </is>
      </c>
      <c r="D42" s="4" t="n"/>
      <c r="E42" s="4" t="n"/>
      <c r="F42" s="4" t="n"/>
      <c r="G42" s="4" t="n"/>
    </row>
    <row r="43">
      <c r="A43" s="4" t="n"/>
      <c r="B43" s="23" t="inlineStr"/>
      <c r="C43" s="21" t="inlineStr">
        <is>
          <t>ENCABEZADOS Y TÍTULOS.</t>
        </is>
      </c>
      <c r="D43" s="4" t="n"/>
      <c r="E43" s="4" t="n"/>
      <c r="F43" s="4" t="n"/>
      <c r="G43" s="4" t="n"/>
    </row>
    <row r="44">
      <c r="A44" s="4" t="n"/>
      <c r="B44" s="24" t="inlineStr"/>
      <c r="C44" s="21" t="inlineStr">
        <is>
          <t>* CAMPO OBLIGATORIO: complétalo antes de imprimir o enviar.</t>
        </is>
      </c>
      <c r="D44" s="4" t="n"/>
      <c r="E44" s="4" t="n"/>
      <c r="F44" s="4" t="n"/>
      <c r="G44" s="4" t="n"/>
    </row>
    <row r="45">
      <c r="A45" s="4" t="n"/>
      <c r="B45" s="4" t="n"/>
      <c r="C45" s="4" t="n"/>
      <c r="D45" s="4" t="n"/>
      <c r="E45" s="4" t="n"/>
      <c r="F45" s="4" t="n"/>
      <c r="G45" s="4" t="n"/>
    </row>
    <row r="46" ht="26" customHeight="1">
      <c r="A46" s="1" t="n"/>
      <c r="B46" s="25" t="inlineStr">
        <is>
          <t>Formatos administrativos  ·  Para uso interno de tu empresa</t>
        </is>
      </c>
      <c r="C46" s="4" t="n"/>
      <c r="D46" s="4" t="n"/>
      <c r="E46" s="4" t="n"/>
      <c r="F46" s="4" t="n"/>
      <c r="G46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38:F38"/>
    <mergeCell ref="D17:F17"/>
    <mergeCell ref="B46:F46"/>
    <mergeCell ref="C32:F32"/>
    <mergeCell ref="C37:F37"/>
    <mergeCell ref="D16:F16"/>
    <mergeCell ref="C28:F28"/>
    <mergeCell ref="D18:F18"/>
    <mergeCell ref="C30:F30"/>
    <mergeCell ref="D25:F25"/>
    <mergeCell ref="B4:F5"/>
    <mergeCell ref="D24:F24"/>
    <mergeCell ref="D23:F23"/>
    <mergeCell ref="C35:F35"/>
    <mergeCell ref="E2:F2"/>
    <mergeCell ref="C29:F29"/>
    <mergeCell ref="C31:F31"/>
    <mergeCell ref="B6:F6"/>
    <mergeCell ref="D22:F22"/>
    <mergeCell ref="D21:F21"/>
    <mergeCell ref="C36:F36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33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46" customWidth="1" min="2" max="2"/>
    <col width="12" customWidth="1" min="3" max="3"/>
    <col width="12.35" customWidth="1" min="4" max="4"/>
    <col width="12" customWidth="1" min="5" max="5"/>
    <col width="40" customWidth="1" min="6" max="6"/>
  </cols>
  <sheetData>
    <row r="1" ht="44" customHeight="1">
      <c r="A1" s="26" t="inlineStr">
        <is>
          <t>EVALUACIÓN DE DESEMPEÑO</t>
        </is>
      </c>
      <c r="B1" s="1" t="n"/>
      <c r="C1" s="1" t="n"/>
      <c r="D1" s="1" t="n"/>
      <c r="E1" s="1" t="n"/>
      <c r="F1" s="27" t="inlineStr">
        <is>
          <t>INSERTE SU LOGO
(clic derecho &gt; Insertar imagen)</t>
        </is>
      </c>
    </row>
    <row r="2" ht="26" customHeight="1">
      <c r="A2" s="28" t="inlineStr">
        <is>
          <t>Califica de 1 (deficiente) a 5 (sobresaliente)</t>
        </is>
      </c>
      <c r="B2" s="29" t="n"/>
      <c r="C2" s="29" t="n"/>
      <c r="D2" s="29" t="n"/>
      <c r="E2" s="29" t="n"/>
      <c r="F2" s="30" t="n"/>
    </row>
    <row r="3">
      <c r="A3" s="4" t="n"/>
      <c r="B3" s="4" t="n"/>
      <c r="C3" s="4" t="n"/>
      <c r="D3" s="4" t="n"/>
      <c r="E3" s="4" t="n"/>
      <c r="F3" s="4" t="n"/>
    </row>
    <row r="4">
      <c r="A4" s="31" t="inlineStr">
        <is>
          <t>EMPLEADO *</t>
        </is>
      </c>
      <c r="B4" s="20" t="n"/>
      <c r="C4" s="20" t="n"/>
      <c r="D4" s="31" t="inlineStr">
        <is>
          <t>PUESTO</t>
        </is>
      </c>
      <c r="E4" s="20" t="n"/>
      <c r="F4" s="20" t="n"/>
    </row>
    <row r="5">
      <c r="A5" s="31" t="inlineStr">
        <is>
          <t>ÁREA</t>
        </is>
      </c>
      <c r="B5" s="20" t="n"/>
      <c r="C5" s="20" t="n"/>
      <c r="D5" s="31" t="inlineStr">
        <is>
          <t>PERIODO *</t>
        </is>
      </c>
      <c r="E5" s="20" t="n"/>
      <c r="F5" s="20" t="n"/>
    </row>
    <row r="6">
      <c r="A6" s="31" t="inlineStr">
        <is>
          <t>EVALUADOR</t>
        </is>
      </c>
      <c r="B6" s="20" t="n"/>
      <c r="C6" s="20" t="n"/>
      <c r="D6" s="31" t="inlineStr">
        <is>
          <t>FECHA *</t>
        </is>
      </c>
      <c r="E6" s="32" t="n"/>
      <c r="F6" s="20" t="n"/>
    </row>
    <row r="7">
      <c r="A7" s="4" t="n"/>
      <c r="B7" s="4" t="n"/>
      <c r="C7" s="4" t="n"/>
      <c r="D7" s="4" t="n"/>
      <c r="E7" s="4" t="n"/>
      <c r="F7" s="4" t="n"/>
    </row>
    <row r="8" ht="36" customHeight="1">
      <c r="A8" s="33" t="inlineStr">
        <is>
          <t>NO.</t>
        </is>
      </c>
      <c r="B8" s="33" t="inlineStr">
        <is>
          <t>CRITERIO</t>
        </is>
      </c>
      <c r="C8" s="33" t="inlineStr">
        <is>
          <t>CALIFICACIÓN (1-5)</t>
        </is>
      </c>
      <c r="D8" s="33" t="inlineStr">
        <is>
          <t>PESO %</t>
        </is>
      </c>
      <c r="E8" s="33" t="inlineStr">
        <is>
          <t>PONDERADO</t>
        </is>
      </c>
      <c r="F8" s="33" t="inlineStr">
        <is>
          <t>COMENTARIOS</t>
        </is>
      </c>
    </row>
    <row r="9" ht="20" customHeight="1">
      <c r="A9" s="34" t="n">
        <v>1</v>
      </c>
      <c r="B9" s="35" t="inlineStr">
        <is>
          <t>CALIDAD DEL TRABAJO</t>
        </is>
      </c>
      <c r="C9" s="36" t="n"/>
      <c r="D9" s="37" t="n">
        <v>0.2</v>
      </c>
      <c r="E9" s="38">
        <f>IF(C9="","",C9*D9)</f>
        <v/>
      </c>
      <c r="F9" s="36" t="n"/>
    </row>
    <row r="10" ht="20" customHeight="1">
      <c r="A10" s="34" t="n">
        <v>2</v>
      </c>
      <c r="B10" s="35" t="inlineStr">
        <is>
          <t>CUMPLIMIENTO DE OBJETIVOS</t>
        </is>
      </c>
      <c r="C10" s="36" t="n"/>
      <c r="D10" s="37" t="n">
        <v>0.2</v>
      </c>
      <c r="E10" s="38">
        <f>IF(C10="","",C10*D10)</f>
        <v/>
      </c>
      <c r="F10" s="36" t="n"/>
    </row>
    <row r="11" ht="20" customHeight="1">
      <c r="A11" s="34" t="n">
        <v>3</v>
      </c>
      <c r="B11" s="35" t="inlineStr">
        <is>
          <t>PRODUCTIVIDAD Y ORDEN</t>
        </is>
      </c>
      <c r="C11" s="36" t="n"/>
      <c r="D11" s="37" t="n">
        <v>0.1</v>
      </c>
      <c r="E11" s="38">
        <f>IF(C11="","",C11*D11)</f>
        <v/>
      </c>
      <c r="F11" s="36" t="n"/>
    </row>
    <row r="12" ht="20" customHeight="1">
      <c r="A12" s="34" t="n">
        <v>4</v>
      </c>
      <c r="B12" s="35" t="inlineStr">
        <is>
          <t>TRABAJO EN EQUIPO</t>
        </is>
      </c>
      <c r="C12" s="36" t="n"/>
      <c r="D12" s="37" t="n">
        <v>0.1</v>
      </c>
      <c r="E12" s="38">
        <f>IF(C12="","",C12*D12)</f>
        <v/>
      </c>
      <c r="F12" s="36" t="n"/>
    </row>
    <row r="13" ht="20" customHeight="1">
      <c r="A13" s="34" t="n">
        <v>5</v>
      </c>
      <c r="B13" s="35" t="inlineStr">
        <is>
          <t>COMUNICACIÓN</t>
        </is>
      </c>
      <c r="C13" s="36" t="n"/>
      <c r="D13" s="37" t="n">
        <v>0.1</v>
      </c>
      <c r="E13" s="38">
        <f>IF(C13="","",C13*D13)</f>
        <v/>
      </c>
      <c r="F13" s="36" t="n"/>
    </row>
    <row r="14" ht="20" customHeight="1">
      <c r="A14" s="34" t="n">
        <v>6</v>
      </c>
      <c r="B14" s="35" t="inlineStr">
        <is>
          <t>INICIATIVA Y PROACTIVIDAD</t>
        </is>
      </c>
      <c r="C14" s="36" t="n"/>
      <c r="D14" s="37" t="n">
        <v>0.1</v>
      </c>
      <c r="E14" s="38">
        <f>IF(C14="","",C14*D14)</f>
        <v/>
      </c>
      <c r="F14" s="36" t="n"/>
    </row>
    <row r="15" ht="20" customHeight="1">
      <c r="A15" s="34" t="n">
        <v>7</v>
      </c>
      <c r="B15" s="35" t="inlineStr">
        <is>
          <t>PUNTUALIDAD Y ASISTENCIA</t>
        </is>
      </c>
      <c r="C15" s="36" t="n"/>
      <c r="D15" s="37" t="n">
        <v>0.1</v>
      </c>
      <c r="E15" s="38">
        <f>IF(C15="","",C15*D15)</f>
        <v/>
      </c>
      <c r="F15" s="36" t="n"/>
    </row>
    <row r="16" ht="20" customHeight="1">
      <c r="A16" s="34" t="n">
        <v>8</v>
      </c>
      <c r="B16" s="35" t="inlineStr">
        <is>
          <t>APEGO A POLÍTICAS Y VALORES</t>
        </is>
      </c>
      <c r="C16" s="36" t="n"/>
      <c r="D16" s="37" t="n">
        <v>0.1</v>
      </c>
      <c r="E16" s="38">
        <f>IF(C16="","",C16*D16)</f>
        <v/>
      </c>
      <c r="F16" s="36" t="n"/>
    </row>
    <row r="17">
      <c r="A17" s="4" t="n"/>
      <c r="B17" s="4" t="n"/>
      <c r="C17" s="39" t="inlineStr">
        <is>
          <t>RESULTADO</t>
        </is>
      </c>
      <c r="D17" s="40">
        <f>SUM(D9:D16)</f>
        <v/>
      </c>
      <c r="E17" s="41">
        <f>SUM(E9:E16)</f>
        <v/>
      </c>
      <c r="F17" s="4" t="n"/>
    </row>
    <row r="18">
      <c r="A18" s="4" t="n"/>
      <c r="B18" s="42">
        <f>IF(COUNT(C9:C16)=0,"",IF(E17&gt;=4.5,"SOBRESALIENTE",IF(E17&gt;=3.5,"SATISFACTORIO",IF(E17&gt;=2.5,"REQUIERE MEJORA","DEFICIENTE"))))</f>
        <v/>
      </c>
      <c r="C18" s="4" t="n"/>
      <c r="D18" s="4" t="n"/>
      <c r="E18" s="4" t="n"/>
      <c r="F18" s="4" t="n"/>
    </row>
    <row r="19">
      <c r="A19" s="4" t="n"/>
      <c r="B19" s="4" t="n"/>
      <c r="C19" s="4" t="n"/>
      <c r="D19" s="4" t="n"/>
      <c r="E19" s="4" t="n"/>
      <c r="F19" s="4" t="n"/>
    </row>
    <row r="20">
      <c r="A20" s="4" t="n"/>
      <c r="B20" s="43" t="inlineStr">
        <is>
          <t>FORTALEZAS</t>
        </is>
      </c>
      <c r="C20" s="4" t="n"/>
      <c r="D20" s="4" t="n"/>
      <c r="E20" s="4" t="n"/>
      <c r="F20" s="4" t="n"/>
    </row>
    <row r="21">
      <c r="A21" s="4" t="n"/>
      <c r="B21" s="20" t="n"/>
      <c r="C21" s="20" t="n"/>
      <c r="D21" s="20" t="n"/>
      <c r="E21" s="20" t="n"/>
      <c r="F21" s="20" t="n"/>
    </row>
    <row r="22">
      <c r="A22" s="4" t="n"/>
      <c r="B22" s="20" t="n"/>
      <c r="C22" s="20" t="n"/>
      <c r="D22" s="20" t="n"/>
      <c r="E22" s="20" t="n"/>
      <c r="F22" s="20" t="n"/>
    </row>
    <row r="23">
      <c r="A23" s="4" t="n"/>
      <c r="B23" s="20" t="n"/>
      <c r="C23" s="20" t="n"/>
      <c r="D23" s="20" t="n"/>
      <c r="E23" s="20" t="n"/>
      <c r="F23" s="20" t="n"/>
    </row>
    <row r="24">
      <c r="A24" s="4" t="n"/>
      <c r="B24" s="4" t="n"/>
      <c r="C24" s="4" t="n"/>
      <c r="D24" s="4" t="n"/>
      <c r="E24" s="4" t="n"/>
      <c r="F24" s="4" t="n"/>
    </row>
    <row r="25">
      <c r="A25" s="4" t="n"/>
      <c r="B25" s="43" t="inlineStr">
        <is>
          <t>ÁREAS DE OPORTUNIDAD / PLAN DE ACCIÓN</t>
        </is>
      </c>
      <c r="C25" s="4" t="n"/>
      <c r="D25" s="4" t="n"/>
      <c r="E25" s="4" t="n"/>
      <c r="F25" s="4" t="n"/>
    </row>
    <row r="26">
      <c r="A26" s="4" t="n"/>
      <c r="B26" s="20" t="n"/>
      <c r="C26" s="20" t="n"/>
      <c r="D26" s="20" t="n"/>
      <c r="E26" s="20" t="n"/>
      <c r="F26" s="20" t="n"/>
    </row>
    <row r="27">
      <c r="A27" s="4" t="n"/>
      <c r="B27" s="20" t="n"/>
      <c r="C27" s="20" t="n"/>
      <c r="D27" s="20" t="n"/>
      <c r="E27" s="20" t="n"/>
      <c r="F27" s="20" t="n"/>
    </row>
    <row r="28">
      <c r="A28" s="4" t="n"/>
      <c r="B28" s="20" t="n"/>
      <c r="C28" s="20" t="n"/>
      <c r="D28" s="20" t="n"/>
      <c r="E28" s="20" t="n"/>
      <c r="F28" s="20" t="n"/>
    </row>
    <row r="29">
      <c r="A29" s="4" t="n"/>
      <c r="B29" s="4" t="n"/>
      <c r="C29" s="4" t="n"/>
      <c r="D29" s="4" t="n"/>
      <c r="E29" s="4" t="n"/>
      <c r="F29" s="4" t="n"/>
    </row>
    <row r="30">
      <c r="A30" s="4" t="n"/>
      <c r="B30" s="4" t="n"/>
      <c r="C30" s="4" t="n"/>
      <c r="D30" s="4" t="n"/>
      <c r="E30" s="4" t="n"/>
      <c r="F30" s="4" t="n"/>
    </row>
    <row r="31">
      <c r="A31" s="4" t="n"/>
      <c r="B31" s="4" t="n"/>
      <c r="C31" s="4" t="n"/>
      <c r="D31" s="4" t="n"/>
      <c r="E31" s="4" t="n"/>
      <c r="F31" s="4" t="n"/>
    </row>
    <row r="32">
      <c r="A32" s="44" t="n"/>
      <c r="B32" s="4" t="n"/>
      <c r="C32" s="44" t="n"/>
      <c r="D32" s="4" t="n"/>
      <c r="E32" s="44" t="n"/>
      <c r="F32" s="4" t="n"/>
    </row>
    <row r="33">
      <c r="A33" s="45" t="inlineStr">
        <is>
          <t>EVALUADO</t>
        </is>
      </c>
      <c r="B33" s="4" t="n"/>
      <c r="C33" s="45" t="inlineStr">
        <is>
          <t>EVALUADOR</t>
        </is>
      </c>
      <c r="D33" s="4" t="n"/>
      <c r="E33" s="45" t="inlineStr">
        <is>
          <t>RH</t>
        </is>
      </c>
      <c r="F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7">
    <mergeCell ref="B26:F28"/>
    <mergeCell ref="E4:F4"/>
    <mergeCell ref="B6:C6"/>
    <mergeCell ref="E6:F6"/>
    <mergeCell ref="B21:F23"/>
    <mergeCell ref="A2:E2"/>
    <mergeCell ref="B5:C5"/>
    <mergeCell ref="E5:F5"/>
    <mergeCell ref="C33"/>
    <mergeCell ref="A1:E1"/>
    <mergeCell ref="C32"/>
    <mergeCell ref="E33"/>
    <mergeCell ref="F1:F2"/>
    <mergeCell ref="E32"/>
    <mergeCell ref="A33"/>
    <mergeCell ref="B4:C4"/>
    <mergeCell ref="A32"/>
  </mergeCells>
  <dataValidations count="1">
    <dataValidation sqref="C9:C16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"1,2,3,4,5"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6" t="inlineStr">
        <is>
          <t>RESUMEN DE LA EVALUACIÓN</t>
        </is>
      </c>
      <c r="B1" s="1" t="n"/>
      <c r="C1" s="1" t="n"/>
      <c r="D1" s="1" t="n"/>
      <c r="E1" s="1" t="n"/>
      <c r="F1" s="1" t="n"/>
      <c r="G1" s="1" t="n"/>
      <c r="H1" s="46" t="inlineStr">
        <is>
          <t>INSERTE SU LOGO
(clic derecho &gt; Insertar imagen)</t>
        </is>
      </c>
      <c r="I1" s="47" t="n"/>
      <c r="J1" s="48" t="n"/>
    </row>
    <row r="2" ht="26" customHeight="1">
      <c r="A2" s="28" t="inlineStr">
        <is>
          <t>Resultado por criterio y calificación global</t>
        </is>
      </c>
      <c r="B2" s="29" t="n"/>
      <c r="C2" s="29" t="n"/>
      <c r="D2" s="29" t="n"/>
      <c r="E2" s="29" t="n"/>
      <c r="F2" s="29" t="n"/>
      <c r="G2" s="29" t="n"/>
      <c r="H2" s="49" t="n"/>
      <c r="I2" s="50" t="n"/>
      <c r="J2" s="51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2" customHeight="1">
      <c r="A4" s="4" t="n"/>
      <c r="B4" s="52" t="inlineStr">
        <is>
          <t>RESULTADO GLOBAL</t>
        </is>
      </c>
      <c r="C4" s="53" t="n"/>
      <c r="D4" s="52" t="inlineStr">
        <is>
          <t>CATEGORÍA</t>
        </is>
      </c>
      <c r="E4" s="53" t="n"/>
      <c r="F4" s="52" t="inlineStr">
        <is>
          <t>MEJOR CRITERIO</t>
        </is>
      </c>
      <c r="G4" s="53" t="n"/>
      <c r="H4" s="52" t="inlineStr">
        <is>
          <t>A MEJORAR</t>
        </is>
      </c>
      <c r="I4" s="53" t="n"/>
      <c r="J4" s="4" t="n"/>
    </row>
    <row r="5" ht="46" customHeight="1">
      <c r="A5" s="4" t="n"/>
      <c r="B5" s="54">
        <f>IF(COUNT(FORMATO!C9:C16)=0,0,FORMATO!E17)</f>
        <v/>
      </c>
      <c r="C5" s="55" t="n"/>
      <c r="D5" s="56">
        <f>FORMATO!B18</f>
        <v/>
      </c>
      <c r="E5" s="55" t="n"/>
      <c r="F5" s="56">
        <f>IFERROR(INDEX(B26:B33,MATCH(MAX(C26:C33),C26:C33,0)),"")</f>
        <v/>
      </c>
      <c r="G5" s="55" t="n"/>
      <c r="H5" s="56">
        <f>IF(COUNT(C26:C33)=0,"",IFERROR(INDEX(B26:B33,MATCH(MIN(C26:C33),C26:C33,0)),""))</f>
        <v/>
      </c>
      <c r="I5" s="55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CRITERIO</t>
        </is>
      </c>
      <c r="C25" s="33" t="inlineStr">
        <is>
          <t>CALIFICACIÓN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57">
        <f>FORMATO!B9</f>
        <v/>
      </c>
      <c r="C26" s="58">
        <f>IF(FORMATO!C9="",0,FORMATO!C9)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57">
        <f>FORMATO!B10</f>
        <v/>
      </c>
      <c r="C27" s="58">
        <f>IF(FORMATO!C10="",0,FORMATO!C10)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57">
        <f>FORMATO!B11</f>
        <v/>
      </c>
      <c r="C28" s="58">
        <f>IF(FORMATO!C11="",0,FORMATO!C11)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57">
        <f>FORMATO!B12</f>
        <v/>
      </c>
      <c r="C29" s="58">
        <f>IF(FORMATO!C12="",0,FORMATO!C12)</f>
        <v/>
      </c>
      <c r="D29" s="4" t="n"/>
      <c r="E29" s="4" t="n"/>
      <c r="F29" s="4" t="n"/>
      <c r="G29" s="4" t="n"/>
      <c r="H29" s="4" t="n"/>
      <c r="I29" s="4" t="n"/>
      <c r="J29" s="4" t="n"/>
    </row>
    <row r="30">
      <c r="A30" s="4" t="n"/>
      <c r="B30" s="57">
        <f>FORMATO!B13</f>
        <v/>
      </c>
      <c r="C30" s="58">
        <f>IF(FORMATO!C13="",0,FORMATO!C13)</f>
        <v/>
      </c>
      <c r="D30" s="4" t="n"/>
      <c r="E30" s="4" t="n"/>
      <c r="F30" s="4" t="n"/>
      <c r="G30" s="4" t="n"/>
      <c r="H30" s="4" t="n"/>
      <c r="I30" s="4" t="n"/>
      <c r="J30" s="4" t="n"/>
    </row>
    <row r="31">
      <c r="A31" s="4" t="n"/>
      <c r="B31" s="57">
        <f>FORMATO!B14</f>
        <v/>
      </c>
      <c r="C31" s="58">
        <f>IF(FORMATO!C14="",0,FORMATO!C14)</f>
        <v/>
      </c>
      <c r="D31" s="4" t="n"/>
      <c r="E31" s="4" t="n"/>
      <c r="F31" s="4" t="n"/>
      <c r="G31" s="4" t="n"/>
      <c r="H31" s="4" t="n"/>
      <c r="I31" s="4" t="n"/>
      <c r="J31" s="4" t="n"/>
    </row>
    <row r="32">
      <c r="A32" s="4" t="n"/>
      <c r="B32" s="57">
        <f>FORMATO!B15</f>
        <v/>
      </c>
      <c r="C32" s="58">
        <f>IF(FORMATO!C15="",0,FORMATO!C15)</f>
        <v/>
      </c>
      <c r="D32" s="4" t="n"/>
      <c r="E32" s="4" t="n"/>
      <c r="F32" s="4" t="n"/>
      <c r="G32" s="4" t="n"/>
      <c r="H32" s="4" t="n"/>
      <c r="I32" s="4" t="n"/>
      <c r="J32" s="4" t="n"/>
    </row>
    <row r="33">
      <c r="A33" s="4" t="n"/>
      <c r="B33" s="57">
        <f>FORMATO!B16</f>
        <v/>
      </c>
      <c r="C33" s="58">
        <f>IF(FORMATO!C16="",0,FORMATO!C16)</f>
        <v/>
      </c>
      <c r="D33" s="4" t="n"/>
      <c r="E33" s="4" t="n"/>
      <c r="F33" s="4" t="n"/>
      <c r="G33" s="4" t="n"/>
      <c r="H33" s="4" t="n"/>
      <c r="I33" s="4" t="n"/>
      <c r="J33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9" t="inlineStr">
        <is>
          <t>AYUDA Y PREGUNTAS FRECUENTES</t>
        </is>
      </c>
      <c r="C1" s="4" t="n"/>
      <c r="D1" s="4" t="n"/>
      <c r="E1" s="1" t="n"/>
    </row>
    <row r="2">
      <c r="A2" s="1" t="n"/>
      <c r="B2" s="60" t="inlineStr">
        <is>
          <t>EVALUACIÓN DE DESEMPEÑO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61" t="inlineStr">
        <is>
          <t>¿Puedo cambiar los criterios?</t>
        </is>
      </c>
      <c r="D6" s="62" t="inlineStr">
        <is>
          <t>Sí, edita el nombre y el peso; verifica que el total sea 100%.</t>
        </is>
      </c>
      <c r="E6" s="4" t="n"/>
    </row>
    <row r="7" ht="30" customHeight="1">
      <c r="A7" s="4" t="n"/>
      <c r="B7" s="4" t="n"/>
      <c r="C7" s="61" t="inlineStr">
        <is>
          <t>¿Qué hago con una calificación baja?</t>
        </is>
      </c>
      <c r="D7" s="62" t="inlineStr">
        <is>
          <t>Acuerda un plan de acción con metas medibles y fecha de revisión.</t>
        </is>
      </c>
      <c r="E7" s="4" t="n"/>
    </row>
    <row r="8" ht="53" customHeight="1">
      <c r="A8" s="4" t="n"/>
      <c r="B8" s="4" t="n"/>
      <c r="C8" s="61" t="inlineStr">
        <is>
          <t>¿Por qué no puedo escribir en algunas celdas?</t>
        </is>
      </c>
      <c r="D8" s="6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61" t="inlineStr">
        <is>
          <t>¿Cómo agrego mi logotipo?</t>
        </is>
      </c>
      <c r="D9" s="6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61" t="inlineStr">
        <is>
          <t>¿Cómo lo imprimo o lo convierto a PDF?</t>
        </is>
      </c>
      <c r="D10" s="6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61" t="inlineStr">
        <is>
          <t>¿Con qué versiones de Excel funciona?</t>
        </is>
      </c>
      <c r="D11" s="6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61" t="inlineStr">
        <is>
          <t>¿Puedo cambiar la letra?</t>
        </is>
      </c>
      <c r="D12" s="62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61" t="inlineStr">
        <is>
          <t>¿Puedo usarlo en varias empresas o por varios años?</t>
        </is>
      </c>
      <c r="D13" s="6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63" t="inlineStr">
        <is>
          <t>PONDERADO</t>
        </is>
      </c>
      <c r="D16" s="64" t="inlineStr">
        <is>
          <t>Calificación x peso del criterio.</t>
        </is>
      </c>
      <c r="E16" s="4" t="n"/>
    </row>
    <row r="17" ht="21" customHeight="1">
      <c r="A17" s="4" t="n"/>
      <c r="B17" s="4" t="n"/>
      <c r="C17" s="63" t="inlineStr">
        <is>
          <t>SOBRESALIENTE</t>
        </is>
      </c>
      <c r="D17" s="64" t="inlineStr">
        <is>
          <t>Resultado &gt;= 4.5</t>
        </is>
      </c>
      <c r="E17" s="4" t="n"/>
    </row>
    <row r="18" ht="21" customHeight="1">
      <c r="A18" s="4" t="n"/>
      <c r="B18" s="4" t="n"/>
      <c r="C18" s="63" t="inlineStr">
        <is>
          <t>SATISFACTORIO</t>
        </is>
      </c>
      <c r="D18" s="64" t="inlineStr">
        <is>
          <t>Resultado &gt;= 3.5</t>
        </is>
      </c>
      <c r="E18" s="4" t="n"/>
    </row>
    <row r="19" ht="21" customHeight="1">
      <c r="A19" s="4" t="n"/>
      <c r="B19" s="4" t="n"/>
      <c r="C19" s="63" t="inlineStr">
        <is>
          <t>REQUIERE MEJORA</t>
        </is>
      </c>
      <c r="D19" s="64" t="inlineStr">
        <is>
          <t>Resultado &gt;= 2.5</t>
        </is>
      </c>
      <c r="E19" s="4" t="n"/>
    </row>
    <row r="20" ht="21" customHeight="1">
      <c r="A20" s="4" t="n"/>
      <c r="B20" s="4" t="n"/>
      <c r="C20" s="63" t="inlineStr">
        <is>
          <t>DEFICIENTE</t>
        </is>
      </c>
      <c r="D20" s="64" t="inlineStr">
        <is>
          <t>Resultado &lt; 2.5</t>
        </is>
      </c>
      <c r="E20" s="4" t="n"/>
    </row>
    <row r="21">
      <c r="A21" s="4" t="n"/>
      <c r="B21" s="4" t="n"/>
      <c r="C21" s="4" t="n"/>
      <c r="D21" s="4" t="n"/>
      <c r="E21" s="4" t="n"/>
    </row>
    <row r="22" ht="24" customHeight="1">
      <c r="A22" s="4" t="n"/>
      <c r="B22" s="9" t="inlineStr">
        <is>
          <t>LISTA DE VERIFICACIÓN (marca ☑ al completar)</t>
        </is>
      </c>
      <c r="C22" s="10" t="n"/>
      <c r="D22" s="10" t="n"/>
      <c r="E22" s="4" t="n"/>
    </row>
    <row r="23" ht="20" customHeight="1">
      <c r="A23" s="4" t="n"/>
      <c r="B23" s="65" t="inlineStr">
        <is>
          <t>☐</t>
        </is>
      </c>
      <c r="C23" s="66" t="inlineStr">
        <is>
          <t>Criterios acordados con el empleado</t>
        </is>
      </c>
      <c r="D23" s="4" t="n"/>
      <c r="E23" s="4" t="n"/>
    </row>
    <row r="24" ht="20" customHeight="1">
      <c r="A24" s="4" t="n"/>
      <c r="B24" s="65" t="inlineStr">
        <is>
          <t>☐</t>
        </is>
      </c>
      <c r="C24" s="66" t="inlineStr">
        <is>
          <t>Evaluación llenada con evidencias</t>
        </is>
      </c>
      <c r="D24" s="4" t="n"/>
      <c r="E24" s="4" t="n"/>
    </row>
    <row r="25" ht="20" customHeight="1">
      <c r="A25" s="4" t="n"/>
      <c r="B25" s="65" t="inlineStr">
        <is>
          <t>☐</t>
        </is>
      </c>
      <c r="C25" s="66" t="inlineStr">
        <is>
          <t>Retroalimentación realizada</t>
        </is>
      </c>
      <c r="D25" s="4" t="n"/>
      <c r="E25" s="4" t="n"/>
    </row>
    <row r="26" ht="20" customHeight="1">
      <c r="A26" s="4" t="n"/>
      <c r="B26" s="65" t="inlineStr">
        <is>
          <t>☐</t>
        </is>
      </c>
      <c r="C26" s="66" t="inlineStr">
        <is>
          <t>Plan de acción firmado</t>
        </is>
      </c>
      <c r="D26" s="4" t="n"/>
      <c r="E2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6:D26"/>
    <mergeCell ref="C23:D23"/>
    <mergeCell ref="B2:D2"/>
  </mergeCells>
  <dataValidations count="1">
    <dataValidation sqref="B23 B24 B25 B26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2026-10-07T22:57:52Z</dcterms:created>
  <dcterms:modified xmlns:dcterms="http://purl.org/dc/terms/" xmlns:xsi="http://www.w3.org/2001/XMLSchema-instance" xsi:type="dcterms:W3CDTF">2026-10-07T22:57:52Z</dcterms:modified>
</cp:coreProperties>
</file>