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Formato" sheetId="2" state="visible" r:id="rId2"/>
    <sheet xmlns:r="http://schemas.openxmlformats.org/officeDocument/2006/relationships" name="Tabla LF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&quot;$&quot;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5B6B78"/>
      <sz val="10"/>
    </font>
    <font>
      <name val="Calibri"/>
      <i val="1"/>
      <color rgb="00A6A6A6"/>
      <sz val="8"/>
    </font>
    <font>
      <name val="Calibri"/>
      <b val="1"/>
      <color rgb="001B6B73"/>
    </font>
    <font>
      <name val="Calibri"/>
      <b val="1"/>
      <color rgb="00FFFFFF"/>
    </font>
    <font>
      <name val="Calibri"/>
      <b val="1"/>
    </font>
    <font>
      <name val="Calibri"/>
      <b val="1"/>
      <color rgb="00C9A227"/>
      <sz val="10"/>
    </font>
    <font>
      <name val="Calibri"/>
      <b val="1"/>
      <color rgb="00FFFFFF"/>
      <sz val="26"/>
    </font>
    <font>
      <name val="Calibri"/>
      <color rgb="00C9D3DB"/>
      <sz val="12"/>
    </font>
    <font>
      <name val="Calibri"/>
      <b val="1"/>
      <color rgb="001B6B73"/>
      <sz val="11"/>
    </font>
    <font>
      <name val="Calibri"/>
      <b val="1"/>
      <color rgb="00C9A227"/>
      <sz val="12"/>
    </font>
    <font>
      <name val="Calibri"/>
      <color rgb="002B2B2B"/>
      <sz val="11"/>
    </font>
    <font>
      <name val="Calibri"/>
      <color rgb="005B6B78"/>
      <sz val="10"/>
    </font>
    <font>
      <name val="Calibri"/>
      <color rgb="008A97A3"/>
      <sz val="9"/>
    </font>
  </fonts>
  <fills count="6">
    <fill>
      <patternFill/>
    </fill>
    <fill>
      <patternFill patternType="gray125"/>
    </fill>
    <fill>
      <patternFill patternType="solid">
        <fgColor rgb="000B2A4A"/>
      </patternFill>
    </fill>
    <fill>
      <patternFill patternType="solid">
        <fgColor rgb="00E6ECF1"/>
      </patternFill>
    </fill>
    <fill>
      <patternFill patternType="solid">
        <fgColor rgb="00FFFCF0"/>
      </patternFill>
    </fill>
    <fill>
      <patternFill patternType="solid">
        <fgColor rgb="00EEF2F5"/>
      </patternFill>
    </fill>
  </fills>
  <borders count="8">
    <border>
      <left/>
      <right/>
      <top/>
      <bottom/>
      <diagonal/>
    </border>
    <border>
      <bottom style="medium">
        <color rgb="00C9A227"/>
      </bottom>
    </border>
    <border>
      <left/>
      <right/>
      <top/>
      <bottom style="medium">
        <color rgb="00C9A227"/>
      </bottom>
      <diagonal/>
    </border>
    <border>
      <left style="dashed">
        <color rgb="00A6A6A6"/>
      </left>
      <right style="dashed">
        <color rgb="00A6A6A6"/>
      </right>
      <top style="dashed">
        <color rgb="00A6A6A6"/>
      </top>
    </border>
    <border>
      <left style="dashed">
        <color rgb="00A6A6A6"/>
      </left>
      <right style="dashed">
        <color rgb="00A6A6A6"/>
      </right>
      <bottom style="dashed">
        <color rgb="00A6A6A6"/>
      </bottom>
    </border>
    <border>
      <left style="thin">
        <color rgb="00C9D3DB"/>
      </left>
      <right style="thin">
        <color rgb="00C9D3DB"/>
      </right>
      <top style="thin">
        <color rgb="00C9D3DB"/>
      </top>
      <bottom style="thin">
        <color rgb="00C9D3DB"/>
      </bottom>
    </border>
    <border>
      <top style="thick">
        <color rgb="00C9A227"/>
      </top>
    </border>
    <border>
      <top style="thin">
        <color rgb="00C9A227"/>
      </top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2" borderId="0" pivotButton="0" quotePrefix="0" xfId="0"/>
    <xf numFmtId="0" fontId="7" fillId="2" borderId="0" pivotButton="0" quotePrefix="0" xfId="0"/>
    <xf numFmtId="0" fontId="8" fillId="2" borderId="0" pivotButton="0" quotePrefix="0" xfId="0"/>
    <xf numFmtId="0" fontId="9" fillId="2" borderId="0" pivotButton="0" quotePrefix="0" xfId="0"/>
    <xf numFmtId="0" fontId="0" fillId="0" borderId="6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horizontal="center" vertical="top"/>
    </xf>
    <xf numFmtId="0" fontId="12" fillId="0" borderId="0" applyAlignment="1" pivotButton="0" quotePrefix="0" xfId="0">
      <alignment vertical="top" wrapText="1"/>
    </xf>
    <xf numFmtId="0" fontId="0" fillId="4" borderId="5" applyProtection="1" pivotButton="0" quotePrefix="0" xfId="0">
      <protection locked="0" hidden="0"/>
    </xf>
    <xf numFmtId="0" fontId="13" fillId="0" borderId="0" pivotButton="0" quotePrefix="0" xfId="0"/>
    <xf numFmtId="0" fontId="0" fillId="5" borderId="5" pivotButton="0" quotePrefix="0" xfId="0"/>
    <xf numFmtId="0" fontId="0" fillId="2" borderId="5" pivotButton="0" quotePrefix="0" xfId="0"/>
    <xf numFmtId="0" fontId="0" fillId="0" borderId="7" pivotButton="0" quotePrefix="0" xfId="0"/>
    <xf numFmtId="0" fontId="14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4" fillId="3" borderId="5" pivotButton="0" quotePrefix="0" xfId="0"/>
    <xf numFmtId="164" fontId="0" fillId="4" borderId="5" applyProtection="1" pivotButton="0" quotePrefix="0" xfId="0">
      <protection locked="0" hidden="0"/>
    </xf>
    <xf numFmtId="0" fontId="5" fillId="2" borderId="5" applyAlignment="1" pivotButton="0" quotePrefix="0" xfId="0">
      <alignment horizontal="center" vertical="center" wrapText="1"/>
    </xf>
    <xf numFmtId="0" fontId="0" fillId="5" borderId="5" applyAlignment="1" pivotButton="0" quotePrefix="0" xfId="0">
      <alignment horizontal="center"/>
    </xf>
    <xf numFmtId="1" fontId="0" fillId="4" borderId="5" applyProtection="1" pivotButton="0" quotePrefix="0" xfId="0">
      <protection locked="0" hidden="0"/>
    </xf>
    <xf numFmtId="165" fontId="0" fillId="5" borderId="5" pivotButton="0" quotePrefix="0" xfId="0"/>
    <xf numFmtId="165" fontId="0" fillId="4" borderId="5" applyProtection="1" pivotButton="0" quotePrefix="0" xfId="0">
      <protection locked="0" hidden="0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D2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5" customWidth="1" min="2" max="2"/>
    <col width="88" customWidth="1" min="3" max="3"/>
    <col width="4" customWidth="1" min="4" max="4"/>
  </cols>
  <sheetData>
    <row r="1">
      <c r="A1" s="1" t="n"/>
      <c r="B1" s="1" t="n"/>
      <c r="C1" s="1" t="n"/>
      <c r="D1" s="1" t="n"/>
    </row>
    <row r="2" ht="20" customHeight="1">
      <c r="A2" s="1" t="n"/>
      <c r="B2" s="2" t="inlineStr">
        <is>
          <t>GRUPO CANVILLE</t>
        </is>
      </c>
      <c r="C2" s="1" t="n"/>
      <c r="D2" s="1" t="n"/>
    </row>
    <row r="3">
      <c r="A3" s="1" t="n"/>
      <c r="B3" s="1" t="n"/>
      <c r="C3" s="1" t="n"/>
      <c r="D3" s="1" t="n"/>
    </row>
    <row r="4" ht="40" customHeight="1">
      <c r="A4" s="1" t="n"/>
      <c r="B4" s="3" t="inlineStr">
        <is>
          <t>Control de vacaciones</t>
        </is>
      </c>
      <c r="C4" s="1" t="n"/>
      <c r="D4" s="1" t="n"/>
    </row>
    <row r="5">
      <c r="A5" s="1" t="n"/>
      <c r="B5" s="4" t="inlineStr">
        <is>
          <t>Formato administrativo editable · México</t>
        </is>
      </c>
      <c r="C5" s="1" t="n"/>
      <c r="D5" s="1" t="n"/>
    </row>
    <row r="6">
      <c r="A6" s="1" t="n"/>
      <c r="B6" s="1" t="n"/>
      <c r="C6" s="1" t="n"/>
      <c r="D6" s="1" t="n"/>
    </row>
    <row r="7">
      <c r="A7" s="1" t="n"/>
      <c r="B7" s="1" t="n"/>
      <c r="C7" s="1" t="n"/>
      <c r="D7" s="1" t="n"/>
    </row>
    <row r="8" ht="6" customHeight="1">
      <c r="A8" s="5" t="n"/>
      <c r="B8" s="5" t="n"/>
      <c r="C8" s="5" t="n"/>
      <c r="D8" s="5" t="n"/>
    </row>
    <row r="9"/>
    <row r="10">
      <c r="B10" s="6" t="inlineStr">
        <is>
          <t>CÓMO USARLO</t>
        </is>
      </c>
    </row>
    <row r="11" ht="21" customHeight="1">
      <c r="B11" s="7" t="n">
        <v>1</v>
      </c>
      <c r="C11" s="8" t="inlineStr">
        <is>
          <t>Captura fecha de ingreso, días tomados y sueldo diario de cada empleado.</t>
        </is>
      </c>
    </row>
    <row r="12" ht="36" customHeight="1">
      <c r="B12" s="7" t="n">
        <v>2</v>
      </c>
      <c r="C12" s="8" t="inlineStr">
        <is>
          <t>Los años de servicio y los días que corresponden se calculan con la tabla de la Ley Federal del Trabajo (hoja 'Tabla LFT').</t>
        </is>
      </c>
    </row>
    <row r="13" ht="21" customHeight="1">
      <c r="B13" s="7" t="n">
        <v>3</v>
      </c>
      <c r="C13" s="8" t="inlineStr">
        <is>
          <t>La prima vacacional (25%) se calcula sobre los días pendientes.</t>
        </is>
      </c>
    </row>
    <row r="14" ht="21" customHeight="1">
      <c r="B14" s="7" t="n">
        <v>4</v>
      </c>
      <c r="C14" s="8" t="inlineStr">
        <is>
          <t>Verifica siempre la tabla contra la legislación vigente y tu contrato colectivo, si aplica.</t>
        </is>
      </c>
    </row>
    <row r="15" ht="36" customHeight="1">
      <c r="B15" s="7" t="n">
        <v>5</v>
      </c>
      <c r="C15" s="8" t="inlineStr">
        <is>
          <t>Personaliza: en el recuadro punteado de la esquina superior derecha inserta tu logo (Insertar &gt; Imágenes) y captura los datos de tu empresa en las celdas de captura.</t>
        </is>
      </c>
    </row>
    <row r="16"/>
    <row r="17">
      <c r="B17" s="6" t="inlineStr">
        <is>
          <t>LEYENDA</t>
        </is>
      </c>
    </row>
    <row r="18">
      <c r="B18" s="9" t="inlineStr"/>
      <c r="C18" s="10" t="inlineStr">
        <is>
          <t>Celda de captura: escribe aquí.</t>
        </is>
      </c>
    </row>
    <row r="19">
      <c r="B19" s="11" t="inlineStr"/>
      <c r="C19" s="10" t="inlineStr">
        <is>
          <t>Cálculo automático: no la modifiques.</t>
        </is>
      </c>
    </row>
    <row r="20">
      <c r="B20" s="12" t="inlineStr"/>
      <c r="C20" s="10" t="inlineStr">
        <is>
          <t>Encabezados y títulos.</t>
        </is>
      </c>
    </row>
    <row r="21"/>
    <row r="22">
      <c r="A22" s="13" t="n"/>
      <c r="B22" s="13" t="n"/>
      <c r="C22" s="13" t="n"/>
      <c r="D22" s="13" t="n"/>
    </row>
    <row r="23">
      <c r="B23" s="14" t="inlineStr">
        <is>
          <t>GRUPO CANVILLE · Formatos administrativos · v1.0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  <pageSetup orientation="portrait" fitToHeight="1" fitToWidth="1"/>
</worksheet>
</file>

<file path=xl/worksheets/sheet2.xml><?xml version="1.0" encoding="utf-8"?>
<worksheet xmlns="http://schemas.openxmlformats.org/spreadsheetml/2006/main">
  <sheetPr>
    <tabColor rgb="000B2A4A"/>
    <outlinePr summaryBelow="1" summaryRight="1"/>
    <pageSetUpPr fitToPage="1"/>
  </sheetPr>
  <dimension ref="A1:I3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.05" customWidth="1" min="1" max="1"/>
    <col width="28" customWidth="1" min="2" max="2"/>
    <col width="14" customWidth="1" min="3" max="3"/>
    <col width="12" customWidth="1" min="4" max="4"/>
    <col width="14" customWidth="1" min="5" max="5"/>
    <col width="18.1" customWidth="1" min="6" max="6"/>
    <col width="14" customWidth="1" min="7" max="7"/>
    <col width="14" customWidth="1" min="8" max="8"/>
    <col width="24" customWidth="1" min="9" max="9"/>
  </cols>
  <sheetData>
    <row r="1" ht="44" customHeight="1">
      <c r="A1" s="15" t="inlineStr">
        <is>
          <t>CONTROL DE VACACIONES</t>
        </is>
      </c>
      <c r="B1" s="1" t="n"/>
      <c r="C1" s="1" t="n"/>
      <c r="D1" s="1" t="n"/>
      <c r="E1" s="1" t="n"/>
      <c r="F1" s="1" t="n"/>
      <c r="G1" s="1" t="n"/>
      <c r="H1" s="1" t="n"/>
      <c r="I1" s="16" t="inlineStr">
        <is>
          <t>INSERTE SU LOGO
(clic derecho &gt; Insertar imagen)</t>
        </is>
      </c>
    </row>
    <row r="2" ht="26" customHeight="1">
      <c r="A2" s="17" t="inlineStr">
        <is>
          <t>Días según antigüedad (Reforma Vacaciones Dignas, LFT 2023)</t>
        </is>
      </c>
      <c r="B2" s="18" t="n"/>
      <c r="C2" s="18" t="n"/>
      <c r="D2" s="18" t="n"/>
      <c r="E2" s="18" t="n"/>
      <c r="F2" s="18" t="n"/>
      <c r="G2" s="18" t="n"/>
      <c r="H2" s="18" t="n"/>
      <c r="I2" s="19" t="n"/>
    </row>
    <row r="3"/>
    <row r="4">
      <c r="A4" s="20" t="inlineStr">
        <is>
          <t>Empresa</t>
        </is>
      </c>
      <c r="B4" s="9" t="n"/>
      <c r="C4" s="9" t="n"/>
      <c r="D4" s="9" t="n"/>
      <c r="F4" s="20" t="inlineStr">
        <is>
          <t>Fecha de corte</t>
        </is>
      </c>
      <c r="G4" s="21">
        <f>TODAY()</f>
        <v/>
      </c>
      <c r="H4" s="9" t="n"/>
    </row>
    <row r="5"/>
    <row r="6" ht="32" customHeight="1">
      <c r="A6" s="22" t="inlineStr">
        <is>
          <t>No.</t>
        </is>
      </c>
      <c r="B6" s="22" t="inlineStr">
        <is>
          <t>Empleado</t>
        </is>
      </c>
      <c r="C6" s="22" t="inlineStr">
        <is>
          <t>Fecha ingreso</t>
        </is>
      </c>
      <c r="D6" s="22" t="inlineStr">
        <is>
          <t>Años cumplidos</t>
        </is>
      </c>
      <c r="E6" s="22" t="inlineStr">
        <is>
          <t>Días que corresponden</t>
        </is>
      </c>
      <c r="F6" s="22" t="inlineStr">
        <is>
          <t>Días tomados</t>
        </is>
      </c>
      <c r="G6" s="22" t="inlineStr">
        <is>
          <t>Días pendientes</t>
        </is>
      </c>
      <c r="H6" s="22" t="inlineStr">
        <is>
          <t>Prima vacacional 25%</t>
        </is>
      </c>
      <c r="I6" s="22" t="inlineStr">
        <is>
          <t>Sueldo diario</t>
        </is>
      </c>
    </row>
    <row r="7">
      <c r="A7" s="23" t="n">
        <v>1</v>
      </c>
      <c r="B7" s="9" t="n"/>
      <c r="C7" s="21" t="n"/>
      <c r="D7" s="11">
        <f>IF(C7="","",DATEDIF(C7,$G$4,"Y"))</f>
        <v/>
      </c>
      <c r="E7" s="11">
        <f>IF(C7="","",IF(D7&lt;1,0,LOOKUP(D7,'Tabla LFT'!$A$2:$A$12,'Tabla LFT'!$B$2:$B$12)))</f>
        <v/>
      </c>
      <c r="F7" s="24" t="n"/>
      <c r="G7" s="11">
        <f>IF(C7="","",E7-F7)</f>
        <v/>
      </c>
      <c r="H7" s="25">
        <f>IF(OR(C7="",I7=""),"",ROUND(I7*G7*0.25,2))</f>
        <v/>
      </c>
      <c r="I7" s="26" t="n"/>
    </row>
    <row r="8">
      <c r="A8" s="23" t="n">
        <v>2</v>
      </c>
      <c r="B8" s="9" t="n"/>
      <c r="C8" s="21" t="n"/>
      <c r="D8" s="11">
        <f>IF(C8="","",DATEDIF(C8,$G$4,"Y"))</f>
        <v/>
      </c>
      <c r="E8" s="11">
        <f>IF(C8="","",IF(D8&lt;1,0,LOOKUP(D8,'Tabla LFT'!$A$2:$A$12,'Tabla LFT'!$B$2:$B$12)))</f>
        <v/>
      </c>
      <c r="F8" s="24" t="n"/>
      <c r="G8" s="11">
        <f>IF(C8="","",E8-F8)</f>
        <v/>
      </c>
      <c r="H8" s="25">
        <f>IF(OR(C8="",I8=""),"",ROUND(I8*G8*0.25,2))</f>
        <v/>
      </c>
      <c r="I8" s="26" t="n"/>
    </row>
    <row r="9">
      <c r="A9" s="23" t="n">
        <v>3</v>
      </c>
      <c r="B9" s="9" t="n"/>
      <c r="C9" s="21" t="n"/>
      <c r="D9" s="11">
        <f>IF(C9="","",DATEDIF(C9,$G$4,"Y"))</f>
        <v/>
      </c>
      <c r="E9" s="11">
        <f>IF(C9="","",IF(D9&lt;1,0,LOOKUP(D9,'Tabla LFT'!$A$2:$A$12,'Tabla LFT'!$B$2:$B$12)))</f>
        <v/>
      </c>
      <c r="F9" s="24" t="n"/>
      <c r="G9" s="11">
        <f>IF(C9="","",E9-F9)</f>
        <v/>
      </c>
      <c r="H9" s="25">
        <f>IF(OR(C9="",I9=""),"",ROUND(I9*G9*0.25,2))</f>
        <v/>
      </c>
      <c r="I9" s="26" t="n"/>
    </row>
    <row r="10">
      <c r="A10" s="23" t="n">
        <v>4</v>
      </c>
      <c r="B10" s="9" t="n"/>
      <c r="C10" s="21" t="n"/>
      <c r="D10" s="11">
        <f>IF(C10="","",DATEDIF(C10,$G$4,"Y"))</f>
        <v/>
      </c>
      <c r="E10" s="11">
        <f>IF(C10="","",IF(D10&lt;1,0,LOOKUP(D10,'Tabla LFT'!$A$2:$A$12,'Tabla LFT'!$B$2:$B$12)))</f>
        <v/>
      </c>
      <c r="F10" s="24" t="n"/>
      <c r="G10" s="11">
        <f>IF(C10="","",E10-F10)</f>
        <v/>
      </c>
      <c r="H10" s="25">
        <f>IF(OR(C10="",I10=""),"",ROUND(I10*G10*0.25,2))</f>
        <v/>
      </c>
      <c r="I10" s="26" t="n"/>
    </row>
    <row r="11">
      <c r="A11" s="23" t="n">
        <v>5</v>
      </c>
      <c r="B11" s="9" t="n"/>
      <c r="C11" s="21" t="n"/>
      <c r="D11" s="11">
        <f>IF(C11="","",DATEDIF(C11,$G$4,"Y"))</f>
        <v/>
      </c>
      <c r="E11" s="11">
        <f>IF(C11="","",IF(D11&lt;1,0,LOOKUP(D11,'Tabla LFT'!$A$2:$A$12,'Tabla LFT'!$B$2:$B$12)))</f>
        <v/>
      </c>
      <c r="F11" s="24" t="n"/>
      <c r="G11" s="11">
        <f>IF(C11="","",E11-F11)</f>
        <v/>
      </c>
      <c r="H11" s="25">
        <f>IF(OR(C11="",I11=""),"",ROUND(I11*G11*0.25,2))</f>
        <v/>
      </c>
      <c r="I11" s="26" t="n"/>
    </row>
    <row r="12">
      <c r="A12" s="23" t="n">
        <v>6</v>
      </c>
      <c r="B12" s="9" t="n"/>
      <c r="C12" s="21" t="n"/>
      <c r="D12" s="11">
        <f>IF(C12="","",DATEDIF(C12,$G$4,"Y"))</f>
        <v/>
      </c>
      <c r="E12" s="11">
        <f>IF(C12="","",IF(D12&lt;1,0,LOOKUP(D12,'Tabla LFT'!$A$2:$A$12,'Tabla LFT'!$B$2:$B$12)))</f>
        <v/>
      </c>
      <c r="F12" s="24" t="n"/>
      <c r="G12" s="11">
        <f>IF(C12="","",E12-F12)</f>
        <v/>
      </c>
      <c r="H12" s="25">
        <f>IF(OR(C12="",I12=""),"",ROUND(I12*G12*0.25,2))</f>
        <v/>
      </c>
      <c r="I12" s="26" t="n"/>
    </row>
    <row r="13">
      <c r="A13" s="23" t="n">
        <v>7</v>
      </c>
      <c r="B13" s="9" t="n"/>
      <c r="C13" s="21" t="n"/>
      <c r="D13" s="11">
        <f>IF(C13="","",DATEDIF(C13,$G$4,"Y"))</f>
        <v/>
      </c>
      <c r="E13" s="11">
        <f>IF(C13="","",IF(D13&lt;1,0,LOOKUP(D13,'Tabla LFT'!$A$2:$A$12,'Tabla LFT'!$B$2:$B$12)))</f>
        <v/>
      </c>
      <c r="F13" s="24" t="n"/>
      <c r="G13" s="11">
        <f>IF(C13="","",E13-F13)</f>
        <v/>
      </c>
      <c r="H13" s="25">
        <f>IF(OR(C13="",I13=""),"",ROUND(I13*G13*0.25,2))</f>
        <v/>
      </c>
      <c r="I13" s="26" t="n"/>
    </row>
    <row r="14">
      <c r="A14" s="23" t="n">
        <v>8</v>
      </c>
      <c r="B14" s="9" t="n"/>
      <c r="C14" s="21" t="n"/>
      <c r="D14" s="11">
        <f>IF(C14="","",DATEDIF(C14,$G$4,"Y"))</f>
        <v/>
      </c>
      <c r="E14" s="11">
        <f>IF(C14="","",IF(D14&lt;1,0,LOOKUP(D14,'Tabla LFT'!$A$2:$A$12,'Tabla LFT'!$B$2:$B$12)))</f>
        <v/>
      </c>
      <c r="F14" s="24" t="n"/>
      <c r="G14" s="11">
        <f>IF(C14="","",E14-F14)</f>
        <v/>
      </c>
      <c r="H14" s="25">
        <f>IF(OR(C14="",I14=""),"",ROUND(I14*G14*0.25,2))</f>
        <v/>
      </c>
      <c r="I14" s="26" t="n"/>
    </row>
    <row r="15">
      <c r="A15" s="23" t="n">
        <v>9</v>
      </c>
      <c r="B15" s="9" t="n"/>
      <c r="C15" s="21" t="n"/>
      <c r="D15" s="11">
        <f>IF(C15="","",DATEDIF(C15,$G$4,"Y"))</f>
        <v/>
      </c>
      <c r="E15" s="11">
        <f>IF(C15="","",IF(D15&lt;1,0,LOOKUP(D15,'Tabla LFT'!$A$2:$A$12,'Tabla LFT'!$B$2:$B$12)))</f>
        <v/>
      </c>
      <c r="F15" s="24" t="n"/>
      <c r="G15" s="11">
        <f>IF(C15="","",E15-F15)</f>
        <v/>
      </c>
      <c r="H15" s="25">
        <f>IF(OR(C15="",I15=""),"",ROUND(I15*G15*0.25,2))</f>
        <v/>
      </c>
      <c r="I15" s="26" t="n"/>
    </row>
    <row r="16">
      <c r="A16" s="23" t="n">
        <v>10</v>
      </c>
      <c r="B16" s="9" t="n"/>
      <c r="C16" s="21" t="n"/>
      <c r="D16" s="11">
        <f>IF(C16="","",DATEDIF(C16,$G$4,"Y"))</f>
        <v/>
      </c>
      <c r="E16" s="11">
        <f>IF(C16="","",IF(D16&lt;1,0,LOOKUP(D16,'Tabla LFT'!$A$2:$A$12,'Tabla LFT'!$B$2:$B$12)))</f>
        <v/>
      </c>
      <c r="F16" s="24" t="n"/>
      <c r="G16" s="11">
        <f>IF(C16="","",E16-F16)</f>
        <v/>
      </c>
      <c r="H16" s="25">
        <f>IF(OR(C16="",I16=""),"",ROUND(I16*G16*0.25,2))</f>
        <v/>
      </c>
      <c r="I16" s="26" t="n"/>
    </row>
    <row r="17">
      <c r="A17" s="23" t="n">
        <v>11</v>
      </c>
      <c r="B17" s="9" t="n"/>
      <c r="C17" s="21" t="n"/>
      <c r="D17" s="11">
        <f>IF(C17="","",DATEDIF(C17,$G$4,"Y"))</f>
        <v/>
      </c>
      <c r="E17" s="11">
        <f>IF(C17="","",IF(D17&lt;1,0,LOOKUP(D17,'Tabla LFT'!$A$2:$A$12,'Tabla LFT'!$B$2:$B$12)))</f>
        <v/>
      </c>
      <c r="F17" s="24" t="n"/>
      <c r="G17" s="11">
        <f>IF(C17="","",E17-F17)</f>
        <v/>
      </c>
      <c r="H17" s="25">
        <f>IF(OR(C17="",I17=""),"",ROUND(I17*G17*0.25,2))</f>
        <v/>
      </c>
      <c r="I17" s="26" t="n"/>
    </row>
    <row r="18">
      <c r="A18" s="23" t="n">
        <v>12</v>
      </c>
      <c r="B18" s="9" t="n"/>
      <c r="C18" s="21" t="n"/>
      <c r="D18" s="11">
        <f>IF(C18="","",DATEDIF(C18,$G$4,"Y"))</f>
        <v/>
      </c>
      <c r="E18" s="11">
        <f>IF(C18="","",IF(D18&lt;1,0,LOOKUP(D18,'Tabla LFT'!$A$2:$A$12,'Tabla LFT'!$B$2:$B$12)))</f>
        <v/>
      </c>
      <c r="F18" s="24" t="n"/>
      <c r="G18" s="11">
        <f>IF(C18="","",E18-F18)</f>
        <v/>
      </c>
      <c r="H18" s="25">
        <f>IF(OR(C18="",I18=""),"",ROUND(I18*G18*0.25,2))</f>
        <v/>
      </c>
      <c r="I18" s="26" t="n"/>
    </row>
    <row r="19">
      <c r="A19" s="23" t="n">
        <v>13</v>
      </c>
      <c r="B19" s="9" t="n"/>
      <c r="C19" s="21" t="n"/>
      <c r="D19" s="11">
        <f>IF(C19="","",DATEDIF(C19,$G$4,"Y"))</f>
        <v/>
      </c>
      <c r="E19" s="11">
        <f>IF(C19="","",IF(D19&lt;1,0,LOOKUP(D19,'Tabla LFT'!$A$2:$A$12,'Tabla LFT'!$B$2:$B$12)))</f>
        <v/>
      </c>
      <c r="F19" s="24" t="n"/>
      <c r="G19" s="11">
        <f>IF(C19="","",E19-F19)</f>
        <v/>
      </c>
      <c r="H19" s="25">
        <f>IF(OR(C19="",I19=""),"",ROUND(I19*G19*0.25,2))</f>
        <v/>
      </c>
      <c r="I19" s="26" t="n"/>
    </row>
    <row r="20">
      <c r="A20" s="23" t="n">
        <v>14</v>
      </c>
      <c r="B20" s="9" t="n"/>
      <c r="C20" s="21" t="n"/>
      <c r="D20" s="11">
        <f>IF(C20="","",DATEDIF(C20,$G$4,"Y"))</f>
        <v/>
      </c>
      <c r="E20" s="11">
        <f>IF(C20="","",IF(D20&lt;1,0,LOOKUP(D20,'Tabla LFT'!$A$2:$A$12,'Tabla LFT'!$B$2:$B$12)))</f>
        <v/>
      </c>
      <c r="F20" s="24" t="n"/>
      <c r="G20" s="11">
        <f>IF(C20="","",E20-F20)</f>
        <v/>
      </c>
      <c r="H20" s="25">
        <f>IF(OR(C20="",I20=""),"",ROUND(I20*G20*0.25,2))</f>
        <v/>
      </c>
      <c r="I20" s="26" t="n"/>
    </row>
    <row r="21">
      <c r="A21" s="23" t="n">
        <v>15</v>
      </c>
      <c r="B21" s="9" t="n"/>
      <c r="C21" s="21" t="n"/>
      <c r="D21" s="11">
        <f>IF(C21="","",DATEDIF(C21,$G$4,"Y"))</f>
        <v/>
      </c>
      <c r="E21" s="11">
        <f>IF(C21="","",IF(D21&lt;1,0,LOOKUP(D21,'Tabla LFT'!$A$2:$A$12,'Tabla LFT'!$B$2:$B$12)))</f>
        <v/>
      </c>
      <c r="F21" s="24" t="n"/>
      <c r="G21" s="11">
        <f>IF(C21="","",E21-F21)</f>
        <v/>
      </c>
      <c r="H21" s="25">
        <f>IF(OR(C21="",I21=""),"",ROUND(I21*G21*0.25,2))</f>
        <v/>
      </c>
      <c r="I21" s="26" t="n"/>
    </row>
    <row r="22">
      <c r="A22" s="23" t="n">
        <v>16</v>
      </c>
      <c r="B22" s="9" t="n"/>
      <c r="C22" s="21" t="n"/>
      <c r="D22" s="11">
        <f>IF(C22="","",DATEDIF(C22,$G$4,"Y"))</f>
        <v/>
      </c>
      <c r="E22" s="11">
        <f>IF(C22="","",IF(D22&lt;1,0,LOOKUP(D22,'Tabla LFT'!$A$2:$A$12,'Tabla LFT'!$B$2:$B$12)))</f>
        <v/>
      </c>
      <c r="F22" s="24" t="n"/>
      <c r="G22" s="11">
        <f>IF(C22="","",E22-F22)</f>
        <v/>
      </c>
      <c r="H22" s="25">
        <f>IF(OR(C22="",I22=""),"",ROUND(I22*G22*0.25,2))</f>
        <v/>
      </c>
      <c r="I22" s="26" t="n"/>
    </row>
    <row r="23">
      <c r="A23" s="23" t="n">
        <v>17</v>
      </c>
      <c r="B23" s="9" t="n"/>
      <c r="C23" s="21" t="n"/>
      <c r="D23" s="11">
        <f>IF(C23="","",DATEDIF(C23,$G$4,"Y"))</f>
        <v/>
      </c>
      <c r="E23" s="11">
        <f>IF(C23="","",IF(D23&lt;1,0,LOOKUP(D23,'Tabla LFT'!$A$2:$A$12,'Tabla LFT'!$B$2:$B$12)))</f>
        <v/>
      </c>
      <c r="F23" s="24" t="n"/>
      <c r="G23" s="11">
        <f>IF(C23="","",E23-F23)</f>
        <v/>
      </c>
      <c r="H23" s="25">
        <f>IF(OR(C23="",I23=""),"",ROUND(I23*G23*0.25,2))</f>
        <v/>
      </c>
      <c r="I23" s="26" t="n"/>
    </row>
    <row r="24">
      <c r="A24" s="23" t="n">
        <v>18</v>
      </c>
      <c r="B24" s="9" t="n"/>
      <c r="C24" s="21" t="n"/>
      <c r="D24" s="11">
        <f>IF(C24="","",DATEDIF(C24,$G$4,"Y"))</f>
        <v/>
      </c>
      <c r="E24" s="11">
        <f>IF(C24="","",IF(D24&lt;1,0,LOOKUP(D24,'Tabla LFT'!$A$2:$A$12,'Tabla LFT'!$B$2:$B$12)))</f>
        <v/>
      </c>
      <c r="F24" s="24" t="n"/>
      <c r="G24" s="11">
        <f>IF(C24="","",E24-F24)</f>
        <v/>
      </c>
      <c r="H24" s="25">
        <f>IF(OR(C24="",I24=""),"",ROUND(I24*G24*0.25,2))</f>
        <v/>
      </c>
      <c r="I24" s="26" t="n"/>
    </row>
    <row r="25">
      <c r="A25" s="23" t="n">
        <v>19</v>
      </c>
      <c r="B25" s="9" t="n"/>
      <c r="C25" s="21" t="n"/>
      <c r="D25" s="11">
        <f>IF(C25="","",DATEDIF(C25,$G$4,"Y"))</f>
        <v/>
      </c>
      <c r="E25" s="11">
        <f>IF(C25="","",IF(D25&lt;1,0,LOOKUP(D25,'Tabla LFT'!$A$2:$A$12,'Tabla LFT'!$B$2:$B$12)))</f>
        <v/>
      </c>
      <c r="F25" s="24" t="n"/>
      <c r="G25" s="11">
        <f>IF(C25="","",E25-F25)</f>
        <v/>
      </c>
      <c r="H25" s="25">
        <f>IF(OR(C25="",I25=""),"",ROUND(I25*G25*0.25,2))</f>
        <v/>
      </c>
      <c r="I25" s="26" t="n"/>
    </row>
    <row r="26">
      <c r="A26" s="23" t="n">
        <v>20</v>
      </c>
      <c r="B26" s="9" t="n"/>
      <c r="C26" s="21" t="n"/>
      <c r="D26" s="11">
        <f>IF(C26="","",DATEDIF(C26,$G$4,"Y"))</f>
        <v/>
      </c>
      <c r="E26" s="11">
        <f>IF(C26="","",IF(D26&lt;1,0,LOOKUP(D26,'Tabla LFT'!$A$2:$A$12,'Tabla LFT'!$B$2:$B$12)))</f>
        <v/>
      </c>
      <c r="F26" s="24" t="n"/>
      <c r="G26" s="11">
        <f>IF(C26="","",E26-F26)</f>
        <v/>
      </c>
      <c r="H26" s="25">
        <f>IF(OR(C26="",I26=""),"",ROUND(I26*G26*0.25,2))</f>
        <v/>
      </c>
      <c r="I26" s="26" t="n"/>
    </row>
    <row r="27">
      <c r="A27" s="23" t="n">
        <v>21</v>
      </c>
      <c r="B27" s="9" t="n"/>
      <c r="C27" s="21" t="n"/>
      <c r="D27" s="11">
        <f>IF(C27="","",DATEDIF(C27,$G$4,"Y"))</f>
        <v/>
      </c>
      <c r="E27" s="11">
        <f>IF(C27="","",IF(D27&lt;1,0,LOOKUP(D27,'Tabla LFT'!$A$2:$A$12,'Tabla LFT'!$B$2:$B$12)))</f>
        <v/>
      </c>
      <c r="F27" s="24" t="n"/>
      <c r="G27" s="11">
        <f>IF(C27="","",E27-F27)</f>
        <v/>
      </c>
      <c r="H27" s="25">
        <f>IF(OR(C27="",I27=""),"",ROUND(I27*G27*0.25,2))</f>
        <v/>
      </c>
      <c r="I27" s="26" t="n"/>
    </row>
    <row r="28">
      <c r="A28" s="23" t="n">
        <v>22</v>
      </c>
      <c r="B28" s="9" t="n"/>
      <c r="C28" s="21" t="n"/>
      <c r="D28" s="11">
        <f>IF(C28="","",DATEDIF(C28,$G$4,"Y"))</f>
        <v/>
      </c>
      <c r="E28" s="11">
        <f>IF(C28="","",IF(D28&lt;1,0,LOOKUP(D28,'Tabla LFT'!$A$2:$A$12,'Tabla LFT'!$B$2:$B$12)))</f>
        <v/>
      </c>
      <c r="F28" s="24" t="n"/>
      <c r="G28" s="11">
        <f>IF(C28="","",E28-F28)</f>
        <v/>
      </c>
      <c r="H28" s="25">
        <f>IF(OR(C28="",I28=""),"",ROUND(I28*G28*0.25,2))</f>
        <v/>
      </c>
      <c r="I28" s="26" t="n"/>
    </row>
    <row r="29">
      <c r="A29" s="23" t="n">
        <v>23</v>
      </c>
      <c r="B29" s="9" t="n"/>
      <c r="C29" s="21" t="n"/>
      <c r="D29" s="11">
        <f>IF(C29="","",DATEDIF(C29,$G$4,"Y"))</f>
        <v/>
      </c>
      <c r="E29" s="11">
        <f>IF(C29="","",IF(D29&lt;1,0,LOOKUP(D29,'Tabla LFT'!$A$2:$A$12,'Tabla LFT'!$B$2:$B$12)))</f>
        <v/>
      </c>
      <c r="F29" s="24" t="n"/>
      <c r="G29" s="11">
        <f>IF(C29="","",E29-F29)</f>
        <v/>
      </c>
      <c r="H29" s="25">
        <f>IF(OR(C29="",I29=""),"",ROUND(I29*G29*0.25,2))</f>
        <v/>
      </c>
      <c r="I29" s="26" t="n"/>
    </row>
    <row r="30">
      <c r="A30" s="23" t="n">
        <v>24</v>
      </c>
      <c r="B30" s="9" t="n"/>
      <c r="C30" s="21" t="n"/>
      <c r="D30" s="11">
        <f>IF(C30="","",DATEDIF(C30,$G$4,"Y"))</f>
        <v/>
      </c>
      <c r="E30" s="11">
        <f>IF(C30="","",IF(D30&lt;1,0,LOOKUP(D30,'Tabla LFT'!$A$2:$A$12,'Tabla LFT'!$B$2:$B$12)))</f>
        <v/>
      </c>
      <c r="F30" s="24" t="n"/>
      <c r="G30" s="11">
        <f>IF(C30="","",E30-F30)</f>
        <v/>
      </c>
      <c r="H30" s="25">
        <f>IF(OR(C30="",I30=""),"",ROUND(I30*G30*0.25,2))</f>
        <v/>
      </c>
      <c r="I30" s="26" t="n"/>
    </row>
    <row r="31">
      <c r="A31" s="23" t="n">
        <v>25</v>
      </c>
      <c r="B31" s="9" t="n"/>
      <c r="C31" s="21" t="n"/>
      <c r="D31" s="11">
        <f>IF(C31="","",DATEDIF(C31,$G$4,"Y"))</f>
        <v/>
      </c>
      <c r="E31" s="11">
        <f>IF(C31="","",IF(D31&lt;1,0,LOOKUP(D31,'Tabla LFT'!$A$2:$A$12,'Tabla LFT'!$B$2:$B$12)))</f>
        <v/>
      </c>
      <c r="F31" s="24" t="n"/>
      <c r="G31" s="11">
        <f>IF(C31="","",E31-F31)</f>
        <v/>
      </c>
      <c r="H31" s="25">
        <f>IF(OR(C31="",I31=""),"",ROUND(I31*G31*0.25,2))</f>
        <v/>
      </c>
      <c r="I31" s="26" t="n"/>
    </row>
    <row r="32">
      <c r="A32" s="23" t="n">
        <v>26</v>
      </c>
      <c r="B32" s="9" t="n"/>
      <c r="C32" s="21" t="n"/>
      <c r="D32" s="11">
        <f>IF(C32="","",DATEDIF(C32,$G$4,"Y"))</f>
        <v/>
      </c>
      <c r="E32" s="11">
        <f>IF(C32="","",IF(D32&lt;1,0,LOOKUP(D32,'Tabla LFT'!$A$2:$A$12,'Tabla LFT'!$B$2:$B$12)))</f>
        <v/>
      </c>
      <c r="F32" s="24" t="n"/>
      <c r="G32" s="11">
        <f>IF(C32="","",E32-F32)</f>
        <v/>
      </c>
      <c r="H32" s="25">
        <f>IF(OR(C32="",I32=""),"",ROUND(I32*G32*0.25,2))</f>
        <v/>
      </c>
      <c r="I32" s="26" t="n"/>
    </row>
    <row r="33">
      <c r="A33" s="23" t="n">
        <v>27</v>
      </c>
      <c r="B33" s="9" t="n"/>
      <c r="C33" s="21" t="n"/>
      <c r="D33" s="11">
        <f>IF(C33="","",DATEDIF(C33,$G$4,"Y"))</f>
        <v/>
      </c>
      <c r="E33" s="11">
        <f>IF(C33="","",IF(D33&lt;1,0,LOOKUP(D33,'Tabla LFT'!$A$2:$A$12,'Tabla LFT'!$B$2:$B$12)))</f>
        <v/>
      </c>
      <c r="F33" s="24" t="n"/>
      <c r="G33" s="11">
        <f>IF(C33="","",E33-F33)</f>
        <v/>
      </c>
      <c r="H33" s="25">
        <f>IF(OR(C33="",I33=""),"",ROUND(I33*G33*0.25,2))</f>
        <v/>
      </c>
      <c r="I33" s="26" t="n"/>
    </row>
    <row r="34">
      <c r="A34" s="23" t="n">
        <v>28</v>
      </c>
      <c r="B34" s="9" t="n"/>
      <c r="C34" s="21" t="n"/>
      <c r="D34" s="11">
        <f>IF(C34="","",DATEDIF(C34,$G$4,"Y"))</f>
        <v/>
      </c>
      <c r="E34" s="11">
        <f>IF(C34="","",IF(D34&lt;1,0,LOOKUP(D34,'Tabla LFT'!$A$2:$A$12,'Tabla LFT'!$B$2:$B$12)))</f>
        <v/>
      </c>
      <c r="F34" s="24" t="n"/>
      <c r="G34" s="11">
        <f>IF(C34="","",E34-F34)</f>
        <v/>
      </c>
      <c r="H34" s="25">
        <f>IF(OR(C34="",I34=""),"",ROUND(I34*G34*0.25,2))</f>
        <v/>
      </c>
      <c r="I34" s="26" t="n"/>
    </row>
    <row r="35">
      <c r="A35" s="23" t="n">
        <v>29</v>
      </c>
      <c r="B35" s="9" t="n"/>
      <c r="C35" s="21" t="n"/>
      <c r="D35" s="11">
        <f>IF(C35="","",DATEDIF(C35,$G$4,"Y"))</f>
        <v/>
      </c>
      <c r="E35" s="11">
        <f>IF(C35="","",IF(D35&lt;1,0,LOOKUP(D35,'Tabla LFT'!$A$2:$A$12,'Tabla LFT'!$B$2:$B$12)))</f>
        <v/>
      </c>
      <c r="F35" s="24" t="n"/>
      <c r="G35" s="11">
        <f>IF(C35="","",E35-F35)</f>
        <v/>
      </c>
      <c r="H35" s="25">
        <f>IF(OR(C35="",I35=""),"",ROUND(I35*G35*0.25,2))</f>
        <v/>
      </c>
      <c r="I35" s="26" t="n"/>
    </row>
    <row r="36">
      <c r="A36" s="23" t="n">
        <v>30</v>
      </c>
      <c r="B36" s="9" t="n"/>
      <c r="C36" s="21" t="n"/>
      <c r="D36" s="11">
        <f>IF(C36="","",DATEDIF(C36,$G$4,"Y"))</f>
        <v/>
      </c>
      <c r="E36" s="11">
        <f>IF(C36="","",IF(D36&lt;1,0,LOOKUP(D36,'Tabla LFT'!$A$2:$A$12,'Tabla LFT'!$B$2:$B$12)))</f>
        <v/>
      </c>
      <c r="F36" s="24" t="n"/>
      <c r="G36" s="11">
        <f>IF(C36="","",E36-F36)</f>
        <v/>
      </c>
      <c r="H36" s="25">
        <f>IF(OR(C36="",I36=""),"",ROUND(I36*G36*0.25,2))</f>
        <v/>
      </c>
      <c r="I36" s="2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5">
    <mergeCell ref="G4:H4"/>
    <mergeCell ref="A2:H2"/>
    <mergeCell ref="B4:D4"/>
    <mergeCell ref="A1:H1"/>
    <mergeCell ref="I1:I2"/>
  </mergeCells>
  <printOptions horizontalCentered="1"/>
  <pageMargins left="0.75" right="0.75" top="1" bottom="1" header="0.5" footer="0.5"/>
  <pageSetup orientation="landscape" fitToHeight="0" fitToWidth="1" firstPageNumber="1" useFirstPageNumber="1"/>
  <headerFooter>
    <oddHeader/>
    <oddFooter>&amp;C&amp;8 Página &amp;P&amp;R&amp;8 Impreso: &amp;D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</cols>
  <sheetData>
    <row r="1">
      <c r="A1" s="27" t="inlineStr">
        <is>
          <t>Años de servicio</t>
        </is>
      </c>
      <c r="B1" s="27" t="inlineStr">
        <is>
          <t>Días de vacaciones</t>
        </is>
      </c>
    </row>
    <row r="2">
      <c r="A2" t="n">
        <v>1</v>
      </c>
      <c r="B2" t="n">
        <v>12</v>
      </c>
    </row>
    <row r="3">
      <c r="A3" t="n">
        <v>2</v>
      </c>
      <c r="B3" t="n">
        <v>14</v>
      </c>
    </row>
    <row r="4">
      <c r="A4" t="n">
        <v>3</v>
      </c>
      <c r="B4" t="n">
        <v>16</v>
      </c>
    </row>
    <row r="5">
      <c r="A5" t="n">
        <v>4</v>
      </c>
      <c r="B5" t="n">
        <v>18</v>
      </c>
    </row>
    <row r="6">
      <c r="A6" t="n">
        <v>5</v>
      </c>
      <c r="B6" t="n">
        <v>20</v>
      </c>
    </row>
    <row r="7">
      <c r="A7" t="n">
        <v>6</v>
      </c>
      <c r="B7" t="n">
        <v>22</v>
      </c>
    </row>
    <row r="8">
      <c r="A8" t="n">
        <v>11</v>
      </c>
      <c r="B8" t="n">
        <v>24</v>
      </c>
    </row>
    <row r="9">
      <c r="A9" t="n">
        <v>16</v>
      </c>
      <c r="B9" t="n">
        <v>26</v>
      </c>
    </row>
    <row r="10">
      <c r="A10" t="n">
        <v>21</v>
      </c>
      <c r="B10" t="n">
        <v>28</v>
      </c>
    </row>
    <row r="11">
      <c r="A11" t="n">
        <v>26</v>
      </c>
      <c r="B11" t="n">
        <v>30</v>
      </c>
    </row>
    <row r="12">
      <c r="A12" t="n">
        <v>31</v>
      </c>
      <c r="B12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2026-10-07T18:10:57Z</dcterms:created>
  <dcterms:modified xmlns:dcterms="http://purl.org/dc/terms/" xmlns:xsi="http://www.w3.org/2001/XMLSchema-instance" xsi:type="dcterms:W3CDTF">2026-10-07T18:10:57Z</dcterms:modified>
</cp:coreProperties>
</file>