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b val="1"/>
    </font>
    <font>
      <b val="1"/>
      <color rgb="00FFFFFF"/>
    </font>
    <font>
      <b val="1"/>
      <color rgb="001F4E78"/>
      <sz val="16"/>
    </font>
    <font>
      <b val="1"/>
      <color rgb="001F4E78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0" fillId="4" borderId="1" pivotButton="0" quotePrefix="0" xfId="0"/>
    <xf numFmtId="3" fontId="0" fillId="5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3" fillId="0" borderId="0" applyAlignment="1" pivotButton="0" quotePrefix="0" xfId="0">
      <alignment horizontal="right"/>
    </xf>
    <xf numFmtId="3" fontId="3" fillId="3" borderId="1" pivotButton="0" quotePrefix="0" xfId="0"/>
    <xf numFmtId="165" fontId="3" fillId="3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05" customWidth="1" min="1" max="1"/>
    <col width="14" customWidth="1" min="2" max="2"/>
    <col width="32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20" customWidth="1" min="13" max="13"/>
  </cols>
  <sheetData>
    <row r="1" ht="34" customHeight="1">
      <c r="A1" s="1" t="inlineStr">
        <is>
          <t>CONTROL DE INVENTARIO</t>
        </is>
      </c>
    </row>
    <row r="2">
      <c r="A2" s="2" t="inlineStr">
        <is>
          <t>Existencias, valuación y alertas de reabasto</t>
        </is>
      </c>
    </row>
    <row r="4">
      <c r="A4" s="3" t="inlineStr">
        <is>
          <t>Almacén</t>
        </is>
      </c>
      <c r="B4" s="4" t="n"/>
      <c r="C4" s="4" t="n"/>
      <c r="D4" s="4" t="n"/>
      <c r="F4" s="3" t="inlineStr">
        <is>
          <t>Fecha</t>
        </is>
      </c>
      <c r="G4" s="5">
        <f>TODAY()</f>
        <v/>
      </c>
      <c r="H4" s="4" t="n"/>
    </row>
    <row r="6" ht="32" customHeight="1">
      <c r="A6" s="6" t="inlineStr">
        <is>
          <t>No.</t>
        </is>
      </c>
      <c r="B6" s="6" t="inlineStr">
        <is>
          <t>Código / SKU</t>
        </is>
      </c>
      <c r="C6" s="6" t="inlineStr">
        <is>
          <t>Descripción</t>
        </is>
      </c>
      <c r="D6" s="6" t="inlineStr">
        <is>
          <t>Categoría</t>
        </is>
      </c>
      <c r="E6" s="6" t="inlineStr">
        <is>
          <t>Unidad</t>
        </is>
      </c>
      <c r="F6" s="6" t="inlineStr">
        <is>
          <t>Inv. inicial</t>
        </is>
      </c>
      <c r="G6" s="6" t="inlineStr">
        <is>
          <t>Entradas</t>
        </is>
      </c>
      <c r="H6" s="6" t="inlineStr">
        <is>
          <t>Salidas</t>
        </is>
      </c>
      <c r="I6" s="6" t="inlineStr">
        <is>
          <t>Existencia</t>
        </is>
      </c>
      <c r="J6" s="6" t="inlineStr">
        <is>
          <t>Costo unitario</t>
        </is>
      </c>
      <c r="K6" s="6" t="inlineStr">
        <is>
          <t>Valor inventario</t>
        </is>
      </c>
      <c r="L6" s="6" t="inlineStr">
        <is>
          <t>Stock mínimo</t>
        </is>
      </c>
      <c r="M6" s="6" t="inlineStr">
        <is>
          <t>Estatus</t>
        </is>
      </c>
    </row>
    <row r="7">
      <c r="A7" s="7" t="n">
        <v>1</v>
      </c>
      <c r="B7" s="4" t="n"/>
      <c r="C7" s="4" t="n"/>
      <c r="D7" s="4" t="n"/>
      <c r="E7" s="4" t="n"/>
      <c r="F7" s="8" t="n"/>
      <c r="G7" s="8" t="n"/>
      <c r="H7" s="8" t="n"/>
      <c r="I7" s="9">
        <f>IF(B7="","",F7+G7-H7)</f>
        <v/>
      </c>
      <c r="J7" s="10" t="n"/>
      <c r="K7" s="11">
        <f>IF(B7="","",I7*J7)</f>
        <v/>
      </c>
      <c r="L7" s="8" t="n"/>
      <c r="M7" s="7">
        <f>IF(B7="","",IF(I7&lt;=0,"SIN STOCK",IF(I7&lt;=L7,"REABASTECER","OK")))</f>
        <v/>
      </c>
    </row>
    <row r="8">
      <c r="A8" s="7" t="n">
        <v>2</v>
      </c>
      <c r="B8" s="4" t="n"/>
      <c r="C8" s="4" t="n"/>
      <c r="D8" s="4" t="n"/>
      <c r="E8" s="4" t="n"/>
      <c r="F8" s="8" t="n"/>
      <c r="G8" s="8" t="n"/>
      <c r="H8" s="8" t="n"/>
      <c r="I8" s="9">
        <f>IF(B8="","",F8+G8-H8)</f>
        <v/>
      </c>
      <c r="J8" s="10" t="n"/>
      <c r="K8" s="11">
        <f>IF(B8="","",I8*J8)</f>
        <v/>
      </c>
      <c r="L8" s="8" t="n"/>
      <c r="M8" s="7">
        <f>IF(B8="","",IF(I8&lt;=0,"SIN STOCK",IF(I8&lt;=L8,"REABASTECER","OK")))</f>
        <v/>
      </c>
    </row>
    <row r="9">
      <c r="A9" s="7" t="n">
        <v>3</v>
      </c>
      <c r="B9" s="4" t="n"/>
      <c r="C9" s="4" t="n"/>
      <c r="D9" s="4" t="n"/>
      <c r="E9" s="4" t="n"/>
      <c r="F9" s="8" t="n"/>
      <c r="G9" s="8" t="n"/>
      <c r="H9" s="8" t="n"/>
      <c r="I9" s="9">
        <f>IF(B9="","",F9+G9-H9)</f>
        <v/>
      </c>
      <c r="J9" s="10" t="n"/>
      <c r="K9" s="11">
        <f>IF(B9="","",I9*J9)</f>
        <v/>
      </c>
      <c r="L9" s="8" t="n"/>
      <c r="M9" s="7">
        <f>IF(B9="","",IF(I9&lt;=0,"SIN STOCK",IF(I9&lt;=L9,"REABASTECER","OK")))</f>
        <v/>
      </c>
    </row>
    <row r="10">
      <c r="A10" s="7" t="n">
        <v>4</v>
      </c>
      <c r="B10" s="4" t="n"/>
      <c r="C10" s="4" t="n"/>
      <c r="D10" s="4" t="n"/>
      <c r="E10" s="4" t="n"/>
      <c r="F10" s="8" t="n"/>
      <c r="G10" s="8" t="n"/>
      <c r="H10" s="8" t="n"/>
      <c r="I10" s="9">
        <f>IF(B10="","",F10+G10-H10)</f>
        <v/>
      </c>
      <c r="J10" s="10" t="n"/>
      <c r="K10" s="11">
        <f>IF(B10="","",I10*J10)</f>
        <v/>
      </c>
      <c r="L10" s="8" t="n"/>
      <c r="M10" s="7">
        <f>IF(B10="","",IF(I10&lt;=0,"SIN STOCK",IF(I10&lt;=L10,"REABASTECER","OK")))</f>
        <v/>
      </c>
    </row>
    <row r="11">
      <c r="A11" s="7" t="n">
        <v>5</v>
      </c>
      <c r="B11" s="4" t="n"/>
      <c r="C11" s="4" t="n"/>
      <c r="D11" s="4" t="n"/>
      <c r="E11" s="4" t="n"/>
      <c r="F11" s="8" t="n"/>
      <c r="G11" s="8" t="n"/>
      <c r="H11" s="8" t="n"/>
      <c r="I11" s="9">
        <f>IF(B11="","",F11+G11-H11)</f>
        <v/>
      </c>
      <c r="J11" s="10" t="n"/>
      <c r="K11" s="11">
        <f>IF(B11="","",I11*J11)</f>
        <v/>
      </c>
      <c r="L11" s="8" t="n"/>
      <c r="M11" s="7">
        <f>IF(B11="","",IF(I11&lt;=0,"SIN STOCK",IF(I11&lt;=L11,"REABASTECER","OK")))</f>
        <v/>
      </c>
    </row>
    <row r="12">
      <c r="A12" s="7" t="n">
        <v>6</v>
      </c>
      <c r="B12" s="4" t="n"/>
      <c r="C12" s="4" t="n"/>
      <c r="D12" s="4" t="n"/>
      <c r="E12" s="4" t="n"/>
      <c r="F12" s="8" t="n"/>
      <c r="G12" s="8" t="n"/>
      <c r="H12" s="8" t="n"/>
      <c r="I12" s="9">
        <f>IF(B12="","",F12+G12-H12)</f>
        <v/>
      </c>
      <c r="J12" s="10" t="n"/>
      <c r="K12" s="11">
        <f>IF(B12="","",I12*J12)</f>
        <v/>
      </c>
      <c r="L12" s="8" t="n"/>
      <c r="M12" s="7">
        <f>IF(B12="","",IF(I12&lt;=0,"SIN STOCK",IF(I12&lt;=L12,"REABASTECER","OK")))</f>
        <v/>
      </c>
    </row>
    <row r="13">
      <c r="A13" s="7" t="n">
        <v>7</v>
      </c>
      <c r="B13" s="4" t="n"/>
      <c r="C13" s="4" t="n"/>
      <c r="D13" s="4" t="n"/>
      <c r="E13" s="4" t="n"/>
      <c r="F13" s="8" t="n"/>
      <c r="G13" s="8" t="n"/>
      <c r="H13" s="8" t="n"/>
      <c r="I13" s="9">
        <f>IF(B13="","",F13+G13-H13)</f>
        <v/>
      </c>
      <c r="J13" s="10" t="n"/>
      <c r="K13" s="11">
        <f>IF(B13="","",I13*J13)</f>
        <v/>
      </c>
      <c r="L13" s="8" t="n"/>
      <c r="M13" s="7">
        <f>IF(B13="","",IF(I13&lt;=0,"SIN STOCK",IF(I13&lt;=L13,"REABASTECER","OK")))</f>
        <v/>
      </c>
    </row>
    <row r="14">
      <c r="A14" s="7" t="n">
        <v>8</v>
      </c>
      <c r="B14" s="4" t="n"/>
      <c r="C14" s="4" t="n"/>
      <c r="D14" s="4" t="n"/>
      <c r="E14" s="4" t="n"/>
      <c r="F14" s="8" t="n"/>
      <c r="G14" s="8" t="n"/>
      <c r="H14" s="8" t="n"/>
      <c r="I14" s="9">
        <f>IF(B14="","",F14+G14-H14)</f>
        <v/>
      </c>
      <c r="J14" s="10" t="n"/>
      <c r="K14" s="11">
        <f>IF(B14="","",I14*J14)</f>
        <v/>
      </c>
      <c r="L14" s="8" t="n"/>
      <c r="M14" s="7">
        <f>IF(B14="","",IF(I14&lt;=0,"SIN STOCK",IF(I14&lt;=L14,"REABASTECER","OK")))</f>
        <v/>
      </c>
    </row>
    <row r="15">
      <c r="A15" s="7" t="n">
        <v>9</v>
      </c>
      <c r="B15" s="4" t="n"/>
      <c r="C15" s="4" t="n"/>
      <c r="D15" s="4" t="n"/>
      <c r="E15" s="4" t="n"/>
      <c r="F15" s="8" t="n"/>
      <c r="G15" s="8" t="n"/>
      <c r="H15" s="8" t="n"/>
      <c r="I15" s="9">
        <f>IF(B15="","",F15+G15-H15)</f>
        <v/>
      </c>
      <c r="J15" s="10" t="n"/>
      <c r="K15" s="11">
        <f>IF(B15="","",I15*J15)</f>
        <v/>
      </c>
      <c r="L15" s="8" t="n"/>
      <c r="M15" s="7">
        <f>IF(B15="","",IF(I15&lt;=0,"SIN STOCK",IF(I15&lt;=L15,"REABASTECER","OK")))</f>
        <v/>
      </c>
    </row>
    <row r="16">
      <c r="A16" s="7" t="n">
        <v>10</v>
      </c>
      <c r="B16" s="4" t="n"/>
      <c r="C16" s="4" t="n"/>
      <c r="D16" s="4" t="n"/>
      <c r="E16" s="4" t="n"/>
      <c r="F16" s="8" t="n"/>
      <c r="G16" s="8" t="n"/>
      <c r="H16" s="8" t="n"/>
      <c r="I16" s="9">
        <f>IF(B16="","",F16+G16-H16)</f>
        <v/>
      </c>
      <c r="J16" s="10" t="n"/>
      <c r="K16" s="11">
        <f>IF(B16="","",I16*J16)</f>
        <v/>
      </c>
      <c r="L16" s="8" t="n"/>
      <c r="M16" s="7">
        <f>IF(B16="","",IF(I16&lt;=0,"SIN STOCK",IF(I16&lt;=L16,"REABASTECER","OK")))</f>
        <v/>
      </c>
    </row>
    <row r="17">
      <c r="A17" s="7" t="n">
        <v>11</v>
      </c>
      <c r="B17" s="4" t="n"/>
      <c r="C17" s="4" t="n"/>
      <c r="D17" s="4" t="n"/>
      <c r="E17" s="4" t="n"/>
      <c r="F17" s="8" t="n"/>
      <c r="G17" s="8" t="n"/>
      <c r="H17" s="8" t="n"/>
      <c r="I17" s="9">
        <f>IF(B17="","",F17+G17-H17)</f>
        <v/>
      </c>
      <c r="J17" s="10" t="n"/>
      <c r="K17" s="11">
        <f>IF(B17="","",I17*J17)</f>
        <v/>
      </c>
      <c r="L17" s="8" t="n"/>
      <c r="M17" s="7">
        <f>IF(B17="","",IF(I17&lt;=0,"SIN STOCK",IF(I17&lt;=L17,"REABASTECER","OK")))</f>
        <v/>
      </c>
    </row>
    <row r="18">
      <c r="A18" s="7" t="n">
        <v>12</v>
      </c>
      <c r="B18" s="4" t="n"/>
      <c r="C18" s="4" t="n"/>
      <c r="D18" s="4" t="n"/>
      <c r="E18" s="4" t="n"/>
      <c r="F18" s="8" t="n"/>
      <c r="G18" s="8" t="n"/>
      <c r="H18" s="8" t="n"/>
      <c r="I18" s="9">
        <f>IF(B18="","",F18+G18-H18)</f>
        <v/>
      </c>
      <c r="J18" s="10" t="n"/>
      <c r="K18" s="11">
        <f>IF(B18="","",I18*J18)</f>
        <v/>
      </c>
      <c r="L18" s="8" t="n"/>
      <c r="M18" s="7">
        <f>IF(B18="","",IF(I18&lt;=0,"SIN STOCK",IF(I18&lt;=L18,"REABASTECER","OK")))</f>
        <v/>
      </c>
    </row>
    <row r="19">
      <c r="A19" s="7" t="n">
        <v>13</v>
      </c>
      <c r="B19" s="4" t="n"/>
      <c r="C19" s="4" t="n"/>
      <c r="D19" s="4" t="n"/>
      <c r="E19" s="4" t="n"/>
      <c r="F19" s="8" t="n"/>
      <c r="G19" s="8" t="n"/>
      <c r="H19" s="8" t="n"/>
      <c r="I19" s="9">
        <f>IF(B19="","",F19+G19-H19)</f>
        <v/>
      </c>
      <c r="J19" s="10" t="n"/>
      <c r="K19" s="11">
        <f>IF(B19="","",I19*J19)</f>
        <v/>
      </c>
      <c r="L19" s="8" t="n"/>
      <c r="M19" s="7">
        <f>IF(B19="","",IF(I19&lt;=0,"SIN STOCK",IF(I19&lt;=L19,"REABASTECER","OK")))</f>
        <v/>
      </c>
    </row>
    <row r="20">
      <c r="A20" s="7" t="n">
        <v>14</v>
      </c>
      <c r="B20" s="4" t="n"/>
      <c r="C20" s="4" t="n"/>
      <c r="D20" s="4" t="n"/>
      <c r="E20" s="4" t="n"/>
      <c r="F20" s="8" t="n"/>
      <c r="G20" s="8" t="n"/>
      <c r="H20" s="8" t="n"/>
      <c r="I20" s="9">
        <f>IF(B20="","",F20+G20-H20)</f>
        <v/>
      </c>
      <c r="J20" s="10" t="n"/>
      <c r="K20" s="11">
        <f>IF(B20="","",I20*J20)</f>
        <v/>
      </c>
      <c r="L20" s="8" t="n"/>
      <c r="M20" s="7">
        <f>IF(B20="","",IF(I20&lt;=0,"SIN STOCK",IF(I20&lt;=L20,"REABASTECER","OK")))</f>
        <v/>
      </c>
    </row>
    <row r="21">
      <c r="A21" s="7" t="n">
        <v>15</v>
      </c>
      <c r="B21" s="4" t="n"/>
      <c r="C21" s="4" t="n"/>
      <c r="D21" s="4" t="n"/>
      <c r="E21" s="4" t="n"/>
      <c r="F21" s="8" t="n"/>
      <c r="G21" s="8" t="n"/>
      <c r="H21" s="8" t="n"/>
      <c r="I21" s="9">
        <f>IF(B21="","",F21+G21-H21)</f>
        <v/>
      </c>
      <c r="J21" s="10" t="n"/>
      <c r="K21" s="11">
        <f>IF(B21="","",I21*J21)</f>
        <v/>
      </c>
      <c r="L21" s="8" t="n"/>
      <c r="M21" s="7">
        <f>IF(B21="","",IF(I21&lt;=0,"SIN STOCK",IF(I21&lt;=L21,"REABASTECER","OK")))</f>
        <v/>
      </c>
    </row>
    <row r="22">
      <c r="A22" s="7" t="n">
        <v>16</v>
      </c>
      <c r="B22" s="4" t="n"/>
      <c r="C22" s="4" t="n"/>
      <c r="D22" s="4" t="n"/>
      <c r="E22" s="4" t="n"/>
      <c r="F22" s="8" t="n"/>
      <c r="G22" s="8" t="n"/>
      <c r="H22" s="8" t="n"/>
      <c r="I22" s="9">
        <f>IF(B22="","",F22+G22-H22)</f>
        <v/>
      </c>
      <c r="J22" s="10" t="n"/>
      <c r="K22" s="11">
        <f>IF(B22="","",I22*J22)</f>
        <v/>
      </c>
      <c r="L22" s="8" t="n"/>
      <c r="M22" s="7">
        <f>IF(B22="","",IF(I22&lt;=0,"SIN STOCK",IF(I22&lt;=L22,"REABASTECER","OK")))</f>
        <v/>
      </c>
    </row>
    <row r="23">
      <c r="A23" s="7" t="n">
        <v>17</v>
      </c>
      <c r="B23" s="4" t="n"/>
      <c r="C23" s="4" t="n"/>
      <c r="D23" s="4" t="n"/>
      <c r="E23" s="4" t="n"/>
      <c r="F23" s="8" t="n"/>
      <c r="G23" s="8" t="n"/>
      <c r="H23" s="8" t="n"/>
      <c r="I23" s="9">
        <f>IF(B23="","",F23+G23-H23)</f>
        <v/>
      </c>
      <c r="J23" s="10" t="n"/>
      <c r="K23" s="11">
        <f>IF(B23="","",I23*J23)</f>
        <v/>
      </c>
      <c r="L23" s="8" t="n"/>
      <c r="M23" s="7">
        <f>IF(B23="","",IF(I23&lt;=0,"SIN STOCK",IF(I23&lt;=L23,"REABASTECER","OK")))</f>
        <v/>
      </c>
    </row>
    <row r="24">
      <c r="A24" s="7" t="n">
        <v>18</v>
      </c>
      <c r="B24" s="4" t="n"/>
      <c r="C24" s="4" t="n"/>
      <c r="D24" s="4" t="n"/>
      <c r="E24" s="4" t="n"/>
      <c r="F24" s="8" t="n"/>
      <c r="G24" s="8" t="n"/>
      <c r="H24" s="8" t="n"/>
      <c r="I24" s="9">
        <f>IF(B24="","",F24+G24-H24)</f>
        <v/>
      </c>
      <c r="J24" s="10" t="n"/>
      <c r="K24" s="11">
        <f>IF(B24="","",I24*J24)</f>
        <v/>
      </c>
      <c r="L24" s="8" t="n"/>
      <c r="M24" s="7">
        <f>IF(B24="","",IF(I24&lt;=0,"SIN STOCK",IF(I24&lt;=L24,"REABASTECER","OK")))</f>
        <v/>
      </c>
    </row>
    <row r="25">
      <c r="A25" s="7" t="n">
        <v>19</v>
      </c>
      <c r="B25" s="4" t="n"/>
      <c r="C25" s="4" t="n"/>
      <c r="D25" s="4" t="n"/>
      <c r="E25" s="4" t="n"/>
      <c r="F25" s="8" t="n"/>
      <c r="G25" s="8" t="n"/>
      <c r="H25" s="8" t="n"/>
      <c r="I25" s="9">
        <f>IF(B25="","",F25+G25-H25)</f>
        <v/>
      </c>
      <c r="J25" s="10" t="n"/>
      <c r="K25" s="11">
        <f>IF(B25="","",I25*J25)</f>
        <v/>
      </c>
      <c r="L25" s="8" t="n"/>
      <c r="M25" s="7">
        <f>IF(B25="","",IF(I25&lt;=0,"SIN STOCK",IF(I25&lt;=L25,"REABASTECER","OK")))</f>
        <v/>
      </c>
    </row>
    <row r="26">
      <c r="A26" s="7" t="n">
        <v>20</v>
      </c>
      <c r="B26" s="4" t="n"/>
      <c r="C26" s="4" t="n"/>
      <c r="D26" s="4" t="n"/>
      <c r="E26" s="4" t="n"/>
      <c r="F26" s="8" t="n"/>
      <c r="G26" s="8" t="n"/>
      <c r="H26" s="8" t="n"/>
      <c r="I26" s="9">
        <f>IF(B26="","",F26+G26-H26)</f>
        <v/>
      </c>
      <c r="J26" s="10" t="n"/>
      <c r="K26" s="11">
        <f>IF(B26="","",I26*J26)</f>
        <v/>
      </c>
      <c r="L26" s="8" t="n"/>
      <c r="M26" s="7">
        <f>IF(B26="","",IF(I26&lt;=0,"SIN STOCK",IF(I26&lt;=L26,"REABASTECER","OK")))</f>
        <v/>
      </c>
    </row>
    <row r="27">
      <c r="A27" s="7" t="n">
        <v>21</v>
      </c>
      <c r="B27" s="4" t="n"/>
      <c r="C27" s="4" t="n"/>
      <c r="D27" s="4" t="n"/>
      <c r="E27" s="4" t="n"/>
      <c r="F27" s="8" t="n"/>
      <c r="G27" s="8" t="n"/>
      <c r="H27" s="8" t="n"/>
      <c r="I27" s="9">
        <f>IF(B27="","",F27+G27-H27)</f>
        <v/>
      </c>
      <c r="J27" s="10" t="n"/>
      <c r="K27" s="11">
        <f>IF(B27="","",I27*J27)</f>
        <v/>
      </c>
      <c r="L27" s="8" t="n"/>
      <c r="M27" s="7">
        <f>IF(B27="","",IF(I27&lt;=0,"SIN STOCK",IF(I27&lt;=L27,"REABASTECER","OK")))</f>
        <v/>
      </c>
    </row>
    <row r="28">
      <c r="A28" s="7" t="n">
        <v>22</v>
      </c>
      <c r="B28" s="4" t="n"/>
      <c r="C28" s="4" t="n"/>
      <c r="D28" s="4" t="n"/>
      <c r="E28" s="4" t="n"/>
      <c r="F28" s="8" t="n"/>
      <c r="G28" s="8" t="n"/>
      <c r="H28" s="8" t="n"/>
      <c r="I28" s="9">
        <f>IF(B28="","",F28+G28-H28)</f>
        <v/>
      </c>
      <c r="J28" s="10" t="n"/>
      <c r="K28" s="11">
        <f>IF(B28="","",I28*J28)</f>
        <v/>
      </c>
      <c r="L28" s="8" t="n"/>
      <c r="M28" s="7">
        <f>IF(B28="","",IF(I28&lt;=0,"SIN STOCK",IF(I28&lt;=L28,"REABASTECER","OK")))</f>
        <v/>
      </c>
    </row>
    <row r="29">
      <c r="A29" s="7" t="n">
        <v>23</v>
      </c>
      <c r="B29" s="4" t="n"/>
      <c r="C29" s="4" t="n"/>
      <c r="D29" s="4" t="n"/>
      <c r="E29" s="4" t="n"/>
      <c r="F29" s="8" t="n"/>
      <c r="G29" s="8" t="n"/>
      <c r="H29" s="8" t="n"/>
      <c r="I29" s="9">
        <f>IF(B29="","",F29+G29-H29)</f>
        <v/>
      </c>
      <c r="J29" s="10" t="n"/>
      <c r="K29" s="11">
        <f>IF(B29="","",I29*J29)</f>
        <v/>
      </c>
      <c r="L29" s="8" t="n"/>
      <c r="M29" s="7">
        <f>IF(B29="","",IF(I29&lt;=0,"SIN STOCK",IF(I29&lt;=L29,"REABASTECER","OK")))</f>
        <v/>
      </c>
    </row>
    <row r="30">
      <c r="A30" s="7" t="n">
        <v>24</v>
      </c>
      <c r="B30" s="4" t="n"/>
      <c r="C30" s="4" t="n"/>
      <c r="D30" s="4" t="n"/>
      <c r="E30" s="4" t="n"/>
      <c r="F30" s="8" t="n"/>
      <c r="G30" s="8" t="n"/>
      <c r="H30" s="8" t="n"/>
      <c r="I30" s="9">
        <f>IF(B30="","",F30+G30-H30)</f>
        <v/>
      </c>
      <c r="J30" s="10" t="n"/>
      <c r="K30" s="11">
        <f>IF(B30="","",I30*J30)</f>
        <v/>
      </c>
      <c r="L30" s="8" t="n"/>
      <c r="M30" s="7">
        <f>IF(B30="","",IF(I30&lt;=0,"SIN STOCK",IF(I30&lt;=L30,"REABASTECER","OK")))</f>
        <v/>
      </c>
    </row>
    <row r="31">
      <c r="A31" s="7" t="n">
        <v>25</v>
      </c>
      <c r="B31" s="4" t="n"/>
      <c r="C31" s="4" t="n"/>
      <c r="D31" s="4" t="n"/>
      <c r="E31" s="4" t="n"/>
      <c r="F31" s="8" t="n"/>
      <c r="G31" s="8" t="n"/>
      <c r="H31" s="8" t="n"/>
      <c r="I31" s="9">
        <f>IF(B31="","",F31+G31-H31)</f>
        <v/>
      </c>
      <c r="J31" s="10" t="n"/>
      <c r="K31" s="11">
        <f>IF(B31="","",I31*J31)</f>
        <v/>
      </c>
      <c r="L31" s="8" t="n"/>
      <c r="M31" s="7">
        <f>IF(B31="","",IF(I31&lt;=0,"SIN STOCK",IF(I31&lt;=L31,"REABASTECER","OK")))</f>
        <v/>
      </c>
    </row>
    <row r="32">
      <c r="A32" s="7" t="n">
        <v>26</v>
      </c>
      <c r="B32" s="4" t="n"/>
      <c r="C32" s="4" t="n"/>
      <c r="D32" s="4" t="n"/>
      <c r="E32" s="4" t="n"/>
      <c r="F32" s="8" t="n"/>
      <c r="G32" s="8" t="n"/>
      <c r="H32" s="8" t="n"/>
      <c r="I32" s="9">
        <f>IF(B32="","",F32+G32-H32)</f>
        <v/>
      </c>
      <c r="J32" s="10" t="n"/>
      <c r="K32" s="11">
        <f>IF(B32="","",I32*J32)</f>
        <v/>
      </c>
      <c r="L32" s="8" t="n"/>
      <c r="M32" s="7">
        <f>IF(B32="","",IF(I32&lt;=0,"SIN STOCK",IF(I32&lt;=L32,"REABASTECER","OK")))</f>
        <v/>
      </c>
    </row>
    <row r="33">
      <c r="A33" s="7" t="n">
        <v>27</v>
      </c>
      <c r="B33" s="4" t="n"/>
      <c r="C33" s="4" t="n"/>
      <c r="D33" s="4" t="n"/>
      <c r="E33" s="4" t="n"/>
      <c r="F33" s="8" t="n"/>
      <c r="G33" s="8" t="n"/>
      <c r="H33" s="8" t="n"/>
      <c r="I33" s="9">
        <f>IF(B33="","",F33+G33-H33)</f>
        <v/>
      </c>
      <c r="J33" s="10" t="n"/>
      <c r="K33" s="11">
        <f>IF(B33="","",I33*J33)</f>
        <v/>
      </c>
      <c r="L33" s="8" t="n"/>
      <c r="M33" s="7">
        <f>IF(B33="","",IF(I33&lt;=0,"SIN STOCK",IF(I33&lt;=L33,"REABASTECER","OK")))</f>
        <v/>
      </c>
    </row>
    <row r="34">
      <c r="A34" s="7" t="n">
        <v>28</v>
      </c>
      <c r="B34" s="4" t="n"/>
      <c r="C34" s="4" t="n"/>
      <c r="D34" s="4" t="n"/>
      <c r="E34" s="4" t="n"/>
      <c r="F34" s="8" t="n"/>
      <c r="G34" s="8" t="n"/>
      <c r="H34" s="8" t="n"/>
      <c r="I34" s="9">
        <f>IF(B34="","",F34+G34-H34)</f>
        <v/>
      </c>
      <c r="J34" s="10" t="n"/>
      <c r="K34" s="11">
        <f>IF(B34="","",I34*J34)</f>
        <v/>
      </c>
      <c r="L34" s="8" t="n"/>
      <c r="M34" s="7">
        <f>IF(B34="","",IF(I34&lt;=0,"SIN STOCK",IF(I34&lt;=L34,"REABASTECER","OK")))</f>
        <v/>
      </c>
    </row>
    <row r="35">
      <c r="A35" s="7" t="n">
        <v>29</v>
      </c>
      <c r="B35" s="4" t="n"/>
      <c r="C35" s="4" t="n"/>
      <c r="D35" s="4" t="n"/>
      <c r="E35" s="4" t="n"/>
      <c r="F35" s="8" t="n"/>
      <c r="G35" s="8" t="n"/>
      <c r="H35" s="8" t="n"/>
      <c r="I35" s="9">
        <f>IF(B35="","",F35+G35-H35)</f>
        <v/>
      </c>
      <c r="J35" s="10" t="n"/>
      <c r="K35" s="11">
        <f>IF(B35="","",I35*J35)</f>
        <v/>
      </c>
      <c r="L35" s="8" t="n"/>
      <c r="M35" s="7">
        <f>IF(B35="","",IF(I35&lt;=0,"SIN STOCK",IF(I35&lt;=L35,"REABASTECER","OK")))</f>
        <v/>
      </c>
    </row>
    <row r="36">
      <c r="A36" s="7" t="n">
        <v>30</v>
      </c>
      <c r="B36" s="4" t="n"/>
      <c r="C36" s="4" t="n"/>
      <c r="D36" s="4" t="n"/>
      <c r="E36" s="4" t="n"/>
      <c r="F36" s="8" t="n"/>
      <c r="G36" s="8" t="n"/>
      <c r="H36" s="8" t="n"/>
      <c r="I36" s="9">
        <f>IF(B36="","",F36+G36-H36)</f>
        <v/>
      </c>
      <c r="J36" s="10" t="n"/>
      <c r="K36" s="11">
        <f>IF(B36="","",I36*J36)</f>
        <v/>
      </c>
      <c r="L36" s="8" t="n"/>
      <c r="M36" s="7">
        <f>IF(B36="","",IF(I36&lt;=0,"SIN STOCK",IF(I36&lt;=L36,"REABASTECER","OK")))</f>
        <v/>
      </c>
    </row>
    <row r="37">
      <c r="A37" s="7" t="n">
        <v>31</v>
      </c>
      <c r="B37" s="4" t="n"/>
      <c r="C37" s="4" t="n"/>
      <c r="D37" s="4" t="n"/>
      <c r="E37" s="4" t="n"/>
      <c r="F37" s="8" t="n"/>
      <c r="G37" s="8" t="n"/>
      <c r="H37" s="8" t="n"/>
      <c r="I37" s="9">
        <f>IF(B37="","",F37+G37-H37)</f>
        <v/>
      </c>
      <c r="J37" s="10" t="n"/>
      <c r="K37" s="11">
        <f>IF(B37="","",I37*J37)</f>
        <v/>
      </c>
      <c r="L37" s="8" t="n"/>
      <c r="M37" s="7">
        <f>IF(B37="","",IF(I37&lt;=0,"SIN STOCK",IF(I37&lt;=L37,"REABASTECER","OK")))</f>
        <v/>
      </c>
    </row>
    <row r="38">
      <c r="A38" s="7" t="n">
        <v>32</v>
      </c>
      <c r="B38" s="4" t="n"/>
      <c r="C38" s="4" t="n"/>
      <c r="D38" s="4" t="n"/>
      <c r="E38" s="4" t="n"/>
      <c r="F38" s="8" t="n"/>
      <c r="G38" s="8" t="n"/>
      <c r="H38" s="8" t="n"/>
      <c r="I38" s="9">
        <f>IF(B38="","",F38+G38-H38)</f>
        <v/>
      </c>
      <c r="J38" s="10" t="n"/>
      <c r="K38" s="11">
        <f>IF(B38="","",I38*J38)</f>
        <v/>
      </c>
      <c r="L38" s="8" t="n"/>
      <c r="M38" s="7">
        <f>IF(B38="","",IF(I38&lt;=0,"SIN STOCK",IF(I38&lt;=L38,"REABASTECER","OK")))</f>
        <v/>
      </c>
    </row>
    <row r="39">
      <c r="A39" s="7" t="n">
        <v>33</v>
      </c>
      <c r="B39" s="4" t="n"/>
      <c r="C39" s="4" t="n"/>
      <c r="D39" s="4" t="n"/>
      <c r="E39" s="4" t="n"/>
      <c r="F39" s="8" t="n"/>
      <c r="G39" s="8" t="n"/>
      <c r="H39" s="8" t="n"/>
      <c r="I39" s="9">
        <f>IF(B39="","",F39+G39-H39)</f>
        <v/>
      </c>
      <c r="J39" s="10" t="n"/>
      <c r="K39" s="11">
        <f>IF(B39="","",I39*J39)</f>
        <v/>
      </c>
      <c r="L39" s="8" t="n"/>
      <c r="M39" s="7">
        <f>IF(B39="","",IF(I39&lt;=0,"SIN STOCK",IF(I39&lt;=L39,"REABASTECER","OK")))</f>
        <v/>
      </c>
    </row>
    <row r="40">
      <c r="A40" s="7" t="n">
        <v>34</v>
      </c>
      <c r="B40" s="4" t="n"/>
      <c r="C40" s="4" t="n"/>
      <c r="D40" s="4" t="n"/>
      <c r="E40" s="4" t="n"/>
      <c r="F40" s="8" t="n"/>
      <c r="G40" s="8" t="n"/>
      <c r="H40" s="8" t="n"/>
      <c r="I40" s="9">
        <f>IF(B40="","",F40+G40-H40)</f>
        <v/>
      </c>
      <c r="J40" s="10" t="n"/>
      <c r="K40" s="11">
        <f>IF(B40="","",I40*J40)</f>
        <v/>
      </c>
      <c r="L40" s="8" t="n"/>
      <c r="M40" s="7">
        <f>IF(B40="","",IF(I40&lt;=0,"SIN STOCK",IF(I40&lt;=L40,"REABASTECER","OK")))</f>
        <v/>
      </c>
    </row>
    <row r="41">
      <c r="A41" s="7" t="n">
        <v>35</v>
      </c>
      <c r="B41" s="4" t="n"/>
      <c r="C41" s="4" t="n"/>
      <c r="D41" s="4" t="n"/>
      <c r="E41" s="4" t="n"/>
      <c r="F41" s="8" t="n"/>
      <c r="G41" s="8" t="n"/>
      <c r="H41" s="8" t="n"/>
      <c r="I41" s="9">
        <f>IF(B41="","",F41+G41-H41)</f>
        <v/>
      </c>
      <c r="J41" s="10" t="n"/>
      <c r="K41" s="11">
        <f>IF(B41="","",I41*J41)</f>
        <v/>
      </c>
      <c r="L41" s="8" t="n"/>
      <c r="M41" s="7">
        <f>IF(B41="","",IF(I41&lt;=0,"SIN STOCK",IF(I41&lt;=L41,"REABASTECER","OK")))</f>
        <v/>
      </c>
    </row>
    <row r="42">
      <c r="A42" s="7" t="n">
        <v>36</v>
      </c>
      <c r="B42" s="4" t="n"/>
      <c r="C42" s="4" t="n"/>
      <c r="D42" s="4" t="n"/>
      <c r="E42" s="4" t="n"/>
      <c r="F42" s="8" t="n"/>
      <c r="G42" s="8" t="n"/>
      <c r="H42" s="8" t="n"/>
      <c r="I42" s="9">
        <f>IF(B42="","",F42+G42-H42)</f>
        <v/>
      </c>
      <c r="J42" s="10" t="n"/>
      <c r="K42" s="11">
        <f>IF(B42="","",I42*J42)</f>
        <v/>
      </c>
      <c r="L42" s="8" t="n"/>
      <c r="M42" s="7">
        <f>IF(B42="","",IF(I42&lt;=0,"SIN STOCK",IF(I42&lt;=L42,"REABASTECER","OK")))</f>
        <v/>
      </c>
    </row>
    <row r="43">
      <c r="A43" s="7" t="n">
        <v>37</v>
      </c>
      <c r="B43" s="4" t="n"/>
      <c r="C43" s="4" t="n"/>
      <c r="D43" s="4" t="n"/>
      <c r="E43" s="4" t="n"/>
      <c r="F43" s="8" t="n"/>
      <c r="G43" s="8" t="n"/>
      <c r="H43" s="8" t="n"/>
      <c r="I43" s="9">
        <f>IF(B43="","",F43+G43-H43)</f>
        <v/>
      </c>
      <c r="J43" s="10" t="n"/>
      <c r="K43" s="11">
        <f>IF(B43="","",I43*J43)</f>
        <v/>
      </c>
      <c r="L43" s="8" t="n"/>
      <c r="M43" s="7">
        <f>IF(B43="","",IF(I43&lt;=0,"SIN STOCK",IF(I43&lt;=L43,"REABASTECER","OK")))</f>
        <v/>
      </c>
    </row>
    <row r="44">
      <c r="A44" s="7" t="n">
        <v>38</v>
      </c>
      <c r="B44" s="4" t="n"/>
      <c r="C44" s="4" t="n"/>
      <c r="D44" s="4" t="n"/>
      <c r="E44" s="4" t="n"/>
      <c r="F44" s="8" t="n"/>
      <c r="G44" s="8" t="n"/>
      <c r="H44" s="8" t="n"/>
      <c r="I44" s="9">
        <f>IF(B44="","",F44+G44-H44)</f>
        <v/>
      </c>
      <c r="J44" s="10" t="n"/>
      <c r="K44" s="11">
        <f>IF(B44="","",I44*J44)</f>
        <v/>
      </c>
      <c r="L44" s="8" t="n"/>
      <c r="M44" s="7">
        <f>IF(B44="","",IF(I44&lt;=0,"SIN STOCK",IF(I44&lt;=L44,"REABASTECER","OK")))</f>
        <v/>
      </c>
    </row>
    <row r="45">
      <c r="A45" s="7" t="n">
        <v>39</v>
      </c>
      <c r="B45" s="4" t="n"/>
      <c r="C45" s="4" t="n"/>
      <c r="D45" s="4" t="n"/>
      <c r="E45" s="4" t="n"/>
      <c r="F45" s="8" t="n"/>
      <c r="G45" s="8" t="n"/>
      <c r="H45" s="8" t="n"/>
      <c r="I45" s="9">
        <f>IF(B45="","",F45+G45-H45)</f>
        <v/>
      </c>
      <c r="J45" s="10" t="n"/>
      <c r="K45" s="11">
        <f>IF(B45="","",I45*J45)</f>
        <v/>
      </c>
      <c r="L45" s="8" t="n"/>
      <c r="M45" s="7">
        <f>IF(B45="","",IF(I45&lt;=0,"SIN STOCK",IF(I45&lt;=L45,"REABASTECER","OK")))</f>
        <v/>
      </c>
    </row>
    <row r="46">
      <c r="A46" s="7" t="n">
        <v>40</v>
      </c>
      <c r="B46" s="4" t="n"/>
      <c r="C46" s="4" t="n"/>
      <c r="D46" s="4" t="n"/>
      <c r="E46" s="4" t="n"/>
      <c r="F46" s="8" t="n"/>
      <c r="G46" s="8" t="n"/>
      <c r="H46" s="8" t="n"/>
      <c r="I46" s="9">
        <f>IF(B46="","",F46+G46-H46)</f>
        <v/>
      </c>
      <c r="J46" s="10" t="n"/>
      <c r="K46" s="11">
        <f>IF(B46="","",I46*J46)</f>
        <v/>
      </c>
      <c r="L46" s="8" t="n"/>
      <c r="M46" s="7">
        <f>IF(B46="","",IF(I46&lt;=0,"SIN STOCK",IF(I46&lt;=L46,"REABASTECER","OK")))</f>
        <v/>
      </c>
    </row>
    <row r="47">
      <c r="A47" s="7" t="n">
        <v>41</v>
      </c>
      <c r="B47" s="4" t="n"/>
      <c r="C47" s="4" t="n"/>
      <c r="D47" s="4" t="n"/>
      <c r="E47" s="4" t="n"/>
      <c r="F47" s="8" t="n"/>
      <c r="G47" s="8" t="n"/>
      <c r="H47" s="8" t="n"/>
      <c r="I47" s="9">
        <f>IF(B47="","",F47+G47-H47)</f>
        <v/>
      </c>
      <c r="J47" s="10" t="n"/>
      <c r="K47" s="11">
        <f>IF(B47="","",I47*J47)</f>
        <v/>
      </c>
      <c r="L47" s="8" t="n"/>
      <c r="M47" s="7">
        <f>IF(B47="","",IF(I47&lt;=0,"SIN STOCK",IF(I47&lt;=L47,"REABASTECER","OK")))</f>
        <v/>
      </c>
    </row>
    <row r="48">
      <c r="A48" s="7" t="n">
        <v>42</v>
      </c>
      <c r="B48" s="4" t="n"/>
      <c r="C48" s="4" t="n"/>
      <c r="D48" s="4" t="n"/>
      <c r="E48" s="4" t="n"/>
      <c r="F48" s="8" t="n"/>
      <c r="G48" s="8" t="n"/>
      <c r="H48" s="8" t="n"/>
      <c r="I48" s="9">
        <f>IF(B48="","",F48+G48-H48)</f>
        <v/>
      </c>
      <c r="J48" s="10" t="n"/>
      <c r="K48" s="11">
        <f>IF(B48="","",I48*J48)</f>
        <v/>
      </c>
      <c r="L48" s="8" t="n"/>
      <c r="M48" s="7">
        <f>IF(B48="","",IF(I48&lt;=0,"SIN STOCK",IF(I48&lt;=L48,"REABASTECER","OK")))</f>
        <v/>
      </c>
    </row>
    <row r="49">
      <c r="A49" s="7" t="n">
        <v>43</v>
      </c>
      <c r="B49" s="4" t="n"/>
      <c r="C49" s="4" t="n"/>
      <c r="D49" s="4" t="n"/>
      <c r="E49" s="4" t="n"/>
      <c r="F49" s="8" t="n"/>
      <c r="G49" s="8" t="n"/>
      <c r="H49" s="8" t="n"/>
      <c r="I49" s="9">
        <f>IF(B49="","",F49+G49-H49)</f>
        <v/>
      </c>
      <c r="J49" s="10" t="n"/>
      <c r="K49" s="11">
        <f>IF(B49="","",I49*J49)</f>
        <v/>
      </c>
      <c r="L49" s="8" t="n"/>
      <c r="M49" s="7">
        <f>IF(B49="","",IF(I49&lt;=0,"SIN STOCK",IF(I49&lt;=L49,"REABASTECER","OK")))</f>
        <v/>
      </c>
    </row>
    <row r="50">
      <c r="A50" s="7" t="n">
        <v>44</v>
      </c>
      <c r="B50" s="4" t="n"/>
      <c r="C50" s="4" t="n"/>
      <c r="D50" s="4" t="n"/>
      <c r="E50" s="4" t="n"/>
      <c r="F50" s="8" t="n"/>
      <c r="G50" s="8" t="n"/>
      <c r="H50" s="8" t="n"/>
      <c r="I50" s="9">
        <f>IF(B50="","",F50+G50-H50)</f>
        <v/>
      </c>
      <c r="J50" s="10" t="n"/>
      <c r="K50" s="11">
        <f>IF(B50="","",I50*J50)</f>
        <v/>
      </c>
      <c r="L50" s="8" t="n"/>
      <c r="M50" s="7">
        <f>IF(B50="","",IF(I50&lt;=0,"SIN STOCK",IF(I50&lt;=L50,"REABASTECER","OK")))</f>
        <v/>
      </c>
    </row>
    <row r="51">
      <c r="A51" s="7" t="n">
        <v>45</v>
      </c>
      <c r="B51" s="4" t="n"/>
      <c r="C51" s="4" t="n"/>
      <c r="D51" s="4" t="n"/>
      <c r="E51" s="4" t="n"/>
      <c r="F51" s="8" t="n"/>
      <c r="G51" s="8" t="n"/>
      <c r="H51" s="8" t="n"/>
      <c r="I51" s="9">
        <f>IF(B51="","",F51+G51-H51)</f>
        <v/>
      </c>
      <c r="J51" s="10" t="n"/>
      <c r="K51" s="11">
        <f>IF(B51="","",I51*J51)</f>
        <v/>
      </c>
      <c r="L51" s="8" t="n"/>
      <c r="M51" s="7">
        <f>IF(B51="","",IF(I51&lt;=0,"SIN STOCK",IF(I51&lt;=L51,"REABASTECER","OK")))</f>
        <v/>
      </c>
    </row>
    <row r="52">
      <c r="A52" s="7" t="n">
        <v>46</v>
      </c>
      <c r="B52" s="4" t="n"/>
      <c r="C52" s="4" t="n"/>
      <c r="D52" s="4" t="n"/>
      <c r="E52" s="4" t="n"/>
      <c r="F52" s="8" t="n"/>
      <c r="G52" s="8" t="n"/>
      <c r="H52" s="8" t="n"/>
      <c r="I52" s="9">
        <f>IF(B52="","",F52+G52-H52)</f>
        <v/>
      </c>
      <c r="J52" s="10" t="n"/>
      <c r="K52" s="11">
        <f>IF(B52="","",I52*J52)</f>
        <v/>
      </c>
      <c r="L52" s="8" t="n"/>
      <c r="M52" s="7">
        <f>IF(B52="","",IF(I52&lt;=0,"SIN STOCK",IF(I52&lt;=L52,"REABASTECER","OK")))</f>
        <v/>
      </c>
    </row>
    <row r="53">
      <c r="A53" s="7" t="n">
        <v>47</v>
      </c>
      <c r="B53" s="4" t="n"/>
      <c r="C53" s="4" t="n"/>
      <c r="D53" s="4" t="n"/>
      <c r="E53" s="4" t="n"/>
      <c r="F53" s="8" t="n"/>
      <c r="G53" s="8" t="n"/>
      <c r="H53" s="8" t="n"/>
      <c r="I53" s="9">
        <f>IF(B53="","",F53+G53-H53)</f>
        <v/>
      </c>
      <c r="J53" s="10" t="n"/>
      <c r="K53" s="11">
        <f>IF(B53="","",I53*J53)</f>
        <v/>
      </c>
      <c r="L53" s="8" t="n"/>
      <c r="M53" s="7">
        <f>IF(B53="","",IF(I53&lt;=0,"SIN STOCK",IF(I53&lt;=L53,"REABASTECER","OK")))</f>
        <v/>
      </c>
    </row>
    <row r="54">
      <c r="A54" s="7" t="n">
        <v>48</v>
      </c>
      <c r="B54" s="4" t="n"/>
      <c r="C54" s="4" t="n"/>
      <c r="D54" s="4" t="n"/>
      <c r="E54" s="4" t="n"/>
      <c r="F54" s="8" t="n"/>
      <c r="G54" s="8" t="n"/>
      <c r="H54" s="8" t="n"/>
      <c r="I54" s="9">
        <f>IF(B54="","",F54+G54-H54)</f>
        <v/>
      </c>
      <c r="J54" s="10" t="n"/>
      <c r="K54" s="11">
        <f>IF(B54="","",I54*J54)</f>
        <v/>
      </c>
      <c r="L54" s="8" t="n"/>
      <c r="M54" s="7">
        <f>IF(B54="","",IF(I54&lt;=0,"SIN STOCK",IF(I54&lt;=L54,"REABASTECER","OK")))</f>
        <v/>
      </c>
    </row>
    <row r="55">
      <c r="A55" s="7" t="n">
        <v>49</v>
      </c>
      <c r="B55" s="4" t="n"/>
      <c r="C55" s="4" t="n"/>
      <c r="D55" s="4" t="n"/>
      <c r="E55" s="4" t="n"/>
      <c r="F55" s="8" t="n"/>
      <c r="G55" s="8" t="n"/>
      <c r="H55" s="8" t="n"/>
      <c r="I55" s="9">
        <f>IF(B55="","",F55+G55-H55)</f>
        <v/>
      </c>
      <c r="J55" s="10" t="n"/>
      <c r="K55" s="11">
        <f>IF(B55="","",I55*J55)</f>
        <v/>
      </c>
      <c r="L55" s="8" t="n"/>
      <c r="M55" s="7">
        <f>IF(B55="","",IF(I55&lt;=0,"SIN STOCK",IF(I55&lt;=L55,"REABASTECER","OK")))</f>
        <v/>
      </c>
    </row>
    <row r="56">
      <c r="A56" s="7" t="n">
        <v>50</v>
      </c>
      <c r="B56" s="4" t="n"/>
      <c r="C56" s="4" t="n"/>
      <c r="D56" s="4" t="n"/>
      <c r="E56" s="4" t="n"/>
      <c r="F56" s="8" t="n"/>
      <c r="G56" s="8" t="n"/>
      <c r="H56" s="8" t="n"/>
      <c r="I56" s="9">
        <f>IF(B56="","",F56+G56-H56)</f>
        <v/>
      </c>
      <c r="J56" s="10" t="n"/>
      <c r="K56" s="11">
        <f>IF(B56="","",I56*J56)</f>
        <v/>
      </c>
      <c r="L56" s="8" t="n"/>
      <c r="M56" s="7">
        <f>IF(B56="","",IF(I56&lt;=0,"SIN STOCK",IF(I56&lt;=L56,"REABASTECER","OK")))</f>
        <v/>
      </c>
    </row>
    <row r="57">
      <c r="A57" s="7" t="n">
        <v>51</v>
      </c>
      <c r="B57" s="4" t="n"/>
      <c r="C57" s="4" t="n"/>
      <c r="D57" s="4" t="n"/>
      <c r="E57" s="4" t="n"/>
      <c r="F57" s="8" t="n"/>
      <c r="G57" s="8" t="n"/>
      <c r="H57" s="8" t="n"/>
      <c r="I57" s="9">
        <f>IF(B57="","",F57+G57-H57)</f>
        <v/>
      </c>
      <c r="J57" s="10" t="n"/>
      <c r="K57" s="11">
        <f>IF(B57="","",I57*J57)</f>
        <v/>
      </c>
      <c r="L57" s="8" t="n"/>
      <c r="M57" s="7">
        <f>IF(B57="","",IF(I57&lt;=0,"SIN STOCK",IF(I57&lt;=L57,"REABASTECER","OK")))</f>
        <v/>
      </c>
    </row>
    <row r="58">
      <c r="A58" s="7" t="n">
        <v>52</v>
      </c>
      <c r="B58" s="4" t="n"/>
      <c r="C58" s="4" t="n"/>
      <c r="D58" s="4" t="n"/>
      <c r="E58" s="4" t="n"/>
      <c r="F58" s="8" t="n"/>
      <c r="G58" s="8" t="n"/>
      <c r="H58" s="8" t="n"/>
      <c r="I58" s="9">
        <f>IF(B58="","",F58+G58-H58)</f>
        <v/>
      </c>
      <c r="J58" s="10" t="n"/>
      <c r="K58" s="11">
        <f>IF(B58="","",I58*J58)</f>
        <v/>
      </c>
      <c r="L58" s="8" t="n"/>
      <c r="M58" s="7">
        <f>IF(B58="","",IF(I58&lt;=0,"SIN STOCK",IF(I58&lt;=L58,"REABASTECER","OK")))</f>
        <v/>
      </c>
    </row>
    <row r="59">
      <c r="A59" s="7" t="n">
        <v>53</v>
      </c>
      <c r="B59" s="4" t="n"/>
      <c r="C59" s="4" t="n"/>
      <c r="D59" s="4" t="n"/>
      <c r="E59" s="4" t="n"/>
      <c r="F59" s="8" t="n"/>
      <c r="G59" s="8" t="n"/>
      <c r="H59" s="8" t="n"/>
      <c r="I59" s="9">
        <f>IF(B59="","",F59+G59-H59)</f>
        <v/>
      </c>
      <c r="J59" s="10" t="n"/>
      <c r="K59" s="11">
        <f>IF(B59="","",I59*J59)</f>
        <v/>
      </c>
      <c r="L59" s="8" t="n"/>
      <c r="M59" s="7">
        <f>IF(B59="","",IF(I59&lt;=0,"SIN STOCK",IF(I59&lt;=L59,"REABASTECER","OK")))</f>
        <v/>
      </c>
    </row>
    <row r="60">
      <c r="A60" s="7" t="n">
        <v>54</v>
      </c>
      <c r="B60" s="4" t="n"/>
      <c r="C60" s="4" t="n"/>
      <c r="D60" s="4" t="n"/>
      <c r="E60" s="4" t="n"/>
      <c r="F60" s="8" t="n"/>
      <c r="G60" s="8" t="n"/>
      <c r="H60" s="8" t="n"/>
      <c r="I60" s="9">
        <f>IF(B60="","",F60+G60-H60)</f>
        <v/>
      </c>
      <c r="J60" s="10" t="n"/>
      <c r="K60" s="11">
        <f>IF(B60="","",I60*J60)</f>
        <v/>
      </c>
      <c r="L60" s="8" t="n"/>
      <c r="M60" s="7">
        <f>IF(B60="","",IF(I60&lt;=0,"SIN STOCK",IF(I60&lt;=L60,"REABASTECER","OK")))</f>
        <v/>
      </c>
    </row>
    <row r="61">
      <c r="A61" s="7" t="n">
        <v>55</v>
      </c>
      <c r="B61" s="4" t="n"/>
      <c r="C61" s="4" t="n"/>
      <c r="D61" s="4" t="n"/>
      <c r="E61" s="4" t="n"/>
      <c r="F61" s="8" t="n"/>
      <c r="G61" s="8" t="n"/>
      <c r="H61" s="8" t="n"/>
      <c r="I61" s="9">
        <f>IF(B61="","",F61+G61-H61)</f>
        <v/>
      </c>
      <c r="J61" s="10" t="n"/>
      <c r="K61" s="11">
        <f>IF(B61="","",I61*J61)</f>
        <v/>
      </c>
      <c r="L61" s="8" t="n"/>
      <c r="M61" s="7">
        <f>IF(B61="","",IF(I61&lt;=0,"SIN STOCK",IF(I61&lt;=L61,"REABASTECER","OK")))</f>
        <v/>
      </c>
    </row>
    <row r="62">
      <c r="A62" s="7" t="n">
        <v>56</v>
      </c>
      <c r="B62" s="4" t="n"/>
      <c r="C62" s="4" t="n"/>
      <c r="D62" s="4" t="n"/>
      <c r="E62" s="4" t="n"/>
      <c r="F62" s="8" t="n"/>
      <c r="G62" s="8" t="n"/>
      <c r="H62" s="8" t="n"/>
      <c r="I62" s="9">
        <f>IF(B62="","",F62+G62-H62)</f>
        <v/>
      </c>
      <c r="J62" s="10" t="n"/>
      <c r="K62" s="11">
        <f>IF(B62="","",I62*J62)</f>
        <v/>
      </c>
      <c r="L62" s="8" t="n"/>
      <c r="M62" s="7">
        <f>IF(B62="","",IF(I62&lt;=0,"SIN STOCK",IF(I62&lt;=L62,"REABASTECER","OK")))</f>
        <v/>
      </c>
    </row>
    <row r="63">
      <c r="A63" s="7" t="n">
        <v>57</v>
      </c>
      <c r="B63" s="4" t="n"/>
      <c r="C63" s="4" t="n"/>
      <c r="D63" s="4" t="n"/>
      <c r="E63" s="4" t="n"/>
      <c r="F63" s="8" t="n"/>
      <c r="G63" s="8" t="n"/>
      <c r="H63" s="8" t="n"/>
      <c r="I63" s="9">
        <f>IF(B63="","",F63+G63-H63)</f>
        <v/>
      </c>
      <c r="J63" s="10" t="n"/>
      <c r="K63" s="11">
        <f>IF(B63="","",I63*J63)</f>
        <v/>
      </c>
      <c r="L63" s="8" t="n"/>
      <c r="M63" s="7">
        <f>IF(B63="","",IF(I63&lt;=0,"SIN STOCK",IF(I63&lt;=L63,"REABASTECER","OK")))</f>
        <v/>
      </c>
    </row>
    <row r="64">
      <c r="A64" s="7" t="n">
        <v>58</v>
      </c>
      <c r="B64" s="4" t="n"/>
      <c r="C64" s="4" t="n"/>
      <c r="D64" s="4" t="n"/>
      <c r="E64" s="4" t="n"/>
      <c r="F64" s="8" t="n"/>
      <c r="G64" s="8" t="n"/>
      <c r="H64" s="8" t="n"/>
      <c r="I64" s="9">
        <f>IF(B64="","",F64+G64-H64)</f>
        <v/>
      </c>
      <c r="J64" s="10" t="n"/>
      <c r="K64" s="11">
        <f>IF(B64="","",I64*J64)</f>
        <v/>
      </c>
      <c r="L64" s="8" t="n"/>
      <c r="M64" s="7">
        <f>IF(B64="","",IF(I64&lt;=0,"SIN STOCK",IF(I64&lt;=L64,"REABASTECER","OK")))</f>
        <v/>
      </c>
    </row>
    <row r="65">
      <c r="A65" s="7" t="n">
        <v>59</v>
      </c>
      <c r="B65" s="4" t="n"/>
      <c r="C65" s="4" t="n"/>
      <c r="D65" s="4" t="n"/>
      <c r="E65" s="4" t="n"/>
      <c r="F65" s="8" t="n"/>
      <c r="G65" s="8" t="n"/>
      <c r="H65" s="8" t="n"/>
      <c r="I65" s="9">
        <f>IF(B65="","",F65+G65-H65)</f>
        <v/>
      </c>
      <c r="J65" s="10" t="n"/>
      <c r="K65" s="11">
        <f>IF(B65="","",I65*J65)</f>
        <v/>
      </c>
      <c r="L65" s="8" t="n"/>
      <c r="M65" s="7">
        <f>IF(B65="","",IF(I65&lt;=0,"SIN STOCK",IF(I65&lt;=L65,"REABASTECER","OK")))</f>
        <v/>
      </c>
    </row>
    <row r="66">
      <c r="A66" s="7" t="n">
        <v>60</v>
      </c>
      <c r="B66" s="4" t="n"/>
      <c r="C66" s="4" t="n"/>
      <c r="D66" s="4" t="n"/>
      <c r="E66" s="4" t="n"/>
      <c r="F66" s="8" t="n"/>
      <c r="G66" s="8" t="n"/>
      <c r="H66" s="8" t="n"/>
      <c r="I66" s="9">
        <f>IF(B66="","",F66+G66-H66)</f>
        <v/>
      </c>
      <c r="J66" s="10" t="n"/>
      <c r="K66" s="11">
        <f>IF(B66="","",I66*J66)</f>
        <v/>
      </c>
      <c r="L66" s="8" t="n"/>
      <c r="M66" s="7">
        <f>IF(B66="","",IF(I66&lt;=0,"SIN STOCK",IF(I66&lt;=L66,"REABASTECER","OK")))</f>
        <v/>
      </c>
    </row>
    <row r="67">
      <c r="A67" s="7" t="n">
        <v>61</v>
      </c>
      <c r="B67" s="4" t="n"/>
      <c r="C67" s="4" t="n"/>
      <c r="D67" s="4" t="n"/>
      <c r="E67" s="4" t="n"/>
      <c r="F67" s="8" t="n"/>
      <c r="G67" s="8" t="n"/>
      <c r="H67" s="8" t="n"/>
      <c r="I67" s="9">
        <f>IF(B67="","",F67+G67-H67)</f>
        <v/>
      </c>
      <c r="J67" s="10" t="n"/>
      <c r="K67" s="11">
        <f>IF(B67="","",I67*J67)</f>
        <v/>
      </c>
      <c r="L67" s="8" t="n"/>
      <c r="M67" s="7">
        <f>IF(B67="","",IF(I67&lt;=0,"SIN STOCK",IF(I67&lt;=L67,"REABASTECER","OK")))</f>
        <v/>
      </c>
    </row>
    <row r="68">
      <c r="A68" s="7" t="n">
        <v>62</v>
      </c>
      <c r="B68" s="4" t="n"/>
      <c r="C68" s="4" t="n"/>
      <c r="D68" s="4" t="n"/>
      <c r="E68" s="4" t="n"/>
      <c r="F68" s="8" t="n"/>
      <c r="G68" s="8" t="n"/>
      <c r="H68" s="8" t="n"/>
      <c r="I68" s="9">
        <f>IF(B68="","",F68+G68-H68)</f>
        <v/>
      </c>
      <c r="J68" s="10" t="n"/>
      <c r="K68" s="11">
        <f>IF(B68="","",I68*J68)</f>
        <v/>
      </c>
      <c r="L68" s="8" t="n"/>
      <c r="M68" s="7">
        <f>IF(B68="","",IF(I68&lt;=0,"SIN STOCK",IF(I68&lt;=L68,"REABASTECER","OK")))</f>
        <v/>
      </c>
    </row>
    <row r="69">
      <c r="A69" s="7" t="n">
        <v>63</v>
      </c>
      <c r="B69" s="4" t="n"/>
      <c r="C69" s="4" t="n"/>
      <c r="D69" s="4" t="n"/>
      <c r="E69" s="4" t="n"/>
      <c r="F69" s="8" t="n"/>
      <c r="G69" s="8" t="n"/>
      <c r="H69" s="8" t="n"/>
      <c r="I69" s="9">
        <f>IF(B69="","",F69+G69-H69)</f>
        <v/>
      </c>
      <c r="J69" s="10" t="n"/>
      <c r="K69" s="11">
        <f>IF(B69="","",I69*J69)</f>
        <v/>
      </c>
      <c r="L69" s="8" t="n"/>
      <c r="M69" s="7">
        <f>IF(B69="","",IF(I69&lt;=0,"SIN STOCK",IF(I69&lt;=L69,"REABASTECER","OK")))</f>
        <v/>
      </c>
    </row>
    <row r="70">
      <c r="A70" s="7" t="n">
        <v>64</v>
      </c>
      <c r="B70" s="4" t="n"/>
      <c r="C70" s="4" t="n"/>
      <c r="D70" s="4" t="n"/>
      <c r="E70" s="4" t="n"/>
      <c r="F70" s="8" t="n"/>
      <c r="G70" s="8" t="n"/>
      <c r="H70" s="8" t="n"/>
      <c r="I70" s="9">
        <f>IF(B70="","",F70+G70-H70)</f>
        <v/>
      </c>
      <c r="J70" s="10" t="n"/>
      <c r="K70" s="11">
        <f>IF(B70="","",I70*J70)</f>
        <v/>
      </c>
      <c r="L70" s="8" t="n"/>
      <c r="M70" s="7">
        <f>IF(B70="","",IF(I70&lt;=0,"SIN STOCK",IF(I70&lt;=L70,"REABASTECER","OK")))</f>
        <v/>
      </c>
    </row>
    <row r="71">
      <c r="A71" s="7" t="n">
        <v>65</v>
      </c>
      <c r="B71" s="4" t="n"/>
      <c r="C71" s="4" t="n"/>
      <c r="D71" s="4" t="n"/>
      <c r="E71" s="4" t="n"/>
      <c r="F71" s="8" t="n"/>
      <c r="G71" s="8" t="n"/>
      <c r="H71" s="8" t="n"/>
      <c r="I71" s="9">
        <f>IF(B71="","",F71+G71-H71)</f>
        <v/>
      </c>
      <c r="J71" s="10" t="n"/>
      <c r="K71" s="11">
        <f>IF(B71="","",I71*J71)</f>
        <v/>
      </c>
      <c r="L71" s="8" t="n"/>
      <c r="M71" s="7">
        <f>IF(B71="","",IF(I71&lt;=0,"SIN STOCK",IF(I71&lt;=L71,"REABASTECER","OK")))</f>
        <v/>
      </c>
    </row>
    <row r="72">
      <c r="A72" s="7" t="n">
        <v>66</v>
      </c>
      <c r="B72" s="4" t="n"/>
      <c r="C72" s="4" t="n"/>
      <c r="D72" s="4" t="n"/>
      <c r="E72" s="4" t="n"/>
      <c r="F72" s="8" t="n"/>
      <c r="G72" s="8" t="n"/>
      <c r="H72" s="8" t="n"/>
      <c r="I72" s="9">
        <f>IF(B72="","",F72+G72-H72)</f>
        <v/>
      </c>
      <c r="J72" s="10" t="n"/>
      <c r="K72" s="11">
        <f>IF(B72="","",I72*J72)</f>
        <v/>
      </c>
      <c r="L72" s="8" t="n"/>
      <c r="M72" s="7">
        <f>IF(B72="","",IF(I72&lt;=0,"SIN STOCK",IF(I72&lt;=L72,"REABASTECER","OK")))</f>
        <v/>
      </c>
    </row>
    <row r="73">
      <c r="A73" s="7" t="n">
        <v>67</v>
      </c>
      <c r="B73" s="4" t="n"/>
      <c r="C73" s="4" t="n"/>
      <c r="D73" s="4" t="n"/>
      <c r="E73" s="4" t="n"/>
      <c r="F73" s="8" t="n"/>
      <c r="G73" s="8" t="n"/>
      <c r="H73" s="8" t="n"/>
      <c r="I73" s="9">
        <f>IF(B73="","",F73+G73-H73)</f>
        <v/>
      </c>
      <c r="J73" s="10" t="n"/>
      <c r="K73" s="11">
        <f>IF(B73="","",I73*J73)</f>
        <v/>
      </c>
      <c r="L73" s="8" t="n"/>
      <c r="M73" s="7">
        <f>IF(B73="","",IF(I73&lt;=0,"SIN STOCK",IF(I73&lt;=L73,"REABASTECER","OK")))</f>
        <v/>
      </c>
    </row>
    <row r="74">
      <c r="A74" s="7" t="n">
        <v>68</v>
      </c>
      <c r="B74" s="4" t="n"/>
      <c r="C74" s="4" t="n"/>
      <c r="D74" s="4" t="n"/>
      <c r="E74" s="4" t="n"/>
      <c r="F74" s="8" t="n"/>
      <c r="G74" s="8" t="n"/>
      <c r="H74" s="8" t="n"/>
      <c r="I74" s="9">
        <f>IF(B74="","",F74+G74-H74)</f>
        <v/>
      </c>
      <c r="J74" s="10" t="n"/>
      <c r="K74" s="11">
        <f>IF(B74="","",I74*J74)</f>
        <v/>
      </c>
      <c r="L74" s="8" t="n"/>
      <c r="M74" s="7">
        <f>IF(B74="","",IF(I74&lt;=0,"SIN STOCK",IF(I74&lt;=L74,"REABASTECER","OK")))</f>
        <v/>
      </c>
    </row>
    <row r="75">
      <c r="A75" s="7" t="n">
        <v>69</v>
      </c>
      <c r="B75" s="4" t="n"/>
      <c r="C75" s="4" t="n"/>
      <c r="D75" s="4" t="n"/>
      <c r="E75" s="4" t="n"/>
      <c r="F75" s="8" t="n"/>
      <c r="G75" s="8" t="n"/>
      <c r="H75" s="8" t="n"/>
      <c r="I75" s="9">
        <f>IF(B75="","",F75+G75-H75)</f>
        <v/>
      </c>
      <c r="J75" s="10" t="n"/>
      <c r="K75" s="11">
        <f>IF(B75="","",I75*J75)</f>
        <v/>
      </c>
      <c r="L75" s="8" t="n"/>
      <c r="M75" s="7">
        <f>IF(B75="","",IF(I75&lt;=0,"SIN STOCK",IF(I75&lt;=L75,"REABASTECER","OK")))</f>
        <v/>
      </c>
    </row>
    <row r="76">
      <c r="A76" s="7" t="n">
        <v>70</v>
      </c>
      <c r="B76" s="4" t="n"/>
      <c r="C76" s="4" t="n"/>
      <c r="D76" s="4" t="n"/>
      <c r="E76" s="4" t="n"/>
      <c r="F76" s="8" t="n"/>
      <c r="G76" s="8" t="n"/>
      <c r="H76" s="8" t="n"/>
      <c r="I76" s="9">
        <f>IF(B76="","",F76+G76-H76)</f>
        <v/>
      </c>
      <c r="J76" s="10" t="n"/>
      <c r="K76" s="11">
        <f>IF(B76="","",I76*J76)</f>
        <v/>
      </c>
      <c r="L76" s="8" t="n"/>
      <c r="M76" s="7">
        <f>IF(B76="","",IF(I76&lt;=0,"SIN STOCK",IF(I76&lt;=L76,"REABASTECER","OK")))</f>
        <v/>
      </c>
    </row>
    <row r="77">
      <c r="A77" s="7" t="n">
        <v>71</v>
      </c>
      <c r="B77" s="4" t="n"/>
      <c r="C77" s="4" t="n"/>
      <c r="D77" s="4" t="n"/>
      <c r="E77" s="4" t="n"/>
      <c r="F77" s="8" t="n"/>
      <c r="G77" s="8" t="n"/>
      <c r="H77" s="8" t="n"/>
      <c r="I77" s="9">
        <f>IF(B77="","",F77+G77-H77)</f>
        <v/>
      </c>
      <c r="J77" s="10" t="n"/>
      <c r="K77" s="11">
        <f>IF(B77="","",I77*J77)</f>
        <v/>
      </c>
      <c r="L77" s="8" t="n"/>
      <c r="M77" s="7">
        <f>IF(B77="","",IF(I77&lt;=0,"SIN STOCK",IF(I77&lt;=L77,"REABASTECER","OK")))</f>
        <v/>
      </c>
    </row>
    <row r="78">
      <c r="A78" s="7" t="n">
        <v>72</v>
      </c>
      <c r="B78" s="4" t="n"/>
      <c r="C78" s="4" t="n"/>
      <c r="D78" s="4" t="n"/>
      <c r="E78" s="4" t="n"/>
      <c r="F78" s="8" t="n"/>
      <c r="G78" s="8" t="n"/>
      <c r="H78" s="8" t="n"/>
      <c r="I78" s="9">
        <f>IF(B78="","",F78+G78-H78)</f>
        <v/>
      </c>
      <c r="J78" s="10" t="n"/>
      <c r="K78" s="11">
        <f>IF(B78="","",I78*J78)</f>
        <v/>
      </c>
      <c r="L78" s="8" t="n"/>
      <c r="M78" s="7">
        <f>IF(B78="","",IF(I78&lt;=0,"SIN STOCK",IF(I78&lt;=L78,"REABASTECER","OK")))</f>
        <v/>
      </c>
    </row>
    <row r="79">
      <c r="A79" s="7" t="n">
        <v>73</v>
      </c>
      <c r="B79" s="4" t="n"/>
      <c r="C79" s="4" t="n"/>
      <c r="D79" s="4" t="n"/>
      <c r="E79" s="4" t="n"/>
      <c r="F79" s="8" t="n"/>
      <c r="G79" s="8" t="n"/>
      <c r="H79" s="8" t="n"/>
      <c r="I79" s="9">
        <f>IF(B79="","",F79+G79-H79)</f>
        <v/>
      </c>
      <c r="J79" s="10" t="n"/>
      <c r="K79" s="11">
        <f>IF(B79="","",I79*J79)</f>
        <v/>
      </c>
      <c r="L79" s="8" t="n"/>
      <c r="M79" s="7">
        <f>IF(B79="","",IF(I79&lt;=0,"SIN STOCK",IF(I79&lt;=L79,"REABASTECER","OK")))</f>
        <v/>
      </c>
    </row>
    <row r="80">
      <c r="A80" s="7" t="n">
        <v>74</v>
      </c>
      <c r="B80" s="4" t="n"/>
      <c r="C80" s="4" t="n"/>
      <c r="D80" s="4" t="n"/>
      <c r="E80" s="4" t="n"/>
      <c r="F80" s="8" t="n"/>
      <c r="G80" s="8" t="n"/>
      <c r="H80" s="8" t="n"/>
      <c r="I80" s="9">
        <f>IF(B80="","",F80+G80-H80)</f>
        <v/>
      </c>
      <c r="J80" s="10" t="n"/>
      <c r="K80" s="11">
        <f>IF(B80="","",I80*J80)</f>
        <v/>
      </c>
      <c r="L80" s="8" t="n"/>
      <c r="M80" s="7">
        <f>IF(B80="","",IF(I80&lt;=0,"SIN STOCK",IF(I80&lt;=L80,"REABASTECER","OK")))</f>
        <v/>
      </c>
    </row>
    <row r="81">
      <c r="A81" s="7" t="n">
        <v>75</v>
      </c>
      <c r="B81" s="4" t="n"/>
      <c r="C81" s="4" t="n"/>
      <c r="D81" s="4" t="n"/>
      <c r="E81" s="4" t="n"/>
      <c r="F81" s="8" t="n"/>
      <c r="G81" s="8" t="n"/>
      <c r="H81" s="8" t="n"/>
      <c r="I81" s="9">
        <f>IF(B81="","",F81+G81-H81)</f>
        <v/>
      </c>
      <c r="J81" s="10" t="n"/>
      <c r="K81" s="11">
        <f>IF(B81="","",I81*J81)</f>
        <v/>
      </c>
      <c r="L81" s="8" t="n"/>
      <c r="M81" s="7">
        <f>IF(B81="","",IF(I81&lt;=0,"SIN STOCK",IF(I81&lt;=L81,"REABASTECER","OK")))</f>
        <v/>
      </c>
    </row>
    <row r="82">
      <c r="A82" s="7" t="n">
        <v>76</v>
      </c>
      <c r="B82" s="4" t="n"/>
      <c r="C82" s="4" t="n"/>
      <c r="D82" s="4" t="n"/>
      <c r="E82" s="4" t="n"/>
      <c r="F82" s="8" t="n"/>
      <c r="G82" s="8" t="n"/>
      <c r="H82" s="8" t="n"/>
      <c r="I82" s="9">
        <f>IF(B82="","",F82+G82-H82)</f>
        <v/>
      </c>
      <c r="J82" s="10" t="n"/>
      <c r="K82" s="11">
        <f>IF(B82="","",I82*J82)</f>
        <v/>
      </c>
      <c r="L82" s="8" t="n"/>
      <c r="M82" s="7">
        <f>IF(B82="","",IF(I82&lt;=0,"SIN STOCK",IF(I82&lt;=L82,"REABASTECER","OK")))</f>
        <v/>
      </c>
    </row>
    <row r="83">
      <c r="A83" s="7" t="n">
        <v>77</v>
      </c>
      <c r="B83" s="4" t="n"/>
      <c r="C83" s="4" t="n"/>
      <c r="D83" s="4" t="n"/>
      <c r="E83" s="4" t="n"/>
      <c r="F83" s="8" t="n"/>
      <c r="G83" s="8" t="n"/>
      <c r="H83" s="8" t="n"/>
      <c r="I83" s="9">
        <f>IF(B83="","",F83+G83-H83)</f>
        <v/>
      </c>
      <c r="J83" s="10" t="n"/>
      <c r="K83" s="11">
        <f>IF(B83="","",I83*J83)</f>
        <v/>
      </c>
      <c r="L83" s="8" t="n"/>
      <c r="M83" s="7">
        <f>IF(B83="","",IF(I83&lt;=0,"SIN STOCK",IF(I83&lt;=L83,"REABASTECER","OK")))</f>
        <v/>
      </c>
    </row>
    <row r="84">
      <c r="A84" s="7" t="n">
        <v>78</v>
      </c>
      <c r="B84" s="4" t="n"/>
      <c r="C84" s="4" t="n"/>
      <c r="D84" s="4" t="n"/>
      <c r="E84" s="4" t="n"/>
      <c r="F84" s="8" t="n"/>
      <c r="G84" s="8" t="n"/>
      <c r="H84" s="8" t="n"/>
      <c r="I84" s="9">
        <f>IF(B84="","",F84+G84-H84)</f>
        <v/>
      </c>
      <c r="J84" s="10" t="n"/>
      <c r="K84" s="11">
        <f>IF(B84="","",I84*J84)</f>
        <v/>
      </c>
      <c r="L84" s="8" t="n"/>
      <c r="M84" s="7">
        <f>IF(B84="","",IF(I84&lt;=0,"SIN STOCK",IF(I84&lt;=L84,"REABASTECER","OK")))</f>
        <v/>
      </c>
    </row>
    <row r="85">
      <c r="A85" s="7" t="n">
        <v>79</v>
      </c>
      <c r="B85" s="4" t="n"/>
      <c r="C85" s="4" t="n"/>
      <c r="D85" s="4" t="n"/>
      <c r="E85" s="4" t="n"/>
      <c r="F85" s="8" t="n"/>
      <c r="G85" s="8" t="n"/>
      <c r="H85" s="8" t="n"/>
      <c r="I85" s="9">
        <f>IF(B85="","",F85+G85-H85)</f>
        <v/>
      </c>
      <c r="J85" s="10" t="n"/>
      <c r="K85" s="11">
        <f>IF(B85="","",I85*J85)</f>
        <v/>
      </c>
      <c r="L85" s="8" t="n"/>
      <c r="M85" s="7">
        <f>IF(B85="","",IF(I85&lt;=0,"SIN STOCK",IF(I85&lt;=L85,"REABASTECER","OK")))</f>
        <v/>
      </c>
    </row>
    <row r="86">
      <c r="A86" s="7" t="n">
        <v>80</v>
      </c>
      <c r="B86" s="4" t="n"/>
      <c r="C86" s="4" t="n"/>
      <c r="D86" s="4" t="n"/>
      <c r="E86" s="4" t="n"/>
      <c r="F86" s="8" t="n"/>
      <c r="G86" s="8" t="n"/>
      <c r="H86" s="8" t="n"/>
      <c r="I86" s="9">
        <f>IF(B86="","",F86+G86-H86)</f>
        <v/>
      </c>
      <c r="J86" s="10" t="n"/>
      <c r="K86" s="11">
        <f>IF(B86="","",I86*J86)</f>
        <v/>
      </c>
      <c r="L86" s="8" t="n"/>
      <c r="M86" s="7">
        <f>IF(B86="","",IF(I86&lt;=0,"SIN STOCK",IF(I86&lt;=L86,"REABASTECER","OK")))</f>
        <v/>
      </c>
    </row>
    <row r="87">
      <c r="A87" s="7" t="n">
        <v>81</v>
      </c>
      <c r="B87" s="4" t="n"/>
      <c r="C87" s="4" t="n"/>
      <c r="D87" s="4" t="n"/>
      <c r="E87" s="4" t="n"/>
      <c r="F87" s="8" t="n"/>
      <c r="G87" s="8" t="n"/>
      <c r="H87" s="8" t="n"/>
      <c r="I87" s="9">
        <f>IF(B87="","",F87+G87-H87)</f>
        <v/>
      </c>
      <c r="J87" s="10" t="n"/>
      <c r="K87" s="11">
        <f>IF(B87="","",I87*J87)</f>
        <v/>
      </c>
      <c r="L87" s="8" t="n"/>
      <c r="M87" s="7">
        <f>IF(B87="","",IF(I87&lt;=0,"SIN STOCK",IF(I87&lt;=L87,"REABASTECER","OK")))</f>
        <v/>
      </c>
    </row>
    <row r="88">
      <c r="A88" s="7" t="n">
        <v>82</v>
      </c>
      <c r="B88" s="4" t="n"/>
      <c r="C88" s="4" t="n"/>
      <c r="D88" s="4" t="n"/>
      <c r="E88" s="4" t="n"/>
      <c r="F88" s="8" t="n"/>
      <c r="G88" s="8" t="n"/>
      <c r="H88" s="8" t="n"/>
      <c r="I88" s="9">
        <f>IF(B88="","",F88+G88-H88)</f>
        <v/>
      </c>
      <c r="J88" s="10" t="n"/>
      <c r="K88" s="11">
        <f>IF(B88="","",I88*J88)</f>
        <v/>
      </c>
      <c r="L88" s="8" t="n"/>
      <c r="M88" s="7">
        <f>IF(B88="","",IF(I88&lt;=0,"SIN STOCK",IF(I88&lt;=L88,"REABASTECER","OK")))</f>
        <v/>
      </c>
    </row>
    <row r="89">
      <c r="A89" s="7" t="n">
        <v>83</v>
      </c>
      <c r="B89" s="4" t="n"/>
      <c r="C89" s="4" t="n"/>
      <c r="D89" s="4" t="n"/>
      <c r="E89" s="4" t="n"/>
      <c r="F89" s="8" t="n"/>
      <c r="G89" s="8" t="n"/>
      <c r="H89" s="8" t="n"/>
      <c r="I89" s="9">
        <f>IF(B89="","",F89+G89-H89)</f>
        <v/>
      </c>
      <c r="J89" s="10" t="n"/>
      <c r="K89" s="11">
        <f>IF(B89="","",I89*J89)</f>
        <v/>
      </c>
      <c r="L89" s="8" t="n"/>
      <c r="M89" s="7">
        <f>IF(B89="","",IF(I89&lt;=0,"SIN STOCK",IF(I89&lt;=L89,"REABASTECER","OK")))</f>
        <v/>
      </c>
    </row>
    <row r="90">
      <c r="A90" s="7" t="n">
        <v>84</v>
      </c>
      <c r="B90" s="4" t="n"/>
      <c r="C90" s="4" t="n"/>
      <c r="D90" s="4" t="n"/>
      <c r="E90" s="4" t="n"/>
      <c r="F90" s="8" t="n"/>
      <c r="G90" s="8" t="n"/>
      <c r="H90" s="8" t="n"/>
      <c r="I90" s="9">
        <f>IF(B90="","",F90+G90-H90)</f>
        <v/>
      </c>
      <c r="J90" s="10" t="n"/>
      <c r="K90" s="11">
        <f>IF(B90="","",I90*J90)</f>
        <v/>
      </c>
      <c r="L90" s="8" t="n"/>
      <c r="M90" s="7">
        <f>IF(B90="","",IF(I90&lt;=0,"SIN STOCK",IF(I90&lt;=L90,"REABASTECER","OK")))</f>
        <v/>
      </c>
    </row>
    <row r="91">
      <c r="A91" s="7" t="n">
        <v>85</v>
      </c>
      <c r="B91" s="4" t="n"/>
      <c r="C91" s="4" t="n"/>
      <c r="D91" s="4" t="n"/>
      <c r="E91" s="4" t="n"/>
      <c r="F91" s="8" t="n"/>
      <c r="G91" s="8" t="n"/>
      <c r="H91" s="8" t="n"/>
      <c r="I91" s="9">
        <f>IF(B91="","",F91+G91-H91)</f>
        <v/>
      </c>
      <c r="J91" s="10" t="n"/>
      <c r="K91" s="11">
        <f>IF(B91="","",I91*J91)</f>
        <v/>
      </c>
      <c r="L91" s="8" t="n"/>
      <c r="M91" s="7">
        <f>IF(B91="","",IF(I91&lt;=0,"SIN STOCK",IF(I91&lt;=L91,"REABASTECER","OK")))</f>
        <v/>
      </c>
    </row>
    <row r="92">
      <c r="A92" s="7" t="n">
        <v>86</v>
      </c>
      <c r="B92" s="4" t="n"/>
      <c r="C92" s="4" t="n"/>
      <c r="D92" s="4" t="n"/>
      <c r="E92" s="4" t="n"/>
      <c r="F92" s="8" t="n"/>
      <c r="G92" s="8" t="n"/>
      <c r="H92" s="8" t="n"/>
      <c r="I92" s="9">
        <f>IF(B92="","",F92+G92-H92)</f>
        <v/>
      </c>
      <c r="J92" s="10" t="n"/>
      <c r="K92" s="11">
        <f>IF(B92="","",I92*J92)</f>
        <v/>
      </c>
      <c r="L92" s="8" t="n"/>
      <c r="M92" s="7">
        <f>IF(B92="","",IF(I92&lt;=0,"SIN STOCK",IF(I92&lt;=L92,"REABASTECER","OK")))</f>
        <v/>
      </c>
    </row>
    <row r="93">
      <c r="A93" s="7" t="n">
        <v>87</v>
      </c>
      <c r="B93" s="4" t="n"/>
      <c r="C93" s="4" t="n"/>
      <c r="D93" s="4" t="n"/>
      <c r="E93" s="4" t="n"/>
      <c r="F93" s="8" t="n"/>
      <c r="G93" s="8" t="n"/>
      <c r="H93" s="8" t="n"/>
      <c r="I93" s="9">
        <f>IF(B93="","",F93+G93-H93)</f>
        <v/>
      </c>
      <c r="J93" s="10" t="n"/>
      <c r="K93" s="11">
        <f>IF(B93="","",I93*J93)</f>
        <v/>
      </c>
      <c r="L93" s="8" t="n"/>
      <c r="M93" s="7">
        <f>IF(B93="","",IF(I93&lt;=0,"SIN STOCK",IF(I93&lt;=L93,"REABASTECER","OK")))</f>
        <v/>
      </c>
    </row>
    <row r="94">
      <c r="A94" s="7" t="n">
        <v>88</v>
      </c>
      <c r="B94" s="4" t="n"/>
      <c r="C94" s="4" t="n"/>
      <c r="D94" s="4" t="n"/>
      <c r="E94" s="4" t="n"/>
      <c r="F94" s="8" t="n"/>
      <c r="G94" s="8" t="n"/>
      <c r="H94" s="8" t="n"/>
      <c r="I94" s="9">
        <f>IF(B94="","",F94+G94-H94)</f>
        <v/>
      </c>
      <c r="J94" s="10" t="n"/>
      <c r="K94" s="11">
        <f>IF(B94="","",I94*J94)</f>
        <v/>
      </c>
      <c r="L94" s="8" t="n"/>
      <c r="M94" s="7">
        <f>IF(B94="","",IF(I94&lt;=0,"SIN STOCK",IF(I94&lt;=L94,"REABASTECER","OK")))</f>
        <v/>
      </c>
    </row>
    <row r="95">
      <c r="A95" s="7" t="n">
        <v>89</v>
      </c>
      <c r="B95" s="4" t="n"/>
      <c r="C95" s="4" t="n"/>
      <c r="D95" s="4" t="n"/>
      <c r="E95" s="4" t="n"/>
      <c r="F95" s="8" t="n"/>
      <c r="G95" s="8" t="n"/>
      <c r="H95" s="8" t="n"/>
      <c r="I95" s="9">
        <f>IF(B95="","",F95+G95-H95)</f>
        <v/>
      </c>
      <c r="J95" s="10" t="n"/>
      <c r="K95" s="11">
        <f>IF(B95="","",I95*J95)</f>
        <v/>
      </c>
      <c r="L95" s="8" t="n"/>
      <c r="M95" s="7">
        <f>IF(B95="","",IF(I95&lt;=0,"SIN STOCK",IF(I95&lt;=L95,"REABASTECER","OK")))</f>
        <v/>
      </c>
    </row>
    <row r="96">
      <c r="A96" s="7" t="n">
        <v>90</v>
      </c>
      <c r="B96" s="4" t="n"/>
      <c r="C96" s="4" t="n"/>
      <c r="D96" s="4" t="n"/>
      <c r="E96" s="4" t="n"/>
      <c r="F96" s="8" t="n"/>
      <c r="G96" s="8" t="n"/>
      <c r="H96" s="8" t="n"/>
      <c r="I96" s="9">
        <f>IF(B96="","",F96+G96-H96)</f>
        <v/>
      </c>
      <c r="J96" s="10" t="n"/>
      <c r="K96" s="11">
        <f>IF(B96="","",I96*J96)</f>
        <v/>
      </c>
      <c r="L96" s="8" t="n"/>
      <c r="M96" s="7">
        <f>IF(B96="","",IF(I96&lt;=0,"SIN STOCK",IF(I96&lt;=L96,"REABASTECER","OK")))</f>
        <v/>
      </c>
    </row>
    <row r="97">
      <c r="A97" s="7" t="n">
        <v>91</v>
      </c>
      <c r="B97" s="4" t="n"/>
      <c r="C97" s="4" t="n"/>
      <c r="D97" s="4" t="n"/>
      <c r="E97" s="4" t="n"/>
      <c r="F97" s="8" t="n"/>
      <c r="G97" s="8" t="n"/>
      <c r="H97" s="8" t="n"/>
      <c r="I97" s="9">
        <f>IF(B97="","",F97+G97-H97)</f>
        <v/>
      </c>
      <c r="J97" s="10" t="n"/>
      <c r="K97" s="11">
        <f>IF(B97="","",I97*J97)</f>
        <v/>
      </c>
      <c r="L97" s="8" t="n"/>
      <c r="M97" s="7">
        <f>IF(B97="","",IF(I97&lt;=0,"SIN STOCK",IF(I97&lt;=L97,"REABASTECER","OK")))</f>
        <v/>
      </c>
    </row>
    <row r="98">
      <c r="A98" s="7" t="n">
        <v>92</v>
      </c>
      <c r="B98" s="4" t="n"/>
      <c r="C98" s="4" t="n"/>
      <c r="D98" s="4" t="n"/>
      <c r="E98" s="4" t="n"/>
      <c r="F98" s="8" t="n"/>
      <c r="G98" s="8" t="n"/>
      <c r="H98" s="8" t="n"/>
      <c r="I98" s="9">
        <f>IF(B98="","",F98+G98-H98)</f>
        <v/>
      </c>
      <c r="J98" s="10" t="n"/>
      <c r="K98" s="11">
        <f>IF(B98="","",I98*J98)</f>
        <v/>
      </c>
      <c r="L98" s="8" t="n"/>
      <c r="M98" s="7">
        <f>IF(B98="","",IF(I98&lt;=0,"SIN STOCK",IF(I98&lt;=L98,"REABASTECER","OK")))</f>
        <v/>
      </c>
    </row>
    <row r="99">
      <c r="A99" s="7" t="n">
        <v>93</v>
      </c>
      <c r="B99" s="4" t="n"/>
      <c r="C99" s="4" t="n"/>
      <c r="D99" s="4" t="n"/>
      <c r="E99" s="4" t="n"/>
      <c r="F99" s="8" t="n"/>
      <c r="G99" s="8" t="n"/>
      <c r="H99" s="8" t="n"/>
      <c r="I99" s="9">
        <f>IF(B99="","",F99+G99-H99)</f>
        <v/>
      </c>
      <c r="J99" s="10" t="n"/>
      <c r="K99" s="11">
        <f>IF(B99="","",I99*J99)</f>
        <v/>
      </c>
      <c r="L99" s="8" t="n"/>
      <c r="M99" s="7">
        <f>IF(B99="","",IF(I99&lt;=0,"SIN STOCK",IF(I99&lt;=L99,"REABASTECER","OK")))</f>
        <v/>
      </c>
    </row>
    <row r="100">
      <c r="A100" s="7" t="n">
        <v>94</v>
      </c>
      <c r="B100" s="4" t="n"/>
      <c r="C100" s="4" t="n"/>
      <c r="D100" s="4" t="n"/>
      <c r="E100" s="4" t="n"/>
      <c r="F100" s="8" t="n"/>
      <c r="G100" s="8" t="n"/>
      <c r="H100" s="8" t="n"/>
      <c r="I100" s="9">
        <f>IF(B100="","",F100+G100-H100)</f>
        <v/>
      </c>
      <c r="J100" s="10" t="n"/>
      <c r="K100" s="11">
        <f>IF(B100="","",I100*J100)</f>
        <v/>
      </c>
      <c r="L100" s="8" t="n"/>
      <c r="M100" s="7">
        <f>IF(B100="","",IF(I100&lt;=0,"SIN STOCK",IF(I100&lt;=L100,"REABASTECER","OK")))</f>
        <v/>
      </c>
    </row>
    <row r="101">
      <c r="A101" s="7" t="n">
        <v>95</v>
      </c>
      <c r="B101" s="4" t="n"/>
      <c r="C101" s="4" t="n"/>
      <c r="D101" s="4" t="n"/>
      <c r="E101" s="4" t="n"/>
      <c r="F101" s="8" t="n"/>
      <c r="G101" s="8" t="n"/>
      <c r="H101" s="8" t="n"/>
      <c r="I101" s="9">
        <f>IF(B101="","",F101+G101-H101)</f>
        <v/>
      </c>
      <c r="J101" s="10" t="n"/>
      <c r="K101" s="11">
        <f>IF(B101="","",I101*J101)</f>
        <v/>
      </c>
      <c r="L101" s="8" t="n"/>
      <c r="M101" s="7">
        <f>IF(B101="","",IF(I101&lt;=0,"SIN STOCK",IF(I101&lt;=L101,"REABASTECER","OK")))</f>
        <v/>
      </c>
    </row>
    <row r="102">
      <c r="A102" s="7" t="n">
        <v>96</v>
      </c>
      <c r="B102" s="4" t="n"/>
      <c r="C102" s="4" t="n"/>
      <c r="D102" s="4" t="n"/>
      <c r="E102" s="4" t="n"/>
      <c r="F102" s="8" t="n"/>
      <c r="G102" s="8" t="n"/>
      <c r="H102" s="8" t="n"/>
      <c r="I102" s="9">
        <f>IF(B102="","",F102+G102-H102)</f>
        <v/>
      </c>
      <c r="J102" s="10" t="n"/>
      <c r="K102" s="11">
        <f>IF(B102="","",I102*J102)</f>
        <v/>
      </c>
      <c r="L102" s="8" t="n"/>
      <c r="M102" s="7">
        <f>IF(B102="","",IF(I102&lt;=0,"SIN STOCK",IF(I102&lt;=L102,"REABASTECER","OK")))</f>
        <v/>
      </c>
    </row>
    <row r="103">
      <c r="A103" s="7" t="n">
        <v>97</v>
      </c>
      <c r="B103" s="4" t="n"/>
      <c r="C103" s="4" t="n"/>
      <c r="D103" s="4" t="n"/>
      <c r="E103" s="4" t="n"/>
      <c r="F103" s="8" t="n"/>
      <c r="G103" s="8" t="n"/>
      <c r="H103" s="8" t="n"/>
      <c r="I103" s="9">
        <f>IF(B103="","",F103+G103-H103)</f>
        <v/>
      </c>
      <c r="J103" s="10" t="n"/>
      <c r="K103" s="11">
        <f>IF(B103="","",I103*J103)</f>
        <v/>
      </c>
      <c r="L103" s="8" t="n"/>
      <c r="M103" s="7">
        <f>IF(B103="","",IF(I103&lt;=0,"SIN STOCK",IF(I103&lt;=L103,"REABASTECER","OK")))</f>
        <v/>
      </c>
    </row>
    <row r="104">
      <c r="A104" s="7" t="n">
        <v>98</v>
      </c>
      <c r="B104" s="4" t="n"/>
      <c r="C104" s="4" t="n"/>
      <c r="D104" s="4" t="n"/>
      <c r="E104" s="4" t="n"/>
      <c r="F104" s="8" t="n"/>
      <c r="G104" s="8" t="n"/>
      <c r="H104" s="8" t="n"/>
      <c r="I104" s="9">
        <f>IF(B104="","",F104+G104-H104)</f>
        <v/>
      </c>
      <c r="J104" s="10" t="n"/>
      <c r="K104" s="11">
        <f>IF(B104="","",I104*J104)</f>
        <v/>
      </c>
      <c r="L104" s="8" t="n"/>
      <c r="M104" s="7">
        <f>IF(B104="","",IF(I104&lt;=0,"SIN STOCK",IF(I104&lt;=L104,"REABASTECER","OK")))</f>
        <v/>
      </c>
    </row>
    <row r="105">
      <c r="A105" s="7" t="n">
        <v>99</v>
      </c>
      <c r="B105" s="4" t="n"/>
      <c r="C105" s="4" t="n"/>
      <c r="D105" s="4" t="n"/>
      <c r="E105" s="4" t="n"/>
      <c r="F105" s="8" t="n"/>
      <c r="G105" s="8" t="n"/>
      <c r="H105" s="8" t="n"/>
      <c r="I105" s="9">
        <f>IF(B105="","",F105+G105-H105)</f>
        <v/>
      </c>
      <c r="J105" s="10" t="n"/>
      <c r="K105" s="11">
        <f>IF(B105="","",I105*J105)</f>
        <v/>
      </c>
      <c r="L105" s="8" t="n"/>
      <c r="M105" s="7">
        <f>IF(B105="","",IF(I105&lt;=0,"SIN STOCK",IF(I105&lt;=L105,"REABASTECER","OK")))</f>
        <v/>
      </c>
    </row>
    <row r="106">
      <c r="A106" s="7" t="n">
        <v>100</v>
      </c>
      <c r="B106" s="4" t="n"/>
      <c r="C106" s="4" t="n"/>
      <c r="D106" s="4" t="n"/>
      <c r="E106" s="4" t="n"/>
      <c r="F106" s="8" t="n"/>
      <c r="G106" s="8" t="n"/>
      <c r="H106" s="8" t="n"/>
      <c r="I106" s="9">
        <f>IF(B106="","",F106+G106-H106)</f>
        <v/>
      </c>
      <c r="J106" s="10" t="n"/>
      <c r="K106" s="11">
        <f>IF(B106="","",I106*J106)</f>
        <v/>
      </c>
      <c r="L106" s="8" t="n"/>
      <c r="M106" s="7">
        <f>IF(B106="","",IF(I106&lt;=0,"SIN STOCK",IF(I106&lt;=L106,"REABASTECER","OK")))</f>
        <v/>
      </c>
    </row>
    <row r="107">
      <c r="H107" s="12" t="inlineStr">
        <is>
          <t>TOTAL</t>
        </is>
      </c>
      <c r="I107" s="13">
        <f>SUM(I7:I106)</f>
        <v/>
      </c>
      <c r="K107" s="14">
        <f>SUM(K7:K106)</f>
        <v/>
      </c>
    </row>
  </sheetData>
  <mergeCells count="4">
    <mergeCell ref="A2:K2"/>
    <mergeCell ref="G4:H4"/>
    <mergeCell ref="A1:K1"/>
    <mergeCell ref="B4:D4"/>
  </mergeCells>
  <conditionalFormatting sqref="M7:M106">
    <cfRule type="cellIs" priority="1" operator="equal" dxfId="0">
      <formula>"SIN STOCK"</formula>
    </cfRule>
    <cfRule type="cellIs" priority="2" operator="equal" dxfId="1">
      <formula>"REABASTECER"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5" t="inlineStr">
        <is>
          <t>Control de inventario</t>
        </is>
      </c>
    </row>
    <row r="2">
      <c r="B2" s="16" t="inlineStr">
        <is>
          <t>Guía de uso</t>
        </is>
      </c>
    </row>
    <row r="4">
      <c r="A4" s="17" t="n">
        <v>1</v>
      </c>
      <c r="B4" s="18" t="inlineStr">
        <is>
          <t>Registra cada producto con su código, inventario inicial, costo y stock mínimo.</t>
        </is>
      </c>
    </row>
    <row r="5">
      <c r="A5" s="17" t="n">
        <v>2</v>
      </c>
      <c r="B5" s="18" t="inlineStr">
        <is>
          <t>Actualiza las columnas Entradas y Salidas con los totales del periodo.</t>
        </is>
      </c>
    </row>
    <row r="6">
      <c r="A6" s="17" t="n">
        <v>3</v>
      </c>
      <c r="B6" s="18" t="inlineStr">
        <is>
          <t>La existencia y el valor del inventario se calculan solos.</t>
        </is>
      </c>
    </row>
    <row r="7">
      <c r="A7" s="17" t="n">
        <v>4</v>
      </c>
      <c r="B7" s="18" t="inlineStr">
        <is>
          <t>La columna Estatus resalta en amarillo los productos por reabastecer y en rojo los agotados.</t>
        </is>
      </c>
    </row>
    <row r="9">
      <c r="B9" s="19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2026-10-07T17:42:41Z</dcterms:created>
  <dcterms:modified xmlns:dcterms="http://purl.org/dc/terms/" xmlns:xsi="http://www.w3.org/2001/XMLSchema-instance" xsi:type="dcterms:W3CDTF">2026-10-07T17:42:41Z</dcterms:modified>
</cp:coreProperties>
</file>