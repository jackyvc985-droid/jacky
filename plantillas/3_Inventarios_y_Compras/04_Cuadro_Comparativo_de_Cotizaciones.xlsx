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YUD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7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</font>
    <font>
      <name val="Abadi"/>
      <b val="1"/>
      <color rgb="00FFFFFF"/>
    </font>
    <font>
      <name val="Abadi"/>
      <i val="1"/>
      <color rgb="007F7F7F"/>
    </font>
    <font>
      <name val="Abadi"/>
      <b val="1"/>
      <color rgb="000E7C8B"/>
      <sz val="9"/>
    </font>
    <font>
      <name val="Abadi"/>
      <b val="1"/>
      <color rgb="000B2A4A"/>
      <sz val="18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17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dashed">
        <color rgb="00A6A6A6"/>
      </top>
    </border>
    <border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26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6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4" applyAlignment="1" pivotButton="0" quotePrefix="0" xfId="0">
      <alignment horizontal="center" vertical="center"/>
    </xf>
    <xf numFmtId="0" fontId="26" fillId="0" borderId="15" pivotButton="0" quotePrefix="0" xfId="0"/>
    <xf numFmtId="0" fontId="15" fillId="0" borderId="1" pivotButton="0" quotePrefix="0" xfId="0"/>
    <xf numFmtId="0" fontId="26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6" fillId="4" borderId="7" applyProtection="1" pivotButton="0" quotePrefix="0" xfId="0">
      <protection locked="0" hidden="0"/>
    </xf>
    <xf numFmtId="0" fontId="20" fillId="0" borderId="0" pivotButton="0" quotePrefix="0" xfId="0"/>
    <xf numFmtId="0" fontId="26" fillId="5" borderId="7" pivotButton="0" quotePrefix="0" xfId="0"/>
    <xf numFmtId="0" fontId="26" fillId="2" borderId="7" pivotButton="0" quotePrefix="0" xfId="0"/>
    <xf numFmtId="0" fontId="2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6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6" fillId="0" borderId="2" pivotButton="0" quotePrefix="0" xfId="0"/>
    <xf numFmtId="0" fontId="26" fillId="0" borderId="5" pivotButton="0" quotePrefix="0" xfId="0"/>
    <xf numFmtId="0" fontId="26" fillId="0" borderId="6" pivotButton="0" quotePrefix="0" xfId="0"/>
    <xf numFmtId="0" fontId="4" fillId="3" borderId="7" pivotButton="0" quotePrefix="0" xfId="0"/>
    <xf numFmtId="164" fontId="26" fillId="4" borderId="7" applyProtection="1" pivotButton="0" quotePrefix="0" xfId="0">
      <protection locked="0" hidden="0"/>
    </xf>
    <xf numFmtId="0" fontId="5" fillId="4" borderId="7" applyAlignment="1" applyProtection="1" pivotButton="0" quotePrefix="0" xfId="0">
      <alignment horizontal="center"/>
      <protection locked="0" hidden="0"/>
    </xf>
    <xf numFmtId="0" fontId="26" fillId="0" borderId="7" pivotButton="0" quotePrefix="0" xfId="0"/>
    <xf numFmtId="0" fontId="6" fillId="2" borderId="7" applyAlignment="1" pivotButton="0" quotePrefix="0" xfId="0">
      <alignment horizontal="center" vertical="center" wrapText="1"/>
    </xf>
    <xf numFmtId="0" fontId="26" fillId="5" borderId="7" applyAlignment="1" pivotButton="0" quotePrefix="0" xfId="0">
      <alignment horizontal="center"/>
    </xf>
    <xf numFmtId="165" fontId="26" fillId="4" borderId="7" applyProtection="1" pivotButton="0" quotePrefix="0" xfId="0">
      <protection locked="0" hidden="0"/>
    </xf>
    <xf numFmtId="166" fontId="26" fillId="4" borderId="7" applyProtection="1" pivotButton="0" quotePrefix="0" xfId="0">
      <protection locked="0" hidden="0"/>
    </xf>
    <xf numFmtId="166" fontId="26" fillId="5" borderId="7" pivotButton="0" quotePrefix="0" xfId="0"/>
    <xf numFmtId="0" fontId="5" fillId="0" borderId="0" pivotButton="0" quotePrefix="0" xfId="0"/>
    <xf numFmtId="166" fontId="5" fillId="3" borderId="7" pivotButton="0" quotePrefix="0" xfId="0"/>
    <xf numFmtId="0" fontId="4" fillId="0" borderId="0" pivotButton="0" quotePrefix="0" xfId="0"/>
    <xf numFmtId="0" fontId="7" fillId="0" borderId="0" pivotButton="0" quotePrefix="0" xfId="0"/>
    <xf numFmtId="0" fontId="26" fillId="0" borderId="8" pivotButton="0" quotePrefix="0" xfId="0"/>
    <xf numFmtId="0" fontId="26" fillId="0" borderId="9" pivotButton="0" quotePrefix="0" xfId="0"/>
    <xf numFmtId="0" fontId="8" fillId="3" borderId="10" applyAlignment="1" pivotButton="0" quotePrefix="0" xfId="0">
      <alignment horizontal="center" vertical="center"/>
    </xf>
    <xf numFmtId="0" fontId="26" fillId="3" borderId="11" pivotButton="0" quotePrefix="0" xfId="0"/>
    <xf numFmtId="49" fontId="9" fillId="6" borderId="12" applyAlignment="1" pivotButton="0" quotePrefix="0" xfId="0">
      <alignment horizontal="center" vertical="center"/>
    </xf>
    <xf numFmtId="0" fontId="26" fillId="6" borderId="13" pivotButton="0" quotePrefix="0" xfId="0"/>
    <xf numFmtId="166" fontId="9" fillId="6" borderId="12" applyAlignment="1" pivotButton="0" quotePrefix="0" xfId="0">
      <alignment horizontal="center" vertical="center"/>
    </xf>
    <xf numFmtId="0" fontId="22" fillId="2" borderId="0" applyAlignment="1" pivotButton="0" quotePrefix="0" xfId="0">
      <alignment vertical="center"/>
    </xf>
    <xf numFmtId="0" fontId="23" fillId="2" borderId="0" pivotButton="0" quotePrefix="0" xfId="0"/>
    <xf numFmtId="0" fontId="16" fillId="0" borderId="16" applyAlignment="1" pivotButton="0" quotePrefix="0" xfId="0">
      <alignment vertical="top" wrapText="1"/>
    </xf>
    <xf numFmtId="0" fontId="17" fillId="0" borderId="16" applyAlignment="1" pivotButton="0" quotePrefix="0" xfId="0">
      <alignment vertical="top" wrapText="1"/>
    </xf>
    <xf numFmtId="0" fontId="24" fillId="0" borderId="16" pivotButton="0" quotePrefix="0" xfId="0"/>
    <xf numFmtId="0" fontId="17" fillId="0" borderId="16" applyAlignment="1" pivotButton="0" quotePrefix="0" xfId="0">
      <alignment vertical="center" wrapText="1"/>
    </xf>
    <xf numFmtId="0" fontId="25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por proveedor (con IVA)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'RESUMEN'!C25</f>
            </strRef>
          </tx>
          <spPr>
            <a:solidFill xmlns:a="http://schemas.openxmlformats.org/drawingml/2006/main">
              <a:srgbClr val="0E7C8B"/>
            </a:solidFill>
            <a:ln xmlns:a="http://schemas.openxmlformats.org/drawingml/2006/main">
              <a:solidFill>
                <a:srgbClr val="0E7C8B"/>
              </a:solidFill>
              <a:prstDash val="solid"/>
            </a:ln>
          </spPr>
          <cat>
            <numRef>
              <f>'RESUMEN'!$B$26:$B$29</f>
            </numRef>
          </cat>
          <val>
            <numRef>
              <f>'RESUMEN'!$C$26:$C$29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84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CUADRO COMPARATIVO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36" customHeight="1">
      <c r="A17" s="4" t="n"/>
      <c r="B17" s="11" t="inlineStr">
        <is>
          <t>▸</t>
        </is>
      </c>
      <c r="C17" s="12" t="inlineStr">
        <is>
          <t>RESUMEN</t>
        </is>
      </c>
      <c r="D17" s="13" t="inlineStr">
        <is>
          <t>Tablero con indicadores y gráficas que se actualizan automáticamente con tus datos.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CÓMO USARLO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15" t="n">
        <v>1</v>
      </c>
      <c r="C21" s="13" t="inlineStr">
        <is>
          <t>Renombra los proveedores en la fila 6.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2</v>
      </c>
      <c r="C22" s="13" t="inlineStr">
        <is>
          <t>Captura descripción, unidad y cantidad de cada partida y el precio unitario ofrecido por proveedor.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3</v>
      </c>
      <c r="C23" s="13" t="inlineStr">
        <is>
          <t>Importes, IVA y total se calculan; abajo se indica el proveedor con el menor total.</t>
        </is>
      </c>
      <c r="D23" s="4" t="n"/>
      <c r="E23" s="4" t="n"/>
      <c r="F23" s="4" t="n"/>
      <c r="G23" s="4" t="n"/>
    </row>
    <row r="24" ht="21" customHeight="1">
      <c r="A24" s="4" t="n"/>
      <c r="B24" s="15" t="n">
        <v>4</v>
      </c>
      <c r="C24" s="13" t="inlineStr">
        <is>
          <t>Anota condiciones de pago y tiempos de entrega, pues el precio no es el único criterio.</t>
        </is>
      </c>
      <c r="D24" s="4" t="n"/>
      <c r="E24" s="4" t="n"/>
      <c r="F24" s="4" t="n"/>
      <c r="G24" s="4" t="n"/>
    </row>
    <row r="25" ht="36" customHeight="1">
      <c r="A25" s="4" t="n"/>
      <c r="B25" s="15" t="n">
        <v>5</v>
      </c>
      <c r="C25" s="13" t="inlineStr">
        <is>
          <t>Personaliza: inserta tu logotipo en el recuadro punteado de la esquina superior derecha (Insertar &gt; Imágenes) y captura los datos de tu empresa en las celdas de captura.</t>
        </is>
      </c>
      <c r="D25" s="4" t="n"/>
      <c r="E25" s="4" t="n"/>
      <c r="F25" s="4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RECOMENDACIONES DE USO</t>
        </is>
      </c>
      <c r="C27" s="10" t="n"/>
      <c r="D27" s="10" t="n"/>
      <c r="E27" s="10" t="n"/>
      <c r="F27" s="10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Solicita al menos tres cotizaciones con las mismas especificaciones.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El precio no es el único criterio: valora calidad, garantía, tiempo de entrega y crédito.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Si un proveedor no cotiza todas las partidas, no es comparable en el total.</t>
        </is>
      </c>
      <c r="D30" s="4" t="n"/>
      <c r="E30" s="4" t="n"/>
      <c r="F30" s="4" t="n"/>
      <c r="G30" s="4" t="n"/>
    </row>
    <row r="31" ht="21" customHeight="1">
      <c r="A31" s="4" t="n"/>
      <c r="B31" s="16" t="inlineStr">
        <is>
          <t>✓</t>
        </is>
      </c>
      <c r="C31" s="13" t="inlineStr">
        <is>
          <t>Archiva el cuadro como soporte de la decisión de compra.</t>
        </is>
      </c>
      <c r="D31" s="4" t="n"/>
      <c r="E31" s="4" t="n"/>
      <c r="F31" s="4" t="n"/>
      <c r="G31" s="4" t="n"/>
    </row>
    <row r="32">
      <c r="A32" s="4" t="n"/>
      <c r="B32" s="4" t="n"/>
      <c r="C32" s="4" t="n"/>
      <c r="D32" s="4" t="n"/>
      <c r="E32" s="4" t="n"/>
      <c r="F32" s="4" t="n"/>
      <c r="G32" s="4" t="n"/>
    </row>
    <row r="33" ht="24" customHeight="1">
      <c r="A33" s="4" t="n"/>
      <c r="B33" s="9" t="inlineStr">
        <is>
          <t>LEYENDA DE COLORES</t>
        </is>
      </c>
      <c r="C33" s="10" t="n"/>
      <c r="D33" s="10" t="n"/>
      <c r="E33" s="10" t="n"/>
      <c r="F33" s="10" t="n"/>
      <c r="G33" s="4" t="n"/>
    </row>
    <row r="34">
      <c r="A34" s="4" t="n"/>
      <c r="B34" s="17" t="inlineStr"/>
      <c r="C34" s="18" t="inlineStr">
        <is>
          <t>CELDA DE CAPTURA: escribe aquí.</t>
        </is>
      </c>
      <c r="D34" s="4" t="n"/>
      <c r="E34" s="4" t="n"/>
      <c r="F34" s="4" t="n"/>
      <c r="G34" s="4" t="n"/>
    </row>
    <row r="35">
      <c r="A35" s="4" t="n"/>
      <c r="B35" s="19" t="inlineStr"/>
      <c r="C35" s="18" t="inlineStr">
        <is>
          <t>CÁLCULO AUTOMÁTICO: no la modifiques.</t>
        </is>
      </c>
      <c r="D35" s="4" t="n"/>
      <c r="E35" s="4" t="n"/>
      <c r="F35" s="4" t="n"/>
      <c r="G35" s="4" t="n"/>
    </row>
    <row r="36">
      <c r="A36" s="4" t="n"/>
      <c r="B36" s="20" t="inlineStr"/>
      <c r="C36" s="18" t="inlineStr">
        <is>
          <t>ENCABEZADOS Y TÍTULOS.</t>
        </is>
      </c>
      <c r="D36" s="4" t="n"/>
      <c r="E36" s="4" t="n"/>
      <c r="F36" s="4" t="n"/>
      <c r="G36" s="4" t="n"/>
    </row>
    <row r="37">
      <c r="A37" s="4" t="n"/>
      <c r="B37" s="4" t="n"/>
      <c r="C37" s="4" t="n"/>
      <c r="D37" s="4" t="n"/>
      <c r="E37" s="4" t="n"/>
      <c r="F37" s="4" t="n"/>
      <c r="G37" s="4" t="n"/>
    </row>
    <row r="38" ht="26" customHeight="1">
      <c r="A38" s="1" t="n"/>
      <c r="B38" s="21" t="inlineStr">
        <is>
          <t>GRUPO CANVILLE  ·  Formatos administrativos  ·  Para uso interno de tu empresa</t>
        </is>
      </c>
      <c r="C38" s="4" t="n"/>
      <c r="D38" s="4" t="n"/>
      <c r="E38" s="4" t="n"/>
      <c r="F38" s="4" t="n"/>
      <c r="G3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C22:F22"/>
    <mergeCell ref="C31:F31"/>
    <mergeCell ref="C23:F23"/>
    <mergeCell ref="B6:F6"/>
    <mergeCell ref="B38:F38"/>
    <mergeCell ref="E2:F2"/>
    <mergeCell ref="D18:F18"/>
    <mergeCell ref="C21:F21"/>
    <mergeCell ref="C29:F29"/>
    <mergeCell ref="D17:F17"/>
    <mergeCell ref="C30:F30"/>
    <mergeCell ref="D16:F16"/>
    <mergeCell ref="C25:F25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L30"/>
  <sheetViews>
    <sheetView showGridLines="0" workbookViewId="0">
      <selection activeCell="A1" sqref="A1"/>
    </sheetView>
  </sheetViews>
  <sheetFormatPr baseColWidth="8" defaultRowHeight="15"/>
  <cols>
    <col width="19.25" customWidth="1" min="1" max="1"/>
    <col width="34" customWidth="1" min="2" max="2"/>
    <col width="11" customWidth="1" min="3" max="3"/>
    <col width="11" customWidth="1" min="4" max="4"/>
    <col width="13" customWidth="1" min="5" max="5"/>
    <col width="15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</cols>
  <sheetData>
    <row r="1" ht="44" customHeight="1">
      <c r="A1" s="22" t="inlineStr">
        <is>
          <t>CUADRO COMPARATIVO DE COTIZACIONES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23" t="inlineStr">
        <is>
          <t>INSERTE SU LOGO
(clic derecho &gt; Insertar imagen)</t>
        </is>
      </c>
      <c r="L1" s="24" t="n"/>
    </row>
    <row r="2" ht="26" customHeight="1">
      <c r="A2" s="25" t="inlineStr">
        <is>
          <t>Compara hasta 4 proveedores y selecciona la mejor opción</t>
        </is>
      </c>
      <c r="B2" s="26" t="n"/>
      <c r="C2" s="26" t="n"/>
      <c r="D2" s="26" t="n"/>
      <c r="E2" s="26" t="n"/>
      <c r="F2" s="26" t="n"/>
      <c r="G2" s="26" t="n"/>
      <c r="H2" s="26" t="n"/>
      <c r="I2" s="26" t="n"/>
      <c r="J2" s="26" t="n"/>
      <c r="K2" s="27" t="n"/>
      <c r="L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</row>
    <row r="4">
      <c r="A4" s="29" t="inlineStr">
        <is>
          <t>REQUISICIÓN NO.</t>
        </is>
      </c>
      <c r="B4" s="17" t="n"/>
      <c r="C4" s="17" t="n"/>
      <c r="D4" s="4" t="n"/>
      <c r="E4" s="29" t="inlineStr">
        <is>
          <t>FECHA</t>
        </is>
      </c>
      <c r="F4" s="30" t="n"/>
      <c r="G4" s="17" t="n"/>
      <c r="H4" s="4" t="n"/>
      <c r="I4" s="4" t="n"/>
      <c r="J4" s="4" t="n"/>
      <c r="K4" s="4" t="n"/>
      <c r="L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4" t="n"/>
      <c r="B6" s="4" t="n"/>
      <c r="C6" s="4" t="n"/>
      <c r="D6" s="4" t="n"/>
      <c r="E6" s="31" t="inlineStr">
        <is>
          <t>Proveedor A</t>
        </is>
      </c>
      <c r="F6" s="32" t="n"/>
      <c r="G6" s="31" t="inlineStr">
        <is>
          <t>Proveedor B</t>
        </is>
      </c>
      <c r="H6" s="32" t="n"/>
      <c r="I6" s="31" t="inlineStr">
        <is>
          <t>Proveedor C</t>
        </is>
      </c>
      <c r="J6" s="32" t="n"/>
      <c r="K6" s="31" t="inlineStr">
        <is>
          <t>Proveedor D</t>
        </is>
      </c>
      <c r="L6" s="32" t="n"/>
    </row>
    <row r="7" ht="32" customHeight="1">
      <c r="A7" s="33" t="inlineStr">
        <is>
          <t>PART.</t>
        </is>
      </c>
      <c r="B7" s="33" t="inlineStr">
        <is>
          <t>DESCRIPCIÓN</t>
        </is>
      </c>
      <c r="C7" s="33" t="inlineStr">
        <is>
          <t>UNIDAD</t>
        </is>
      </c>
      <c r="D7" s="33" t="inlineStr">
        <is>
          <t>CANTIDAD</t>
        </is>
      </c>
      <c r="E7" s="33" t="inlineStr">
        <is>
          <t>P. UNIT.</t>
        </is>
      </c>
      <c r="F7" s="33" t="inlineStr">
        <is>
          <t>IMPORTE</t>
        </is>
      </c>
      <c r="G7" s="33" t="inlineStr">
        <is>
          <t>P. UNIT.</t>
        </is>
      </c>
      <c r="H7" s="33" t="inlineStr">
        <is>
          <t>IMPORTE</t>
        </is>
      </c>
      <c r="I7" s="33" t="inlineStr">
        <is>
          <t>P. UNIT.</t>
        </is>
      </c>
      <c r="J7" s="33" t="inlineStr">
        <is>
          <t>IMPORTE</t>
        </is>
      </c>
      <c r="K7" s="33" t="inlineStr">
        <is>
          <t>P. UNIT.</t>
        </is>
      </c>
      <c r="L7" s="33" t="inlineStr">
        <is>
          <t>IMPORTE</t>
        </is>
      </c>
    </row>
    <row r="8">
      <c r="A8" s="34" t="n">
        <v>1</v>
      </c>
      <c r="B8" s="17" t="n"/>
      <c r="C8" s="17" t="n"/>
      <c r="D8" s="35" t="n"/>
      <c r="E8" s="36" t="n"/>
      <c r="F8" s="37">
        <f>IF(OR(E8="",$D8=""),"",E8*$D8)</f>
        <v/>
      </c>
      <c r="G8" s="36" t="n"/>
      <c r="H8" s="37">
        <f>IF(OR(G8="",$D8=""),"",G8*$D8)</f>
        <v/>
      </c>
      <c r="I8" s="36" t="n"/>
      <c r="J8" s="37">
        <f>IF(OR(I8="",$D8=""),"",I8*$D8)</f>
        <v/>
      </c>
      <c r="K8" s="36" t="n"/>
      <c r="L8" s="37">
        <f>IF(OR(K8="",$D8=""),"",K8*$D8)</f>
        <v/>
      </c>
    </row>
    <row r="9">
      <c r="A9" s="34" t="n">
        <v>2</v>
      </c>
      <c r="B9" s="17" t="n"/>
      <c r="C9" s="17" t="n"/>
      <c r="D9" s="35" t="n"/>
      <c r="E9" s="36" t="n"/>
      <c r="F9" s="37">
        <f>IF(OR(E9="",$D9=""),"",E9*$D9)</f>
        <v/>
      </c>
      <c r="G9" s="36" t="n"/>
      <c r="H9" s="37">
        <f>IF(OR(G9="",$D9=""),"",G9*$D9)</f>
        <v/>
      </c>
      <c r="I9" s="36" t="n"/>
      <c r="J9" s="37">
        <f>IF(OR(I9="",$D9=""),"",I9*$D9)</f>
        <v/>
      </c>
      <c r="K9" s="36" t="n"/>
      <c r="L9" s="37">
        <f>IF(OR(K9="",$D9=""),"",K9*$D9)</f>
        <v/>
      </c>
    </row>
    <row r="10">
      <c r="A10" s="34" t="n">
        <v>3</v>
      </c>
      <c r="B10" s="17" t="n"/>
      <c r="C10" s="17" t="n"/>
      <c r="D10" s="35" t="n"/>
      <c r="E10" s="36" t="n"/>
      <c r="F10" s="37">
        <f>IF(OR(E10="",$D10=""),"",E10*$D10)</f>
        <v/>
      </c>
      <c r="G10" s="36" t="n"/>
      <c r="H10" s="37">
        <f>IF(OR(G10="",$D10=""),"",G10*$D10)</f>
        <v/>
      </c>
      <c r="I10" s="36" t="n"/>
      <c r="J10" s="37">
        <f>IF(OR(I10="",$D10=""),"",I10*$D10)</f>
        <v/>
      </c>
      <c r="K10" s="36" t="n"/>
      <c r="L10" s="37">
        <f>IF(OR(K10="",$D10=""),"",K10*$D10)</f>
        <v/>
      </c>
    </row>
    <row r="11">
      <c r="A11" s="34" t="n">
        <v>4</v>
      </c>
      <c r="B11" s="17" t="n"/>
      <c r="C11" s="17" t="n"/>
      <c r="D11" s="35" t="n"/>
      <c r="E11" s="36" t="n"/>
      <c r="F11" s="37">
        <f>IF(OR(E11="",$D11=""),"",E11*$D11)</f>
        <v/>
      </c>
      <c r="G11" s="36" t="n"/>
      <c r="H11" s="37">
        <f>IF(OR(G11="",$D11=""),"",G11*$D11)</f>
        <v/>
      </c>
      <c r="I11" s="36" t="n"/>
      <c r="J11" s="37">
        <f>IF(OR(I11="",$D11=""),"",I11*$D11)</f>
        <v/>
      </c>
      <c r="K11" s="36" t="n"/>
      <c r="L11" s="37">
        <f>IF(OR(K11="",$D11=""),"",K11*$D11)</f>
        <v/>
      </c>
    </row>
    <row r="12">
      <c r="A12" s="34" t="n">
        <v>5</v>
      </c>
      <c r="B12" s="17" t="n"/>
      <c r="C12" s="17" t="n"/>
      <c r="D12" s="35" t="n"/>
      <c r="E12" s="36" t="n"/>
      <c r="F12" s="37">
        <f>IF(OR(E12="",$D12=""),"",E12*$D12)</f>
        <v/>
      </c>
      <c r="G12" s="36" t="n"/>
      <c r="H12" s="37">
        <f>IF(OR(G12="",$D12=""),"",G12*$D12)</f>
        <v/>
      </c>
      <c r="I12" s="36" t="n"/>
      <c r="J12" s="37">
        <f>IF(OR(I12="",$D12=""),"",I12*$D12)</f>
        <v/>
      </c>
      <c r="K12" s="36" t="n"/>
      <c r="L12" s="37">
        <f>IF(OR(K12="",$D12=""),"",K12*$D12)</f>
        <v/>
      </c>
    </row>
    <row r="13">
      <c r="A13" s="34" t="n">
        <v>6</v>
      </c>
      <c r="B13" s="17" t="n"/>
      <c r="C13" s="17" t="n"/>
      <c r="D13" s="35" t="n"/>
      <c r="E13" s="36" t="n"/>
      <c r="F13" s="37">
        <f>IF(OR(E13="",$D13=""),"",E13*$D13)</f>
        <v/>
      </c>
      <c r="G13" s="36" t="n"/>
      <c r="H13" s="37">
        <f>IF(OR(G13="",$D13=""),"",G13*$D13)</f>
        <v/>
      </c>
      <c r="I13" s="36" t="n"/>
      <c r="J13" s="37">
        <f>IF(OR(I13="",$D13=""),"",I13*$D13)</f>
        <v/>
      </c>
      <c r="K13" s="36" t="n"/>
      <c r="L13" s="37">
        <f>IF(OR(K13="",$D13=""),"",K13*$D13)</f>
        <v/>
      </c>
    </row>
    <row r="14">
      <c r="A14" s="34" t="n">
        <v>7</v>
      </c>
      <c r="B14" s="17" t="n"/>
      <c r="C14" s="17" t="n"/>
      <c r="D14" s="35" t="n"/>
      <c r="E14" s="36" t="n"/>
      <c r="F14" s="37">
        <f>IF(OR(E14="",$D14=""),"",E14*$D14)</f>
        <v/>
      </c>
      <c r="G14" s="36" t="n"/>
      <c r="H14" s="37">
        <f>IF(OR(G14="",$D14=""),"",G14*$D14)</f>
        <v/>
      </c>
      <c r="I14" s="36" t="n"/>
      <c r="J14" s="37">
        <f>IF(OR(I14="",$D14=""),"",I14*$D14)</f>
        <v/>
      </c>
      <c r="K14" s="36" t="n"/>
      <c r="L14" s="37">
        <f>IF(OR(K14="",$D14=""),"",K14*$D14)</f>
        <v/>
      </c>
    </row>
    <row r="15">
      <c r="A15" s="34" t="n">
        <v>8</v>
      </c>
      <c r="B15" s="17" t="n"/>
      <c r="C15" s="17" t="n"/>
      <c r="D15" s="35" t="n"/>
      <c r="E15" s="36" t="n"/>
      <c r="F15" s="37">
        <f>IF(OR(E15="",$D15=""),"",E15*$D15)</f>
        <v/>
      </c>
      <c r="G15" s="36" t="n"/>
      <c r="H15" s="37">
        <f>IF(OR(G15="",$D15=""),"",G15*$D15)</f>
        <v/>
      </c>
      <c r="I15" s="36" t="n"/>
      <c r="J15" s="37">
        <f>IF(OR(I15="",$D15=""),"",I15*$D15)</f>
        <v/>
      </c>
      <c r="K15" s="36" t="n"/>
      <c r="L15" s="37">
        <f>IF(OR(K15="",$D15=""),"",K15*$D15)</f>
        <v/>
      </c>
    </row>
    <row r="16">
      <c r="A16" s="34" t="n">
        <v>9</v>
      </c>
      <c r="B16" s="17" t="n"/>
      <c r="C16" s="17" t="n"/>
      <c r="D16" s="35" t="n"/>
      <c r="E16" s="36" t="n"/>
      <c r="F16" s="37">
        <f>IF(OR(E16="",$D16=""),"",E16*$D16)</f>
        <v/>
      </c>
      <c r="G16" s="36" t="n"/>
      <c r="H16" s="37">
        <f>IF(OR(G16="",$D16=""),"",G16*$D16)</f>
        <v/>
      </c>
      <c r="I16" s="36" t="n"/>
      <c r="J16" s="37">
        <f>IF(OR(I16="",$D16=""),"",I16*$D16)</f>
        <v/>
      </c>
      <c r="K16" s="36" t="n"/>
      <c r="L16" s="37">
        <f>IF(OR(K16="",$D16=""),"",K16*$D16)</f>
        <v/>
      </c>
    </row>
    <row r="17">
      <c r="A17" s="34" t="n">
        <v>10</v>
      </c>
      <c r="B17" s="17" t="n"/>
      <c r="C17" s="17" t="n"/>
      <c r="D17" s="35" t="n"/>
      <c r="E17" s="36" t="n"/>
      <c r="F17" s="37">
        <f>IF(OR(E17="",$D17=""),"",E17*$D17)</f>
        <v/>
      </c>
      <c r="G17" s="36" t="n"/>
      <c r="H17" s="37">
        <f>IF(OR(G17="",$D17=""),"",G17*$D17)</f>
        <v/>
      </c>
      <c r="I17" s="36" t="n"/>
      <c r="J17" s="37">
        <f>IF(OR(I17="",$D17=""),"",I17*$D17)</f>
        <v/>
      </c>
      <c r="K17" s="36" t="n"/>
      <c r="L17" s="37">
        <f>IF(OR(K17="",$D17=""),"",K17*$D17)</f>
        <v/>
      </c>
    </row>
    <row r="18">
      <c r="A18" s="34" t="n">
        <v>11</v>
      </c>
      <c r="B18" s="17" t="n"/>
      <c r="C18" s="17" t="n"/>
      <c r="D18" s="35" t="n"/>
      <c r="E18" s="36" t="n"/>
      <c r="F18" s="37">
        <f>IF(OR(E18="",$D18=""),"",E18*$D18)</f>
        <v/>
      </c>
      <c r="G18" s="36" t="n"/>
      <c r="H18" s="37">
        <f>IF(OR(G18="",$D18=""),"",G18*$D18)</f>
        <v/>
      </c>
      <c r="I18" s="36" t="n"/>
      <c r="J18" s="37">
        <f>IF(OR(I18="",$D18=""),"",I18*$D18)</f>
        <v/>
      </c>
      <c r="K18" s="36" t="n"/>
      <c r="L18" s="37">
        <f>IF(OR(K18="",$D18=""),"",K18*$D18)</f>
        <v/>
      </c>
    </row>
    <row r="19">
      <c r="A19" s="34" t="n">
        <v>12</v>
      </c>
      <c r="B19" s="17" t="n"/>
      <c r="C19" s="17" t="n"/>
      <c r="D19" s="35" t="n"/>
      <c r="E19" s="36" t="n"/>
      <c r="F19" s="37">
        <f>IF(OR(E19="",$D19=""),"",E19*$D19)</f>
        <v/>
      </c>
      <c r="G19" s="36" t="n"/>
      <c r="H19" s="37">
        <f>IF(OR(G19="",$D19=""),"",G19*$D19)</f>
        <v/>
      </c>
      <c r="I19" s="36" t="n"/>
      <c r="J19" s="37">
        <f>IF(OR(I19="",$D19=""),"",I19*$D19)</f>
        <v/>
      </c>
      <c r="K19" s="36" t="n"/>
      <c r="L19" s="37">
        <f>IF(OR(K19="",$D19=""),"",K19*$D19)</f>
        <v/>
      </c>
    </row>
    <row r="20">
      <c r="A20" s="34" t="n">
        <v>13</v>
      </c>
      <c r="B20" s="17" t="n"/>
      <c r="C20" s="17" t="n"/>
      <c r="D20" s="35" t="n"/>
      <c r="E20" s="36" t="n"/>
      <c r="F20" s="37">
        <f>IF(OR(E20="",$D20=""),"",E20*$D20)</f>
        <v/>
      </c>
      <c r="G20" s="36" t="n"/>
      <c r="H20" s="37">
        <f>IF(OR(G20="",$D20=""),"",G20*$D20)</f>
        <v/>
      </c>
      <c r="I20" s="36" t="n"/>
      <c r="J20" s="37">
        <f>IF(OR(I20="",$D20=""),"",I20*$D20)</f>
        <v/>
      </c>
      <c r="K20" s="36" t="n"/>
      <c r="L20" s="37">
        <f>IF(OR(K20="",$D20=""),"",K20*$D20)</f>
        <v/>
      </c>
    </row>
    <row r="21">
      <c r="A21" s="34" t="n">
        <v>14</v>
      </c>
      <c r="B21" s="17" t="n"/>
      <c r="C21" s="17" t="n"/>
      <c r="D21" s="35" t="n"/>
      <c r="E21" s="36" t="n"/>
      <c r="F21" s="37">
        <f>IF(OR(E21="",$D21=""),"",E21*$D21)</f>
        <v/>
      </c>
      <c r="G21" s="36" t="n"/>
      <c r="H21" s="37">
        <f>IF(OR(G21="",$D21=""),"",G21*$D21)</f>
        <v/>
      </c>
      <c r="I21" s="36" t="n"/>
      <c r="J21" s="37">
        <f>IF(OR(I21="",$D21=""),"",I21*$D21)</f>
        <v/>
      </c>
      <c r="K21" s="36" t="n"/>
      <c r="L21" s="37">
        <f>IF(OR(K21="",$D21=""),"",K21*$D21)</f>
        <v/>
      </c>
    </row>
    <row r="22">
      <c r="A22" s="34" t="n">
        <v>15</v>
      </c>
      <c r="B22" s="17" t="n"/>
      <c r="C22" s="17" t="n"/>
      <c r="D22" s="35" t="n"/>
      <c r="E22" s="36" t="n"/>
      <c r="F22" s="37">
        <f>IF(OR(E22="",$D22=""),"",E22*$D22)</f>
        <v/>
      </c>
      <c r="G22" s="36" t="n"/>
      <c r="H22" s="37">
        <f>IF(OR(G22="",$D22=""),"",G22*$D22)</f>
        <v/>
      </c>
      <c r="I22" s="36" t="n"/>
      <c r="J22" s="37">
        <f>IF(OR(I22="",$D22=""),"",I22*$D22)</f>
        <v/>
      </c>
      <c r="K22" s="36" t="n"/>
      <c r="L22" s="37">
        <f>IF(OR(K22="",$D22=""),"",K22*$D22)</f>
        <v/>
      </c>
    </row>
    <row r="23">
      <c r="A23" s="4" t="n"/>
      <c r="B23" s="38" t="inlineStr">
        <is>
          <t>SUBTOTAL</t>
        </is>
      </c>
      <c r="C23" s="4" t="n"/>
      <c r="D23" s="4" t="n"/>
      <c r="E23" s="4" t="n"/>
      <c r="F23" s="39">
        <f>SUM(F8:F22)</f>
        <v/>
      </c>
      <c r="G23" s="4" t="n"/>
      <c r="H23" s="39">
        <f>SUM(H8:H22)</f>
        <v/>
      </c>
      <c r="I23" s="4" t="n"/>
      <c r="J23" s="39">
        <f>SUM(J8:J22)</f>
        <v/>
      </c>
      <c r="K23" s="4" t="n"/>
      <c r="L23" s="39">
        <f>SUM(L8:L22)</f>
        <v/>
      </c>
    </row>
    <row r="24">
      <c r="A24" s="4" t="n"/>
      <c r="B24" s="38" t="inlineStr">
        <is>
          <t>IVA 16%</t>
        </is>
      </c>
      <c r="C24" s="4" t="n"/>
      <c r="D24" s="4" t="n"/>
      <c r="E24" s="4" t="n"/>
      <c r="F24" s="39">
        <f>ROUND(F23*0.16,2)</f>
        <v/>
      </c>
      <c r="G24" s="4" t="n"/>
      <c r="H24" s="39">
        <f>ROUND(H23*0.16,2)</f>
        <v/>
      </c>
      <c r="I24" s="4" t="n"/>
      <c r="J24" s="39">
        <f>ROUND(J23*0.16,2)</f>
        <v/>
      </c>
      <c r="K24" s="4" t="n"/>
      <c r="L24" s="39">
        <f>ROUND(L23*0.16,2)</f>
        <v/>
      </c>
    </row>
    <row r="25">
      <c r="A25" s="4" t="n"/>
      <c r="B25" s="38" t="inlineStr">
        <is>
          <t>TOTAL</t>
        </is>
      </c>
      <c r="C25" s="4" t="n"/>
      <c r="D25" s="4" t="n"/>
      <c r="E25" s="4" t="n"/>
      <c r="F25" s="39">
        <f>F23+F24</f>
        <v/>
      </c>
      <c r="G25" s="4" t="n"/>
      <c r="H25" s="39">
        <f>H23+H24</f>
        <v/>
      </c>
      <c r="I25" s="4" t="n"/>
      <c r="J25" s="39">
        <f>J23+J24</f>
        <v/>
      </c>
      <c r="K25" s="4" t="n"/>
      <c r="L25" s="39">
        <f>L23+L24</f>
        <v/>
      </c>
    </row>
    <row r="26">
      <c r="A26" s="4" t="n"/>
      <c r="B26" s="4" t="inlineStr">
        <is>
          <t>CONDICIONES DE PAGO</t>
        </is>
      </c>
      <c r="C26" s="4" t="n"/>
      <c r="D26" s="4" t="n"/>
      <c r="E26" s="4" t="n"/>
      <c r="F26" s="17" t="n"/>
      <c r="G26" s="4" t="n"/>
      <c r="H26" s="17" t="n"/>
      <c r="I26" s="4" t="n"/>
      <c r="J26" s="17" t="n"/>
      <c r="K26" s="4" t="n"/>
      <c r="L26" s="17" t="n"/>
    </row>
    <row r="27">
      <c r="A27" s="4" t="n"/>
      <c r="B27" s="4" t="inlineStr">
        <is>
          <t>TIEMPO DE ENTREGA (DÍAS)</t>
        </is>
      </c>
      <c r="C27" s="4" t="n"/>
      <c r="D27" s="4" t="n"/>
      <c r="E27" s="4" t="n"/>
      <c r="F27" s="17" t="n"/>
      <c r="G27" s="4" t="n"/>
      <c r="H27" s="17" t="n"/>
      <c r="I27" s="4" t="n"/>
      <c r="J27" s="17" t="n"/>
      <c r="K27" s="4" t="n"/>
      <c r="L27" s="17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>
      <c r="A29" s="4" t="n"/>
      <c r="B29" s="40" t="inlineStr">
        <is>
          <t>MEJOR OPCIÓN (MENOR TOTAL)</t>
        </is>
      </c>
      <c r="C29" s="4" t="n"/>
      <c r="D29" s="4" t="n"/>
      <c r="E29" s="38">
        <f>IF(MIN(IF(F25=0,1E+99,F25),IF(H25=0,1E+99,H25),IF(J25=0,1E+99,J25),IF(L25=0,1E+99,L25))=1E+99,"",IF(F25=MIN(IF(F25=0,1E+99,F25),IF(H25=0,1E+99,H25),IF(J25=0,1E+99,J25),IF(L25=0,1E+99,L25)),E6,IF(H25=MIN(IF(F25=0,1E+99,F25),IF(H25=0,1E+99,H25),IF(J25=0,1E+99,J25),IF(L25=0,1E+99,L25)),G6,IF(J25=MIN(IF(F25=0,1E+99,F25),IF(H25=0,1E+99,H25),IF(J25=0,1E+99,J25),IF(L25=0,1E+99,L25)),I6,IF(L25=MIN(IF(F25=0,1E+99,F25),IF(H25=0,1E+99,H25),IF(J25=0,1E+99,J25),IF(L25=0,1E+99,L25)),K6,"")))))</f>
        <v/>
      </c>
      <c r="F29" s="4" t="n"/>
      <c r="G29" s="4" t="n"/>
      <c r="H29" s="4" t="n"/>
      <c r="I29" s="4" t="n"/>
      <c r="J29" s="4" t="n"/>
      <c r="K29" s="4" t="n"/>
      <c r="L29" s="4" t="n"/>
    </row>
    <row r="30">
      <c r="A30" s="4" t="n"/>
      <c r="B30" s="41" t="inlineStr">
        <is>
          <t>Nota: si un proveedor no cotiza todas las partidas, su total no es comparable.</t>
        </is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9">
    <mergeCell ref="F4:G4"/>
    <mergeCell ref="A1:J1"/>
    <mergeCell ref="E6:F6"/>
    <mergeCell ref="I6:J6"/>
    <mergeCell ref="K1:L2"/>
    <mergeCell ref="G6:H6"/>
    <mergeCell ref="A2:J2"/>
    <mergeCell ref="K6:L6"/>
    <mergeCell ref="B4:C4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22" t="inlineStr">
        <is>
          <t>RESUMEN DE COTIZACIONES</t>
        </is>
      </c>
      <c r="B1" s="1" t="n"/>
      <c r="C1" s="1" t="n"/>
      <c r="D1" s="1" t="n"/>
      <c r="E1" s="1" t="n"/>
      <c r="F1" s="1" t="n"/>
      <c r="G1" s="1" t="n"/>
      <c r="H1" s="23" t="inlineStr">
        <is>
          <t>INSERTE SU LOGO
(clic derecho &gt; Insertar imagen)</t>
        </is>
      </c>
      <c r="I1" s="42" t="n"/>
      <c r="J1" s="24" t="n"/>
    </row>
    <row r="2" ht="26" customHeight="1">
      <c r="A2" s="25" t="inlineStr">
        <is>
          <t>Comparativo de totales por proveedor</t>
        </is>
      </c>
      <c r="B2" s="26" t="n"/>
      <c r="C2" s="26" t="n"/>
      <c r="D2" s="26" t="n"/>
      <c r="E2" s="26" t="n"/>
      <c r="F2" s="26" t="n"/>
      <c r="G2" s="26" t="n"/>
      <c r="H2" s="27" t="n"/>
      <c r="I2" s="43" t="n"/>
      <c r="J2" s="28" t="n"/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</row>
    <row r="4" ht="20" customHeight="1">
      <c r="A4" s="4" t="n"/>
      <c r="B4" s="44" t="inlineStr">
        <is>
          <t>MEJOR OPCIÓN</t>
        </is>
      </c>
      <c r="C4" s="45" t="n"/>
      <c r="D4" s="44" t="inlineStr">
        <is>
          <t>TOTAL MÁS BAJO</t>
        </is>
      </c>
      <c r="E4" s="45" t="n"/>
      <c r="F4" s="44" t="inlineStr">
        <is>
          <t>TOTAL MÁS ALTO</t>
        </is>
      </c>
      <c r="G4" s="45" t="n"/>
      <c r="H4" s="44" t="inlineStr">
        <is>
          <t>AHORRO POTENCIAL</t>
        </is>
      </c>
      <c r="I4" s="45" t="n"/>
      <c r="J4" s="4" t="n"/>
    </row>
    <row r="5" ht="36" customHeight="1">
      <c r="A5" s="4" t="n"/>
      <c r="B5" s="46">
        <f>FORMATO!E29</f>
        <v/>
      </c>
      <c r="C5" s="47" t="n"/>
      <c r="D5" s="48">
        <f>IFERROR(MIN(C26:C29),0)</f>
        <v/>
      </c>
      <c r="E5" s="47" t="n"/>
      <c r="F5" s="48">
        <f>IFERROR(MAX(C26:C29),0)</f>
        <v/>
      </c>
      <c r="G5" s="47" t="n"/>
      <c r="H5" s="48">
        <f>F5-D5</f>
        <v/>
      </c>
      <c r="I5" s="47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</row>
    <row r="25" ht="32" customHeight="1">
      <c r="A25" s="4" t="n"/>
      <c r="B25" s="33" t="inlineStr">
        <is>
          <t>PROVEEDOR</t>
        </is>
      </c>
      <c r="C25" s="33" t="inlineStr">
        <is>
          <t>TOTAL CON IVA</t>
        </is>
      </c>
      <c r="D25" s="4" t="n"/>
      <c r="E25" s="4" t="n"/>
      <c r="F25" s="4" t="n"/>
      <c r="G25" s="4" t="n"/>
      <c r="H25" s="4" t="n"/>
      <c r="I25" s="4" t="n"/>
      <c r="J25" s="4" t="n"/>
    </row>
    <row r="26">
      <c r="A26" s="4" t="n"/>
      <c r="B26" s="32">
        <f>IF(FORMATO!E6="","PROVEEDOR A",FORMATO!E6)</f>
        <v/>
      </c>
      <c r="C26" s="37">
        <f>IF(FORMATO!F25=0,"",FORMATO!F25)</f>
        <v/>
      </c>
      <c r="D26" s="4" t="n"/>
      <c r="E26" s="4" t="n"/>
      <c r="F26" s="4" t="n"/>
      <c r="G26" s="4" t="n"/>
      <c r="H26" s="4" t="n"/>
      <c r="I26" s="4" t="n"/>
      <c r="J26" s="4" t="n"/>
    </row>
    <row r="27">
      <c r="A27" s="4" t="n"/>
      <c r="B27" s="32">
        <f>IF(FORMATO!G6="","PROVEEDOR B",FORMATO!G6)</f>
        <v/>
      </c>
      <c r="C27" s="37">
        <f>IF(FORMATO!H25=0,"",FORMATO!H25)</f>
        <v/>
      </c>
      <c r="D27" s="4" t="n"/>
      <c r="E27" s="4" t="n"/>
      <c r="F27" s="4" t="n"/>
      <c r="G27" s="4" t="n"/>
      <c r="H27" s="4" t="n"/>
      <c r="I27" s="4" t="n"/>
      <c r="J27" s="4" t="n"/>
    </row>
    <row r="28">
      <c r="A28" s="4" t="n"/>
      <c r="B28" s="32">
        <f>IF(FORMATO!I6="","PROVEEDOR C",FORMATO!I6)</f>
        <v/>
      </c>
      <c r="C28" s="37">
        <f>IF(FORMATO!J25=0,"",FORMATO!J25)</f>
        <v/>
      </c>
      <c r="D28" s="4" t="n"/>
      <c r="E28" s="4" t="n"/>
      <c r="F28" s="4" t="n"/>
      <c r="G28" s="4" t="n"/>
      <c r="H28" s="4" t="n"/>
      <c r="I28" s="4" t="n"/>
      <c r="J28" s="4" t="n"/>
    </row>
    <row r="29">
      <c r="A29" s="4" t="n"/>
      <c r="B29" s="32">
        <f>IF(FORMATO!K6="","PROVEEDOR D",FORMATO!K6)</f>
        <v/>
      </c>
      <c r="C29" s="37">
        <f>IF(FORMATO!L25=0,"",FORMATO!L25)</f>
        <v/>
      </c>
      <c r="D29" s="4" t="n"/>
      <c r="E29" s="4" t="n"/>
      <c r="F29" s="4" t="n"/>
      <c r="G29" s="4" t="n"/>
      <c r="H29" s="4" t="n"/>
      <c r="I29" s="4" t="n"/>
      <c r="J29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9" t="inlineStr">
        <is>
          <t>AYUDA Y PREGUNTAS FRECUENTES</t>
        </is>
      </c>
      <c r="C1" s="4" t="n"/>
      <c r="D1" s="4" t="n"/>
      <c r="E1" s="1" t="n"/>
    </row>
    <row r="2">
      <c r="A2" s="1" t="n"/>
      <c r="B2" s="50" t="inlineStr">
        <is>
          <t>CUADRO COMPARATIVO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51" t="inlineStr">
        <is>
          <t>¿Cuántos proveedores puedo comparar?</t>
        </is>
      </c>
      <c r="D6" s="52" t="inlineStr">
        <is>
          <t>Hasta cuatro.</t>
        </is>
      </c>
      <c r="E6" s="4" t="n"/>
    </row>
    <row r="7" ht="38" customHeight="1">
      <c r="A7" s="4" t="n"/>
      <c r="B7" s="4" t="n"/>
      <c r="C7" s="51" t="inlineStr">
        <is>
          <t>¿Cómo decido si el más barato no es el mejor?</t>
        </is>
      </c>
      <c r="D7" s="52" t="inlineStr">
        <is>
          <t>Anota la justificación y adjunta la autorización del responsable.</t>
        </is>
      </c>
      <c r="E7" s="4" t="n"/>
    </row>
    <row r="8" ht="53" customHeight="1">
      <c r="A8" s="4" t="n"/>
      <c r="B8" s="4" t="n"/>
      <c r="C8" s="51" t="inlineStr">
        <is>
          <t>¿Por qué no puedo escribir en algunas celdas?</t>
        </is>
      </c>
      <c r="D8" s="52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1" t="inlineStr">
        <is>
          <t>¿Cómo agrego mi logotipo?</t>
        </is>
      </c>
      <c r="D9" s="52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1" t="inlineStr">
        <is>
          <t>¿Cómo lo imprimo o lo convierto a PDF?</t>
        </is>
      </c>
      <c r="D10" s="52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1" t="inlineStr">
        <is>
          <t>¿Con qué versiones de Excel funciona?</t>
        </is>
      </c>
      <c r="D11" s="52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1" t="inlineStr">
        <is>
          <t>¿Por qué la letra se ve diferente?</t>
        </is>
      </c>
      <c r="D12" s="52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51" t="inlineStr">
        <is>
          <t>¿Puedo usarlo en varias empresas o por varios años?</t>
        </is>
      </c>
      <c r="D13" s="52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3" t="inlineStr">
        <is>
          <t>COTIZACIÓN</t>
        </is>
      </c>
      <c r="D16" s="54" t="inlineStr">
        <is>
          <t>Oferta formal de precio por parte de un proveedor.</t>
        </is>
      </c>
      <c r="E16" s="4" t="n"/>
    </row>
    <row r="17" ht="21" customHeight="1">
      <c r="A17" s="4" t="n"/>
      <c r="B17" s="4" t="n"/>
      <c r="C17" s="53" t="inlineStr">
        <is>
          <t>REQUISICIÓN</t>
        </is>
      </c>
      <c r="D17" s="54" t="inlineStr">
        <is>
          <t>Solicitud interna de compra.</t>
        </is>
      </c>
      <c r="E17" s="4" t="n"/>
    </row>
    <row r="18" ht="21" customHeight="1">
      <c r="A18" s="4" t="n"/>
      <c r="B18" s="4" t="n"/>
      <c r="C18" s="53" t="inlineStr">
        <is>
          <t>CONDICIONES COMERCIALES</t>
        </is>
      </c>
      <c r="D18" s="54" t="inlineStr">
        <is>
          <t>Crédito, garantía y entrega.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55" t="inlineStr">
        <is>
          <t>☐</t>
        </is>
      </c>
      <c r="C21" s="56" t="inlineStr">
        <is>
          <t>Requisición autorizada</t>
        </is>
      </c>
      <c r="D21" s="4" t="n"/>
      <c r="E21" s="4" t="n"/>
    </row>
    <row r="22" ht="20" customHeight="1">
      <c r="A22" s="4" t="n"/>
      <c r="B22" s="55" t="inlineStr">
        <is>
          <t>☐</t>
        </is>
      </c>
      <c r="C22" s="56" t="inlineStr">
        <is>
          <t>Cotizaciones recibidas con la misma especificación</t>
        </is>
      </c>
      <c r="D22" s="4" t="n"/>
      <c r="E22" s="4" t="n"/>
    </row>
    <row r="23" ht="20" customHeight="1">
      <c r="A23" s="4" t="n"/>
      <c r="B23" s="55" t="inlineStr">
        <is>
          <t>☐</t>
        </is>
      </c>
      <c r="C23" s="56" t="inlineStr">
        <is>
          <t>Cuadro llenado y firmado</t>
        </is>
      </c>
      <c r="D23" s="4" t="n"/>
      <c r="E23" s="4" t="n"/>
    </row>
    <row r="24" ht="20" customHeight="1">
      <c r="A24" s="4" t="n"/>
      <c r="B24" s="55" t="inlineStr">
        <is>
          <t>☐</t>
        </is>
      </c>
      <c r="C24" s="56" t="inlineStr">
        <is>
          <t>Proveedor seleccionado notificado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2026-10-07T21:52:20Z</dcterms:created>
  <dcterms:modified xmlns:dcterms="http://purl.org/dc/terms/" xmlns:xsi="http://www.w3.org/2001/XMLSchema-instance" xsi:type="dcterms:W3CDTF">2026-10-07T21:52:20Z</dcterms:modified>
</cp:coreProperties>
</file>