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FORMATO" sheetId="2" state="visible" r:id="rId2"/>
    <sheet xmlns:r="http://schemas.openxmlformats.org/officeDocument/2006/relationships" name="RESUMEN" sheetId="3" state="visible" r:id="rId3"/>
    <sheet xmlns:r="http://schemas.openxmlformats.org/officeDocument/2006/relationships" name="AYUD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##"/>
    <numFmt numFmtId="166" formatCode="&quot;$&quot;#,##0.00"/>
  </numFmts>
  <fonts count="25">
    <font>
      <name val="Calibri"/>
      <family val="2"/>
      <color theme="1"/>
      <sz val="11"/>
      <scheme val="minor"/>
    </font>
    <font>
      <name val="Abadi"/>
      <b val="1"/>
      <color rgb="00FFFFFF"/>
      <sz val="20"/>
    </font>
    <font>
      <name val="Abadi"/>
      <i val="1"/>
      <color rgb="005B6B78"/>
      <sz val="10"/>
    </font>
    <font>
      <name val="Abadi"/>
      <i val="1"/>
      <color rgb="00A6A6A6"/>
      <sz val="8"/>
    </font>
    <font>
      <name val="Abadi"/>
      <b val="1"/>
      <color rgb="000E7C8B"/>
    </font>
    <font>
      <name val="Abadi"/>
      <b val="1"/>
      <color rgb="00FFFFFF"/>
    </font>
    <font>
      <name val="Abadi"/>
      <b val="1"/>
      <color rgb="000E7C8B"/>
      <sz val="9"/>
    </font>
    <font>
      <name val="Abadi"/>
      <b val="1"/>
      <color rgb="000B2A4A"/>
      <sz val="18"/>
    </font>
    <font>
      <name val="Abadi"/>
      <b val="1"/>
      <color rgb="00C9A227"/>
      <sz val="11"/>
    </font>
    <font>
      <name val="Abadi"/>
      <b val="1"/>
      <color rgb="00C9D3DB"/>
      <sz val="9"/>
    </font>
    <font>
      <name val="Abadi"/>
      <b val="1"/>
      <color rgb="00FFFFFF"/>
      <sz val="30"/>
    </font>
    <font>
      <name val="Abadi"/>
      <i val="1"/>
      <color rgb="00C9D3DB"/>
      <sz val="12"/>
    </font>
    <font>
      <name val="Abadi"/>
      <b val="1"/>
      <color rgb="00C9A227"/>
      <sz val="9"/>
    </font>
    <font>
      <name val="Abadi"/>
      <b val="1"/>
      <color rgb="000E7C8B"/>
      <sz val="12"/>
    </font>
    <font>
      <name val="Abadi"/>
      <b val="1"/>
      <color rgb="000B2A4A"/>
      <sz val="10"/>
    </font>
    <font>
      <name val="Abadi"/>
      <color rgb="002B2B2B"/>
      <sz val="10"/>
    </font>
    <font>
      <name val="Abadi"/>
      <b val="1"/>
      <color rgb="00C9A227"/>
      <sz val="12"/>
    </font>
    <font>
      <name val="Abadi"/>
      <b val="1"/>
      <color rgb="000E7C8B"/>
      <sz val="11"/>
    </font>
    <font>
      <name val="Abadi"/>
      <color rgb="005B6B78"/>
      <sz val="10"/>
    </font>
    <font>
      <name val="Abadi"/>
      <color rgb="00C9D3DB"/>
      <sz val="9"/>
    </font>
    <font>
      <name val="Abadi"/>
      <b val="1"/>
      <color rgb="00FFFFFF"/>
      <sz val="18"/>
    </font>
    <font>
      <name val="Abadi"/>
      <b val="1"/>
      <color rgb="00C9A227"/>
      <sz val="10"/>
    </font>
    <font>
      <name val="Abadi"/>
      <b val="1"/>
      <color rgb="000E7C8B"/>
      <sz val="10"/>
    </font>
    <font>
      <name val="Abadi"/>
      <color rgb="000B2A4A"/>
      <sz val="12"/>
    </font>
    <font>
      <name val="Abadi"/>
      <color theme="1"/>
      <sz val="11"/>
    </font>
  </fonts>
  <fills count="7">
    <fill>
      <patternFill/>
    </fill>
    <fill>
      <patternFill patternType="gray125"/>
    </fill>
    <fill>
      <patternFill patternType="solid">
        <fgColor rgb="000B2A4A"/>
      </patternFill>
    </fill>
    <fill>
      <patternFill patternType="solid">
        <fgColor rgb="00E6ECF1"/>
      </patternFill>
    </fill>
    <fill>
      <patternFill patternType="solid">
        <fgColor rgb="00FFFCF0"/>
      </patternFill>
    </fill>
    <fill>
      <patternFill patternType="solid">
        <fgColor rgb="00EEF2F5"/>
      </patternFill>
    </fill>
    <fill>
      <patternFill patternType="solid">
        <fgColor rgb="00FFFFFF"/>
      </patternFill>
    </fill>
  </fills>
  <borders count="17">
    <border>
      <left/>
      <right/>
      <top/>
      <bottom/>
      <diagonal/>
    </border>
    <border>
      <bottom style="medium">
        <color rgb="00C9A227"/>
      </bottom>
    </border>
    <border>
      <left/>
      <right/>
      <top/>
      <bottom style="medium">
        <color rgb="00C9A227"/>
      </bottom>
      <diagonal/>
    </border>
    <border>
      <left style="dashed">
        <color rgb="00A6A6A6"/>
      </left>
      <top style="dashed">
        <color rgb="00A6A6A6"/>
      </top>
    </border>
    <border>
      <right style="dashed">
        <color rgb="00A6A6A6"/>
      </right>
      <top style="dashed">
        <color rgb="00A6A6A6"/>
      </top>
    </border>
    <border>
      <left style="dashed">
        <color rgb="00A6A6A6"/>
      </left>
      <bottom style="dashed">
        <color rgb="00A6A6A6"/>
      </bottom>
    </border>
    <border>
      <right style="dashed">
        <color rgb="00A6A6A6"/>
      </right>
      <bottom style="dashed">
        <color rgb="00A6A6A6"/>
      </bottom>
    </border>
    <border>
      <left style="thin">
        <color rgb="00C9D3DB"/>
      </left>
      <right style="thin">
        <color rgb="00C9D3DB"/>
      </right>
      <top style="thin">
        <color rgb="00C9D3DB"/>
      </top>
      <bottom style="thin">
        <color rgb="00C9D3DB"/>
      </bottom>
    </border>
    <border>
      <top style="dashed">
        <color rgb="00A6A6A6"/>
      </top>
    </border>
    <border>
      <bottom style="dashed">
        <color rgb="00A6A6A6"/>
      </bottom>
    </border>
    <border>
      <left style="thin">
        <color rgb="00C9D3DB"/>
      </left>
      <top style="medium">
        <color rgb="00C9A227"/>
      </top>
    </border>
    <border>
      <right style="thin">
        <color rgb="00C9D3DB"/>
      </right>
      <top style="medium">
        <color rgb="00C9A227"/>
      </top>
    </border>
    <border>
      <left style="thin">
        <color rgb="00C9D3DB"/>
      </left>
      <bottom style="thin">
        <color rgb="00C9D3DB"/>
      </bottom>
    </border>
    <border>
      <right style="thin">
        <color rgb="00C9D3DB"/>
      </right>
      <bottom style="thin">
        <color rgb="00C9D3DB"/>
      </bottom>
    </border>
    <border>
      <left style="thin">
        <color rgb="00C9A227"/>
      </left>
      <right style="thin">
        <color rgb="00C9A227"/>
      </right>
      <top style="thin">
        <color rgb="00C9A227"/>
      </top>
      <bottom style="thin">
        <color rgb="00C9A227"/>
      </bottom>
    </border>
    <border>
      <top style="thick">
        <color rgb="00C9A227"/>
      </top>
    </border>
    <border>
      <bottom style="thin">
        <color rgb="00C9D3DB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24" fillId="2" borderId="0" pivotButton="0" quotePrefix="0" xfId="0"/>
    <xf numFmtId="0" fontId="8" fillId="2" borderId="0" pivotButton="0" quotePrefix="0" xfId="0"/>
    <xf numFmtId="0" fontId="9" fillId="2" borderId="0" applyAlignment="1" pivotButton="0" quotePrefix="0" xfId="0">
      <alignment horizontal="right" vertical="center"/>
    </xf>
    <xf numFmtId="0" fontId="24" fillId="0" borderId="0" pivotButton="0" quotePrefix="0" xfId="0"/>
    <xf numFmtId="0" fontId="10" fillId="2" borderId="0" applyAlignment="1" pivotButton="0" quotePrefix="0" xfId="0">
      <alignment vertical="center" wrapText="1"/>
    </xf>
    <xf numFmtId="0" fontId="11" fillId="2" borderId="0" pivotButton="0" quotePrefix="0" xfId="0"/>
    <xf numFmtId="0" fontId="12" fillId="2" borderId="14" applyAlignment="1" pivotButton="0" quotePrefix="0" xfId="0">
      <alignment horizontal="center" vertical="center"/>
    </xf>
    <xf numFmtId="0" fontId="24" fillId="0" borderId="15" pivotButton="0" quotePrefix="0" xfId="0"/>
    <xf numFmtId="0" fontId="13" fillId="0" borderId="1" pivotButton="0" quotePrefix="0" xfId="0"/>
    <xf numFmtId="0" fontId="24" fillId="0" borderId="1" pivotButton="0" quotePrefix="0" xfId="0"/>
    <xf numFmtId="0" fontId="8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 wrapText="1"/>
    </xf>
    <xf numFmtId="0" fontId="14" fillId="0" borderId="0" pivotButton="0" quotePrefix="0" xfId="0"/>
    <xf numFmtId="0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24" fillId="4" borderId="7" applyProtection="1" pivotButton="0" quotePrefix="0" xfId="0">
      <protection locked="0" hidden="0"/>
    </xf>
    <xf numFmtId="0" fontId="18" fillId="0" borderId="0" pivotButton="0" quotePrefix="0" xfId="0"/>
    <xf numFmtId="0" fontId="24" fillId="5" borderId="7" pivotButton="0" quotePrefix="0" xfId="0"/>
    <xf numFmtId="0" fontId="24" fillId="2" borderId="7" pivotButton="0" quotePrefix="0" xfId="0"/>
    <xf numFmtId="0" fontId="19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24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24" fillId="0" borderId="2" pivotButton="0" quotePrefix="0" xfId="0"/>
    <xf numFmtId="0" fontId="24" fillId="0" borderId="5" pivotButton="0" quotePrefix="0" xfId="0"/>
    <xf numFmtId="0" fontId="24" fillId="0" borderId="6" pivotButton="0" quotePrefix="0" xfId="0"/>
    <xf numFmtId="0" fontId="4" fillId="3" borderId="7" pivotButton="0" quotePrefix="0" xfId="0"/>
    <xf numFmtId="0" fontId="4" fillId="0" borderId="0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 wrapText="1"/>
    </xf>
    <xf numFmtId="0" fontId="24" fillId="5" borderId="7" applyAlignment="1" pivotButton="0" quotePrefix="0" xfId="0">
      <alignment horizontal="center"/>
    </xf>
    <xf numFmtId="164" fontId="24" fillId="4" borderId="7" applyProtection="1" pivotButton="0" quotePrefix="0" xfId="0">
      <protection locked="0" hidden="0"/>
    </xf>
    <xf numFmtId="165" fontId="24" fillId="4" borderId="7" applyProtection="1" pivotButton="0" quotePrefix="0" xfId="0">
      <protection locked="0" hidden="0"/>
    </xf>
    <xf numFmtId="166" fontId="24" fillId="4" borderId="7" applyProtection="1" pivotButton="0" quotePrefix="0" xfId="0">
      <protection locked="0" hidden="0"/>
    </xf>
    <xf numFmtId="166" fontId="24" fillId="5" borderId="7" pivotButton="0" quotePrefix="0" xfId="0"/>
    <xf numFmtId="165" fontId="24" fillId="5" borderId="7" pivotButton="0" quotePrefix="0" xfId="0"/>
    <xf numFmtId="0" fontId="24" fillId="0" borderId="8" pivotButton="0" quotePrefix="0" xfId="0"/>
    <xf numFmtId="0" fontId="24" fillId="0" borderId="9" pivotButton="0" quotePrefix="0" xfId="0"/>
    <xf numFmtId="0" fontId="6" fillId="3" borderId="10" applyAlignment="1" pivotButton="0" quotePrefix="0" xfId="0">
      <alignment horizontal="center" vertical="center"/>
    </xf>
    <xf numFmtId="0" fontId="24" fillId="3" borderId="11" pivotButton="0" quotePrefix="0" xfId="0"/>
    <xf numFmtId="165" fontId="7" fillId="6" borderId="12" applyAlignment="1" pivotButton="0" quotePrefix="0" xfId="0">
      <alignment horizontal="center" vertical="center"/>
    </xf>
    <xf numFmtId="0" fontId="24" fillId="6" borderId="13" pivotButton="0" quotePrefix="0" xfId="0"/>
    <xf numFmtId="166" fontId="7" fillId="6" borderId="12" applyAlignment="1" pivotButton="0" quotePrefix="0" xfId="0">
      <alignment horizontal="center" vertical="center"/>
    </xf>
    <xf numFmtId="1" fontId="7" fillId="6" borderId="12" applyAlignment="1" pivotButton="0" quotePrefix="0" xfId="0">
      <alignment horizontal="center" vertical="center"/>
    </xf>
    <xf numFmtId="0" fontId="24" fillId="0" borderId="7" pivotButton="0" quotePrefix="0" xfId="0"/>
    <xf numFmtId="0" fontId="20" fillId="2" borderId="0" applyAlignment="1" pivotButton="0" quotePrefix="0" xfId="0">
      <alignment vertical="center"/>
    </xf>
    <xf numFmtId="0" fontId="21" fillId="2" borderId="0" pivotButton="0" quotePrefix="0" xfId="0"/>
    <xf numFmtId="0" fontId="14" fillId="0" borderId="16" applyAlignment="1" pivotButton="0" quotePrefix="0" xfId="0">
      <alignment vertical="top" wrapText="1"/>
    </xf>
    <xf numFmtId="0" fontId="15" fillId="0" borderId="16" applyAlignment="1" pivotButton="0" quotePrefix="0" xfId="0">
      <alignment vertical="top" wrapText="1"/>
    </xf>
    <xf numFmtId="0" fontId="22" fillId="0" borderId="16" pivotButton="0" quotePrefix="0" xfId="0"/>
    <xf numFmtId="0" fontId="15" fillId="0" borderId="16" applyAlignment="1" pivotButton="0" quotePrefix="0" xfId="0">
      <alignment vertical="center" wrapText="1"/>
    </xf>
    <xf numFmtId="0" fontId="23" fillId="4" borderId="7" applyAlignment="1" applyProtection="1" pivotButton="0" quotePrefix="0" xfId="0">
      <alignment horizontal="center"/>
      <protection locked="0" hidden="0"/>
    </xf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Entradas vs. salidas (unidades)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'RESUMEN'!C25</f>
            </strRef>
          </tx>
          <spPr>
            <a:solidFill xmlns:a="http://schemas.openxmlformats.org/drawingml/2006/main">
              <a:srgbClr val="0B2A4A"/>
            </a:solidFill>
            <a:ln xmlns:a="http://schemas.openxmlformats.org/drawingml/2006/main">
              <a:solidFill>
                <a:srgbClr val="0B2A4A"/>
              </a:solidFill>
              <a:prstDash val="solid"/>
            </a:ln>
          </spPr>
          <cat>
            <numRef>
              <f>'RESUMEN'!$B$26:$B$27</f>
            </numRef>
          </cat>
          <val>
            <numRef>
              <f>'RESUMEN'!$C$26:$C$27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7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G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7" customWidth="1" min="3" max="3"/>
    <col width="27" customWidth="1" min="4" max="4"/>
    <col width="27" customWidth="1" min="5" max="5"/>
    <col width="27" customWidth="1" min="6" max="6"/>
    <col width="3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</row>
    <row r="2" ht="22" customHeight="1">
      <c r="A2" s="1" t="n"/>
      <c r="B2" s="2" t="inlineStr">
        <is>
          <t>GRUPO CANVILLE</t>
        </is>
      </c>
      <c r="C2" s="1" t="n"/>
      <c r="D2" s="1" t="n"/>
      <c r="E2" s="3" t="inlineStr">
        <is>
          <t>VERSIÓN 2.0  ·  MÉXICO</t>
        </is>
      </c>
      <c r="F2" s="4" t="n"/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 ht="30" customHeight="1">
      <c r="A4" s="1" t="n"/>
      <c r="B4" s="5" t="inlineStr">
        <is>
          <t>KARDEX</t>
        </is>
      </c>
      <c r="C4" s="4" t="n"/>
      <c r="D4" s="4" t="n"/>
      <c r="E4" s="4" t="n"/>
      <c r="F4" s="4" t="n"/>
      <c r="G4" s="1" t="n"/>
    </row>
    <row r="5" ht="30" customHeight="1">
      <c r="A5" s="1" t="n"/>
      <c r="B5" s="4" t="n"/>
      <c r="C5" s="4" t="n"/>
      <c r="D5" s="4" t="n"/>
      <c r="E5" s="4" t="n"/>
      <c r="F5" s="4" t="n"/>
      <c r="G5" s="1" t="n"/>
    </row>
    <row r="6" ht="22" customHeight="1">
      <c r="A6" s="1" t="n"/>
      <c r="B6" s="6" t="inlineStr">
        <is>
          <t>Formato administrativo profesional · editable · listo para imprimir</t>
        </is>
      </c>
      <c r="C6" s="4" t="n"/>
      <c r="D6" s="4" t="n"/>
      <c r="E6" s="4" t="n"/>
      <c r="F6" s="4" t="n"/>
      <c r="G6" s="1" t="n"/>
    </row>
    <row r="7">
      <c r="A7" s="1" t="n"/>
      <c r="B7" s="1" t="n"/>
      <c r="C7" s="1" t="n"/>
      <c r="D7" s="1" t="n"/>
      <c r="E7" s="1" t="n"/>
      <c r="F7" s="1" t="n"/>
      <c r="G7" s="1" t="n"/>
    </row>
    <row r="8" ht="4" customHeight="1">
      <c r="A8" s="1" t="n"/>
      <c r="B8" s="1" t="n"/>
      <c r="C8" s="1" t="n"/>
      <c r="D8" s="1" t="n"/>
      <c r="E8" s="1" t="n"/>
      <c r="F8" s="1" t="n"/>
      <c r="G8" s="1" t="n"/>
    </row>
    <row r="9" ht="24" customHeight="1">
      <c r="A9" s="1" t="n"/>
      <c r="B9" s="1" t="n"/>
      <c r="C9" s="7" t="inlineStr">
        <is>
          <t>FÓRMULAS AUTOMÁTICAS</t>
        </is>
      </c>
      <c r="D9" s="7" t="inlineStr">
        <is>
          <t>LISTAS DESPLEGABLES</t>
        </is>
      </c>
      <c r="E9" s="7" t="inlineStr">
        <is>
          <t>HOJAS PROTEGIDAS</t>
        </is>
      </c>
      <c r="F9" s="7" t="inlineStr">
        <is>
          <t>LISTO PARA IMPRIMIR</t>
        </is>
      </c>
      <c r="G9" s="1" t="n"/>
    </row>
    <row r="10">
      <c r="A10" s="1" t="n"/>
      <c r="B10" s="1" t="n"/>
      <c r="C10" s="1" t="n"/>
      <c r="D10" s="1" t="n"/>
      <c r="E10" s="1" t="n"/>
      <c r="F10" s="1" t="n"/>
      <c r="G10" s="1" t="n"/>
    </row>
    <row r="11">
      <c r="A11" s="1" t="n"/>
      <c r="B11" s="1" t="n"/>
      <c r="C11" s="1" t="n"/>
      <c r="D11" s="1" t="n"/>
      <c r="E11" s="1" t="n"/>
      <c r="F11" s="1" t="n"/>
      <c r="G11" s="1" t="n"/>
    </row>
    <row r="12">
      <c r="A12" s="1" t="n"/>
      <c r="B12" s="1" t="n"/>
      <c r="C12" s="1" t="n"/>
      <c r="D12" s="1" t="n"/>
      <c r="E12" s="1" t="n"/>
      <c r="F12" s="1" t="n"/>
      <c r="G12" s="1" t="n"/>
    </row>
    <row r="13" ht="6" customHeight="1">
      <c r="A13" s="8" t="n"/>
      <c r="B13" s="8" t="n"/>
      <c r="C13" s="8" t="n"/>
      <c r="D13" s="8" t="n"/>
      <c r="E13" s="8" t="n"/>
      <c r="F13" s="8" t="n"/>
      <c r="G13" s="8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 ht="24" customHeight="1">
      <c r="A15" s="4" t="n"/>
      <c r="B15" s="9" t="inlineStr">
        <is>
          <t>¿QUÉ INCLUYE ESTE ARCHIVO?</t>
        </is>
      </c>
      <c r="C15" s="10" t="n"/>
      <c r="D15" s="10" t="n"/>
      <c r="E15" s="10" t="n"/>
      <c r="F15" s="10" t="n"/>
      <c r="G15" s="4" t="n"/>
    </row>
    <row r="16" ht="36" customHeight="1">
      <c r="A16" s="4" t="n"/>
      <c r="B16" s="11" t="inlineStr">
        <is>
          <t>▸</t>
        </is>
      </c>
      <c r="C16" s="12" t="inlineStr">
        <is>
          <t>FORMATO</t>
        </is>
      </c>
      <c r="D16" s="13" t="inlineStr">
        <is>
          <t>Hoja principal de captura. Aquí registras tu información; las celdas grises calculan solas.</t>
        </is>
      </c>
      <c r="E16" s="4" t="n"/>
      <c r="F16" s="4" t="n"/>
      <c r="G16" s="4" t="n"/>
    </row>
    <row r="17" ht="36" customHeight="1">
      <c r="A17" s="4" t="n"/>
      <c r="B17" s="11" t="inlineStr">
        <is>
          <t>▸</t>
        </is>
      </c>
      <c r="C17" s="12" t="inlineStr">
        <is>
          <t>RESUMEN</t>
        </is>
      </c>
      <c r="D17" s="13" t="inlineStr">
        <is>
          <t>Tablero con indicadores y gráficas que se actualizan automáticamente con tus datos.</t>
        </is>
      </c>
      <c r="E17" s="4" t="n"/>
      <c r="F17" s="4" t="n"/>
      <c r="G17" s="4" t="n"/>
    </row>
    <row r="18" ht="21" customHeight="1">
      <c r="A18" s="4" t="n"/>
      <c r="B18" s="11" t="inlineStr">
        <is>
          <t>▸</t>
        </is>
      </c>
      <c r="C18" s="14" t="inlineStr">
        <is>
          <t>AYUDA</t>
        </is>
      </c>
      <c r="D18" s="13" t="inlineStr">
        <is>
          <t>Preguntas frecuentes, glosario y lista de verificación para cerrar tu periodo.</t>
        </is>
      </c>
      <c r="E18" s="4" t="n"/>
      <c r="F18" s="4" t="n"/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 ht="24" customHeight="1">
      <c r="A20" s="4" t="n"/>
      <c r="B20" s="9" t="inlineStr">
        <is>
          <t>CÓMO USARLO</t>
        </is>
      </c>
      <c r="C20" s="10" t="n"/>
      <c r="D20" s="10" t="n"/>
      <c r="E20" s="10" t="n"/>
      <c r="F20" s="10" t="n"/>
      <c r="G20" s="4" t="n"/>
    </row>
    <row r="21" ht="21" customHeight="1">
      <c r="A21" s="4" t="n"/>
      <c r="B21" s="15" t="n">
        <v>1</v>
      </c>
      <c r="C21" s="13" t="inlineStr">
        <is>
          <t>Un kardex por artículo. Registra cada movimiento en orden cronológico.</t>
        </is>
      </c>
      <c r="D21" s="4" t="n"/>
      <c r="E21" s="4" t="n"/>
      <c r="F21" s="4" t="n"/>
      <c r="G21" s="4" t="n"/>
    </row>
    <row r="22" ht="21" customHeight="1">
      <c r="A22" s="4" t="n"/>
      <c r="B22" s="15" t="n">
        <v>2</v>
      </c>
      <c r="C22" s="13" t="inlineStr">
        <is>
          <t>Para una entrada, captura cantidad y costo unitario; para una salida solo la cantidad.</t>
        </is>
      </c>
      <c r="D22" s="4" t="n"/>
      <c r="E22" s="4" t="n"/>
      <c r="F22" s="4" t="n"/>
      <c r="G22" s="4" t="n"/>
    </row>
    <row r="23" ht="21" customHeight="1">
      <c r="A23" s="4" t="n"/>
      <c r="B23" s="15" t="n">
        <v>3</v>
      </c>
      <c r="C23" s="13" t="inlineStr">
        <is>
          <t>La salida se valúa automáticamente al costo promedio del renglón anterior.</t>
        </is>
      </c>
      <c r="D23" s="4" t="n"/>
      <c r="E23" s="4" t="n"/>
      <c r="F23" s="4" t="n"/>
      <c r="G23" s="4" t="n"/>
    </row>
    <row r="24" ht="21" customHeight="1">
      <c r="A24" s="4" t="n"/>
      <c r="B24" s="15" t="n">
        <v>4</v>
      </c>
      <c r="C24" s="13" t="inlineStr">
        <is>
          <t>El saldo en unidades e importe se actualiza en cada renglón.</t>
        </is>
      </c>
      <c r="D24" s="4" t="n"/>
      <c r="E24" s="4" t="n"/>
      <c r="F24" s="4" t="n"/>
      <c r="G24" s="4" t="n"/>
    </row>
    <row r="25" ht="36" customHeight="1">
      <c r="A25" s="4" t="n"/>
      <c r="B25" s="15" t="n">
        <v>5</v>
      </c>
      <c r="C25" s="13" t="inlineStr">
        <is>
          <t>Personaliza: inserta tu logotipo en el recuadro punteado de la esquina superior derecha (Insertar &gt; Imágenes) y captura los datos de tu empresa en las celdas de captura.</t>
        </is>
      </c>
      <c r="D25" s="4" t="n"/>
      <c r="E25" s="4" t="n"/>
      <c r="F25" s="4" t="n"/>
      <c r="G25" s="4" t="n"/>
    </row>
    <row r="26">
      <c r="A26" s="4" t="n"/>
      <c r="B26" s="4" t="n"/>
      <c r="C26" s="4" t="n"/>
      <c r="D26" s="4" t="n"/>
      <c r="E26" s="4" t="n"/>
      <c r="F26" s="4" t="n"/>
      <c r="G26" s="4" t="n"/>
    </row>
    <row r="27" ht="24" customHeight="1">
      <c r="A27" s="4" t="n"/>
      <c r="B27" s="9" t="inlineStr">
        <is>
          <t>RECOMENDACIONES DE USO</t>
        </is>
      </c>
      <c r="C27" s="10" t="n"/>
      <c r="D27" s="10" t="n"/>
      <c r="E27" s="10" t="n"/>
      <c r="F27" s="10" t="n"/>
      <c r="G27" s="4" t="n"/>
    </row>
    <row r="28" ht="21" customHeight="1">
      <c r="A28" s="4" t="n"/>
      <c r="B28" s="16" t="inlineStr">
        <is>
          <t>✓</t>
        </is>
      </c>
      <c r="C28" s="13" t="inlineStr">
        <is>
          <t>Un kardex por artículo; guarda cada uno en una hoja o archivo distinto.</t>
        </is>
      </c>
      <c r="D28" s="4" t="n"/>
      <c r="E28" s="4" t="n"/>
      <c r="F28" s="4" t="n"/>
      <c r="G28" s="4" t="n"/>
    </row>
    <row r="29" ht="21" customHeight="1">
      <c r="A29" s="4" t="n"/>
      <c r="B29" s="16" t="inlineStr">
        <is>
          <t>✓</t>
        </is>
      </c>
      <c r="C29" s="13" t="inlineStr">
        <is>
          <t>Las salidas se valúan al costo promedio vigente: no captures costo en las salidas.</t>
        </is>
      </c>
      <c r="D29" s="4" t="n"/>
      <c r="E29" s="4" t="n"/>
      <c r="F29" s="4" t="n"/>
      <c r="G29" s="4" t="n"/>
    </row>
    <row r="30" ht="21" customHeight="1">
      <c r="A30" s="4" t="n"/>
      <c r="B30" s="16" t="inlineStr">
        <is>
          <t>✓</t>
        </is>
      </c>
      <c r="C30" s="13" t="inlineStr">
        <is>
          <t>Registra los movimientos en orden cronológico.</t>
        </is>
      </c>
      <c r="D30" s="4" t="n"/>
      <c r="E30" s="4" t="n"/>
      <c r="F30" s="4" t="n"/>
      <c r="G30" s="4" t="n"/>
    </row>
    <row r="31" ht="21" customHeight="1">
      <c r="A31" s="4" t="n"/>
      <c r="B31" s="16" t="inlineStr">
        <is>
          <t>✓</t>
        </is>
      </c>
      <c r="C31" s="13" t="inlineStr">
        <is>
          <t>Concilia el saldo final contra el conteo físico.</t>
        </is>
      </c>
      <c r="D31" s="4" t="n"/>
      <c r="E31" s="4" t="n"/>
      <c r="F31" s="4" t="n"/>
      <c r="G31" s="4" t="n"/>
    </row>
    <row r="32">
      <c r="A32" s="4" t="n"/>
      <c r="B32" s="4" t="n"/>
      <c r="C32" s="4" t="n"/>
      <c r="D32" s="4" t="n"/>
      <c r="E32" s="4" t="n"/>
      <c r="F32" s="4" t="n"/>
      <c r="G32" s="4" t="n"/>
    </row>
    <row r="33" ht="24" customHeight="1">
      <c r="A33" s="4" t="n"/>
      <c r="B33" s="9" t="inlineStr">
        <is>
          <t>LEYENDA DE COLORES</t>
        </is>
      </c>
      <c r="C33" s="10" t="n"/>
      <c r="D33" s="10" t="n"/>
      <c r="E33" s="10" t="n"/>
      <c r="F33" s="10" t="n"/>
      <c r="G33" s="4" t="n"/>
    </row>
    <row r="34">
      <c r="A34" s="4" t="n"/>
      <c r="B34" s="17" t="inlineStr"/>
      <c r="C34" s="18" t="inlineStr">
        <is>
          <t>CELDA DE CAPTURA: escribe aquí.</t>
        </is>
      </c>
      <c r="D34" s="4" t="n"/>
      <c r="E34" s="4" t="n"/>
      <c r="F34" s="4" t="n"/>
      <c r="G34" s="4" t="n"/>
    </row>
    <row r="35">
      <c r="A35" s="4" t="n"/>
      <c r="B35" s="19" t="inlineStr"/>
      <c r="C35" s="18" t="inlineStr">
        <is>
          <t>CÁLCULO AUTOMÁTICO: no la modifiques.</t>
        </is>
      </c>
      <c r="D35" s="4" t="n"/>
      <c r="E35" s="4" t="n"/>
      <c r="F35" s="4" t="n"/>
      <c r="G35" s="4" t="n"/>
    </row>
    <row r="36">
      <c r="A36" s="4" t="n"/>
      <c r="B36" s="20" t="inlineStr"/>
      <c r="C36" s="18" t="inlineStr">
        <is>
          <t>ENCABEZADOS Y TÍTULOS.</t>
        </is>
      </c>
      <c r="D36" s="4" t="n"/>
      <c r="E36" s="4" t="n"/>
      <c r="F36" s="4" t="n"/>
      <c r="G36" s="4" t="n"/>
    </row>
    <row r="37">
      <c r="A37" s="4" t="n"/>
      <c r="B37" s="4" t="n"/>
      <c r="C37" s="4" t="n"/>
      <c r="D37" s="4" t="n"/>
      <c r="E37" s="4" t="n"/>
      <c r="F37" s="4" t="n"/>
      <c r="G37" s="4" t="n"/>
    </row>
    <row r="38" ht="26" customHeight="1">
      <c r="A38" s="1" t="n"/>
      <c r="B38" s="21" t="inlineStr">
        <is>
          <t>GRUPO CANVILLE  ·  Formatos administrativos  ·  Para uso interno de tu empresa</t>
        </is>
      </c>
      <c r="C38" s="4" t="n"/>
      <c r="D38" s="4" t="n"/>
      <c r="E38" s="4" t="n"/>
      <c r="F38" s="4" t="n"/>
      <c r="G38" s="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6">
    <mergeCell ref="C22:F22"/>
    <mergeCell ref="C31:F31"/>
    <mergeCell ref="C23:F23"/>
    <mergeCell ref="B6:F6"/>
    <mergeCell ref="B38:F38"/>
    <mergeCell ref="E2:F2"/>
    <mergeCell ref="D18:F18"/>
    <mergeCell ref="C21:F21"/>
    <mergeCell ref="C29:F29"/>
    <mergeCell ref="D17:F17"/>
    <mergeCell ref="C30:F30"/>
    <mergeCell ref="D16:F16"/>
    <mergeCell ref="C25:F25"/>
    <mergeCell ref="C24:F24"/>
    <mergeCell ref="B4:F5"/>
    <mergeCell ref="C28:F28"/>
  </mergeCells>
  <printOptions horizontalCentered="1"/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tabColor rgb="000B2A4A"/>
    <outlinePr summaryBelow="1" summaryRight="1"/>
    <pageSetUpPr fitToPage="1"/>
  </sheetPr>
  <dimension ref="A1:M20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1.2" customWidth="1" min="1" max="1"/>
    <col width="13" customWidth="1" min="2" max="2"/>
    <col width="16" customWidth="1" min="3" max="3"/>
    <col width="30" customWidth="1" min="4" max="4"/>
    <col width="11" customWidth="1" min="5" max="5"/>
    <col width="13" customWidth="1" min="6" max="6"/>
    <col width="14" customWidth="1" min="7" max="7"/>
    <col width="11" customWidth="1" min="8" max="8"/>
    <col width="13" customWidth="1" min="9" max="9"/>
    <col width="14" customWidth="1" min="10" max="10"/>
    <col width="11" customWidth="1" min="11" max="11"/>
    <col width="13" customWidth="1" min="12" max="12"/>
    <col width="14" customWidth="1" min="13" max="13"/>
  </cols>
  <sheetData>
    <row r="1" ht="44" customHeight="1">
      <c r="A1" s="22" t="inlineStr">
        <is>
          <t>KARDEX DE ARTÍCULO (COSTO PROMEDIO)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23" t="inlineStr">
        <is>
          <t>INSERTE SU LOGO
(clic derecho &gt; Insertar imagen)</t>
        </is>
      </c>
      <c r="M1" s="24" t="n"/>
    </row>
    <row r="2" ht="26" customHeight="1">
      <c r="A2" s="25" t="inlineStr">
        <is>
          <t>Movimientos de entradas y salidas con costo promedio ponderado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7" t="n"/>
      <c r="M2" s="28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</row>
    <row r="4">
      <c r="A4" s="29" t="inlineStr">
        <is>
          <t>ARTÍCULO</t>
        </is>
      </c>
      <c r="B4" s="17" t="n"/>
      <c r="C4" s="17" t="n"/>
      <c r="D4" s="17" t="n"/>
      <c r="E4" s="4" t="n"/>
      <c r="F4" s="29" t="inlineStr">
        <is>
          <t>CÓDIGO</t>
        </is>
      </c>
      <c r="G4" s="17" t="n"/>
      <c r="H4" s="17" t="n"/>
      <c r="I4" s="4" t="n"/>
      <c r="J4" s="4" t="n"/>
      <c r="K4" s="4" t="n"/>
      <c r="L4" s="4" t="n"/>
      <c r="M4" s="4" t="n"/>
    </row>
    <row r="5">
      <c r="A5" s="29" t="inlineStr">
        <is>
          <t>UNIDAD</t>
        </is>
      </c>
      <c r="B5" s="17" t="n"/>
      <c r="C5" s="17" t="n"/>
      <c r="D5" s="17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</row>
    <row r="7">
      <c r="A7" s="4" t="n"/>
      <c r="B7" s="4" t="n"/>
      <c r="C7" s="4" t="n"/>
      <c r="D7" s="4" t="n"/>
      <c r="E7" s="30" t="inlineStr">
        <is>
          <t>ENTRADAS</t>
        </is>
      </c>
      <c r="F7" s="4" t="n"/>
      <c r="G7" s="4" t="n"/>
      <c r="H7" s="30" t="inlineStr">
        <is>
          <t>SALIDAS</t>
        </is>
      </c>
      <c r="I7" s="4" t="n"/>
      <c r="J7" s="4" t="n"/>
      <c r="K7" s="30" t="inlineStr">
        <is>
          <t>SALDO</t>
        </is>
      </c>
      <c r="L7" s="4" t="n"/>
      <c r="M7" s="4" t="n"/>
    </row>
    <row r="8" ht="32" customHeight="1">
      <c r="A8" s="31" t="inlineStr">
        <is>
          <t>NO.</t>
        </is>
      </c>
      <c r="B8" s="31" t="inlineStr">
        <is>
          <t>FECHA</t>
        </is>
      </c>
      <c r="C8" s="31" t="inlineStr">
        <is>
          <t>DOCUMENTO</t>
        </is>
      </c>
      <c r="D8" s="31" t="inlineStr">
        <is>
          <t>CONCEPTO</t>
        </is>
      </c>
      <c r="E8" s="31" t="inlineStr">
        <is>
          <t>CANT.</t>
        </is>
      </c>
      <c r="F8" s="31" t="inlineStr">
        <is>
          <t>COSTO UNIT.</t>
        </is>
      </c>
      <c r="G8" s="31" t="inlineStr">
        <is>
          <t>IMPORTE</t>
        </is>
      </c>
      <c r="H8" s="31" t="inlineStr">
        <is>
          <t>CANT.</t>
        </is>
      </c>
      <c r="I8" s="31" t="inlineStr">
        <is>
          <t>COSTO UNIT.</t>
        </is>
      </c>
      <c r="J8" s="31" t="inlineStr">
        <is>
          <t>IMPORTE</t>
        </is>
      </c>
      <c r="K8" s="31" t="inlineStr">
        <is>
          <t>CANT.</t>
        </is>
      </c>
      <c r="L8" s="31" t="inlineStr">
        <is>
          <t>COSTO PROM.</t>
        </is>
      </c>
      <c r="M8" s="31" t="inlineStr">
        <is>
          <t>IMPORTE</t>
        </is>
      </c>
    </row>
    <row r="9">
      <c r="A9" s="32" t="n">
        <v>1</v>
      </c>
      <c r="B9" s="33" t="n"/>
      <c r="C9" s="17" t="n"/>
      <c r="D9" s="17" t="n"/>
      <c r="E9" s="34" t="n"/>
      <c r="F9" s="35" t="n"/>
      <c r="G9" s="36">
        <f>IF(E9="","",E9*F9)</f>
        <v/>
      </c>
      <c r="H9" s="34" t="n"/>
      <c r="I9" s="36">
        <f>IF(H9="","",0)</f>
        <v/>
      </c>
      <c r="J9" s="36">
        <f>IF(H9="","",H9*I9)</f>
        <v/>
      </c>
      <c r="K9" s="37">
        <f>IF(AND(E9="",H9=""),"",N(E9)-N(H9))</f>
        <v/>
      </c>
      <c r="L9" s="36">
        <f>IF(K9="","",IF(K9=0,0,M9/K9))</f>
        <v/>
      </c>
      <c r="M9" s="36">
        <f>IF(K9="","",N(G9)-N(J9))</f>
        <v/>
      </c>
    </row>
    <row r="10">
      <c r="A10" s="32" t="n">
        <v>2</v>
      </c>
      <c r="B10" s="33" t="n"/>
      <c r="C10" s="17" t="n"/>
      <c r="D10" s="17" t="n"/>
      <c r="E10" s="34" t="n"/>
      <c r="F10" s="35" t="n"/>
      <c r="G10" s="36">
        <f>IF(E10="","",E10*F10)</f>
        <v/>
      </c>
      <c r="H10" s="34" t="n"/>
      <c r="I10" s="36">
        <f>IF(H10="","",L9)</f>
        <v/>
      </c>
      <c r="J10" s="36">
        <f>IF(H10="","",H10*I10)</f>
        <v/>
      </c>
      <c r="K10" s="37">
        <f>IF(AND(E10="",H10=""),"",N(K9)+N(E10)-N(H10))</f>
        <v/>
      </c>
      <c r="L10" s="36">
        <f>IF(K10="","",IF(K10=0,0,M10/K10))</f>
        <v/>
      </c>
      <c r="M10" s="36">
        <f>IF(K10="","",N(M9)+N(G10)-N(J10))</f>
        <v/>
      </c>
    </row>
    <row r="11">
      <c r="A11" s="32" t="n">
        <v>3</v>
      </c>
      <c r="B11" s="33" t="n"/>
      <c r="C11" s="17" t="n"/>
      <c r="D11" s="17" t="n"/>
      <c r="E11" s="34" t="n"/>
      <c r="F11" s="35" t="n"/>
      <c r="G11" s="36">
        <f>IF(E11="","",E11*F11)</f>
        <v/>
      </c>
      <c r="H11" s="34" t="n"/>
      <c r="I11" s="36">
        <f>IF(H11="","",L10)</f>
        <v/>
      </c>
      <c r="J11" s="36">
        <f>IF(H11="","",H11*I11)</f>
        <v/>
      </c>
      <c r="K11" s="37">
        <f>IF(AND(E11="",H11=""),"",N(K10)+N(E11)-N(H11))</f>
        <v/>
      </c>
      <c r="L11" s="36">
        <f>IF(K11="","",IF(K11=0,0,M11/K11))</f>
        <v/>
      </c>
      <c r="M11" s="36">
        <f>IF(K11="","",N(M10)+N(G11)-N(J11))</f>
        <v/>
      </c>
    </row>
    <row r="12">
      <c r="A12" s="32" t="n">
        <v>4</v>
      </c>
      <c r="B12" s="33" t="n"/>
      <c r="C12" s="17" t="n"/>
      <c r="D12" s="17" t="n"/>
      <c r="E12" s="34" t="n"/>
      <c r="F12" s="35" t="n"/>
      <c r="G12" s="36">
        <f>IF(E12="","",E12*F12)</f>
        <v/>
      </c>
      <c r="H12" s="34" t="n"/>
      <c r="I12" s="36">
        <f>IF(H12="","",L11)</f>
        <v/>
      </c>
      <c r="J12" s="36">
        <f>IF(H12="","",H12*I12)</f>
        <v/>
      </c>
      <c r="K12" s="37">
        <f>IF(AND(E12="",H12=""),"",N(K11)+N(E12)-N(H12))</f>
        <v/>
      </c>
      <c r="L12" s="36">
        <f>IF(K12="","",IF(K12=0,0,M12/K12))</f>
        <v/>
      </c>
      <c r="M12" s="36">
        <f>IF(K12="","",N(M11)+N(G12)-N(J12))</f>
        <v/>
      </c>
    </row>
    <row r="13">
      <c r="A13" s="32" t="n">
        <v>5</v>
      </c>
      <c r="B13" s="33" t="n"/>
      <c r="C13" s="17" t="n"/>
      <c r="D13" s="17" t="n"/>
      <c r="E13" s="34" t="n"/>
      <c r="F13" s="35" t="n"/>
      <c r="G13" s="36">
        <f>IF(E13="","",E13*F13)</f>
        <v/>
      </c>
      <c r="H13" s="34" t="n"/>
      <c r="I13" s="36">
        <f>IF(H13="","",L12)</f>
        <v/>
      </c>
      <c r="J13" s="36">
        <f>IF(H13="","",H13*I13)</f>
        <v/>
      </c>
      <c r="K13" s="37">
        <f>IF(AND(E13="",H13=""),"",N(K12)+N(E13)-N(H13))</f>
        <v/>
      </c>
      <c r="L13" s="36">
        <f>IF(K13="","",IF(K13=0,0,M13/K13))</f>
        <v/>
      </c>
      <c r="M13" s="36">
        <f>IF(K13="","",N(M12)+N(G13)-N(J13))</f>
        <v/>
      </c>
    </row>
    <row r="14">
      <c r="A14" s="32" t="n">
        <v>6</v>
      </c>
      <c r="B14" s="33" t="n"/>
      <c r="C14" s="17" t="n"/>
      <c r="D14" s="17" t="n"/>
      <c r="E14" s="34" t="n"/>
      <c r="F14" s="35" t="n"/>
      <c r="G14" s="36">
        <f>IF(E14="","",E14*F14)</f>
        <v/>
      </c>
      <c r="H14" s="34" t="n"/>
      <c r="I14" s="36">
        <f>IF(H14="","",L13)</f>
        <v/>
      </c>
      <c r="J14" s="36">
        <f>IF(H14="","",H14*I14)</f>
        <v/>
      </c>
      <c r="K14" s="37">
        <f>IF(AND(E14="",H14=""),"",N(K13)+N(E14)-N(H14))</f>
        <v/>
      </c>
      <c r="L14" s="36">
        <f>IF(K14="","",IF(K14=0,0,M14/K14))</f>
        <v/>
      </c>
      <c r="M14" s="36">
        <f>IF(K14="","",N(M13)+N(G14)-N(J14))</f>
        <v/>
      </c>
    </row>
    <row r="15">
      <c r="A15" s="32" t="n">
        <v>7</v>
      </c>
      <c r="B15" s="33" t="n"/>
      <c r="C15" s="17" t="n"/>
      <c r="D15" s="17" t="n"/>
      <c r="E15" s="34" t="n"/>
      <c r="F15" s="35" t="n"/>
      <c r="G15" s="36">
        <f>IF(E15="","",E15*F15)</f>
        <v/>
      </c>
      <c r="H15" s="34" t="n"/>
      <c r="I15" s="36">
        <f>IF(H15="","",L14)</f>
        <v/>
      </c>
      <c r="J15" s="36">
        <f>IF(H15="","",H15*I15)</f>
        <v/>
      </c>
      <c r="K15" s="37">
        <f>IF(AND(E15="",H15=""),"",N(K14)+N(E15)-N(H15))</f>
        <v/>
      </c>
      <c r="L15" s="36">
        <f>IF(K15="","",IF(K15=0,0,M15/K15))</f>
        <v/>
      </c>
      <c r="M15" s="36">
        <f>IF(K15="","",N(M14)+N(G15)-N(J15))</f>
        <v/>
      </c>
    </row>
    <row r="16">
      <c r="A16" s="32" t="n">
        <v>8</v>
      </c>
      <c r="B16" s="33" t="n"/>
      <c r="C16" s="17" t="n"/>
      <c r="D16" s="17" t="n"/>
      <c r="E16" s="34" t="n"/>
      <c r="F16" s="35" t="n"/>
      <c r="G16" s="36">
        <f>IF(E16="","",E16*F16)</f>
        <v/>
      </c>
      <c r="H16" s="34" t="n"/>
      <c r="I16" s="36">
        <f>IF(H16="","",L15)</f>
        <v/>
      </c>
      <c r="J16" s="36">
        <f>IF(H16="","",H16*I16)</f>
        <v/>
      </c>
      <c r="K16" s="37">
        <f>IF(AND(E16="",H16=""),"",N(K15)+N(E16)-N(H16))</f>
        <v/>
      </c>
      <c r="L16" s="36">
        <f>IF(K16="","",IF(K16=0,0,M16/K16))</f>
        <v/>
      </c>
      <c r="M16" s="36">
        <f>IF(K16="","",N(M15)+N(G16)-N(J16))</f>
        <v/>
      </c>
    </row>
    <row r="17">
      <c r="A17" s="32" t="n">
        <v>9</v>
      </c>
      <c r="B17" s="33" t="n"/>
      <c r="C17" s="17" t="n"/>
      <c r="D17" s="17" t="n"/>
      <c r="E17" s="34" t="n"/>
      <c r="F17" s="35" t="n"/>
      <c r="G17" s="36">
        <f>IF(E17="","",E17*F17)</f>
        <v/>
      </c>
      <c r="H17" s="34" t="n"/>
      <c r="I17" s="36">
        <f>IF(H17="","",L16)</f>
        <v/>
      </c>
      <c r="J17" s="36">
        <f>IF(H17="","",H17*I17)</f>
        <v/>
      </c>
      <c r="K17" s="37">
        <f>IF(AND(E17="",H17=""),"",N(K16)+N(E17)-N(H17))</f>
        <v/>
      </c>
      <c r="L17" s="36">
        <f>IF(K17="","",IF(K17=0,0,M17/K17))</f>
        <v/>
      </c>
      <c r="M17" s="36">
        <f>IF(K17="","",N(M16)+N(G17)-N(J17))</f>
        <v/>
      </c>
    </row>
    <row r="18">
      <c r="A18" s="32" t="n">
        <v>10</v>
      </c>
      <c r="B18" s="33" t="n"/>
      <c r="C18" s="17" t="n"/>
      <c r="D18" s="17" t="n"/>
      <c r="E18" s="34" t="n"/>
      <c r="F18" s="35" t="n"/>
      <c r="G18" s="36">
        <f>IF(E18="","",E18*F18)</f>
        <v/>
      </c>
      <c r="H18" s="34" t="n"/>
      <c r="I18" s="36">
        <f>IF(H18="","",L17)</f>
        <v/>
      </c>
      <c r="J18" s="36">
        <f>IF(H18="","",H18*I18)</f>
        <v/>
      </c>
      <c r="K18" s="37">
        <f>IF(AND(E18="",H18=""),"",N(K17)+N(E18)-N(H18))</f>
        <v/>
      </c>
      <c r="L18" s="36">
        <f>IF(K18="","",IF(K18=0,0,M18/K18))</f>
        <v/>
      </c>
      <c r="M18" s="36">
        <f>IF(K18="","",N(M17)+N(G18)-N(J18))</f>
        <v/>
      </c>
    </row>
    <row r="19">
      <c r="A19" s="32" t="n">
        <v>11</v>
      </c>
      <c r="B19" s="33" t="n"/>
      <c r="C19" s="17" t="n"/>
      <c r="D19" s="17" t="n"/>
      <c r="E19" s="34" t="n"/>
      <c r="F19" s="35" t="n"/>
      <c r="G19" s="36">
        <f>IF(E19="","",E19*F19)</f>
        <v/>
      </c>
      <c r="H19" s="34" t="n"/>
      <c r="I19" s="36">
        <f>IF(H19="","",L18)</f>
        <v/>
      </c>
      <c r="J19" s="36">
        <f>IF(H19="","",H19*I19)</f>
        <v/>
      </c>
      <c r="K19" s="37">
        <f>IF(AND(E19="",H19=""),"",N(K18)+N(E19)-N(H19))</f>
        <v/>
      </c>
      <c r="L19" s="36">
        <f>IF(K19="","",IF(K19=0,0,M19/K19))</f>
        <v/>
      </c>
      <c r="M19" s="36">
        <f>IF(K19="","",N(M18)+N(G19)-N(J19))</f>
        <v/>
      </c>
    </row>
    <row r="20">
      <c r="A20" s="32" t="n">
        <v>12</v>
      </c>
      <c r="B20" s="33" t="n"/>
      <c r="C20" s="17" t="n"/>
      <c r="D20" s="17" t="n"/>
      <c r="E20" s="34" t="n"/>
      <c r="F20" s="35" t="n"/>
      <c r="G20" s="36">
        <f>IF(E20="","",E20*F20)</f>
        <v/>
      </c>
      <c r="H20" s="34" t="n"/>
      <c r="I20" s="36">
        <f>IF(H20="","",L19)</f>
        <v/>
      </c>
      <c r="J20" s="36">
        <f>IF(H20="","",H20*I20)</f>
        <v/>
      </c>
      <c r="K20" s="37">
        <f>IF(AND(E20="",H20=""),"",N(K19)+N(E20)-N(H20))</f>
        <v/>
      </c>
      <c r="L20" s="36">
        <f>IF(K20="","",IF(K20=0,0,M20/K20))</f>
        <v/>
      </c>
      <c r="M20" s="36">
        <f>IF(K20="","",N(M19)+N(G20)-N(J20))</f>
        <v/>
      </c>
    </row>
    <row r="21">
      <c r="A21" s="32" t="n">
        <v>13</v>
      </c>
      <c r="B21" s="33" t="n"/>
      <c r="C21" s="17" t="n"/>
      <c r="D21" s="17" t="n"/>
      <c r="E21" s="34" t="n"/>
      <c r="F21" s="35" t="n"/>
      <c r="G21" s="36">
        <f>IF(E21="","",E21*F21)</f>
        <v/>
      </c>
      <c r="H21" s="34" t="n"/>
      <c r="I21" s="36">
        <f>IF(H21="","",L20)</f>
        <v/>
      </c>
      <c r="J21" s="36">
        <f>IF(H21="","",H21*I21)</f>
        <v/>
      </c>
      <c r="K21" s="37">
        <f>IF(AND(E21="",H21=""),"",N(K20)+N(E21)-N(H21))</f>
        <v/>
      </c>
      <c r="L21" s="36">
        <f>IF(K21="","",IF(K21=0,0,M21/K21))</f>
        <v/>
      </c>
      <c r="M21" s="36">
        <f>IF(K21="","",N(M20)+N(G21)-N(J21))</f>
        <v/>
      </c>
    </row>
    <row r="22">
      <c r="A22" s="32" t="n">
        <v>14</v>
      </c>
      <c r="B22" s="33" t="n"/>
      <c r="C22" s="17" t="n"/>
      <c r="D22" s="17" t="n"/>
      <c r="E22" s="34" t="n"/>
      <c r="F22" s="35" t="n"/>
      <c r="G22" s="36">
        <f>IF(E22="","",E22*F22)</f>
        <v/>
      </c>
      <c r="H22" s="34" t="n"/>
      <c r="I22" s="36">
        <f>IF(H22="","",L21)</f>
        <v/>
      </c>
      <c r="J22" s="36">
        <f>IF(H22="","",H22*I22)</f>
        <v/>
      </c>
      <c r="K22" s="37">
        <f>IF(AND(E22="",H22=""),"",N(K21)+N(E22)-N(H22))</f>
        <v/>
      </c>
      <c r="L22" s="36">
        <f>IF(K22="","",IF(K22=0,0,M22/K22))</f>
        <v/>
      </c>
      <c r="M22" s="36">
        <f>IF(K22="","",N(M21)+N(G22)-N(J22))</f>
        <v/>
      </c>
    </row>
    <row r="23">
      <c r="A23" s="32" t="n">
        <v>15</v>
      </c>
      <c r="B23" s="33" t="n"/>
      <c r="C23" s="17" t="n"/>
      <c r="D23" s="17" t="n"/>
      <c r="E23" s="34" t="n"/>
      <c r="F23" s="35" t="n"/>
      <c r="G23" s="36">
        <f>IF(E23="","",E23*F23)</f>
        <v/>
      </c>
      <c r="H23" s="34" t="n"/>
      <c r="I23" s="36">
        <f>IF(H23="","",L22)</f>
        <v/>
      </c>
      <c r="J23" s="36">
        <f>IF(H23="","",H23*I23)</f>
        <v/>
      </c>
      <c r="K23" s="37">
        <f>IF(AND(E23="",H23=""),"",N(K22)+N(E23)-N(H23))</f>
        <v/>
      </c>
      <c r="L23" s="36">
        <f>IF(K23="","",IF(K23=0,0,M23/K23))</f>
        <v/>
      </c>
      <c r="M23" s="36">
        <f>IF(K23="","",N(M22)+N(G23)-N(J23))</f>
        <v/>
      </c>
    </row>
    <row r="24">
      <c r="A24" s="32" t="n">
        <v>16</v>
      </c>
      <c r="B24" s="33" t="n"/>
      <c r="C24" s="17" t="n"/>
      <c r="D24" s="17" t="n"/>
      <c r="E24" s="34" t="n"/>
      <c r="F24" s="35" t="n"/>
      <c r="G24" s="36">
        <f>IF(E24="","",E24*F24)</f>
        <v/>
      </c>
      <c r="H24" s="34" t="n"/>
      <c r="I24" s="36">
        <f>IF(H24="","",L23)</f>
        <v/>
      </c>
      <c r="J24" s="36">
        <f>IF(H24="","",H24*I24)</f>
        <v/>
      </c>
      <c r="K24" s="37">
        <f>IF(AND(E24="",H24=""),"",N(K23)+N(E24)-N(H24))</f>
        <v/>
      </c>
      <c r="L24" s="36">
        <f>IF(K24="","",IF(K24=0,0,M24/K24))</f>
        <v/>
      </c>
      <c r="M24" s="36">
        <f>IF(K24="","",N(M23)+N(G24)-N(J24))</f>
        <v/>
      </c>
    </row>
    <row r="25">
      <c r="A25" s="32" t="n">
        <v>17</v>
      </c>
      <c r="B25" s="33" t="n"/>
      <c r="C25" s="17" t="n"/>
      <c r="D25" s="17" t="n"/>
      <c r="E25" s="34" t="n"/>
      <c r="F25" s="35" t="n"/>
      <c r="G25" s="36">
        <f>IF(E25="","",E25*F25)</f>
        <v/>
      </c>
      <c r="H25" s="34" t="n"/>
      <c r="I25" s="36">
        <f>IF(H25="","",L24)</f>
        <v/>
      </c>
      <c r="J25" s="36">
        <f>IF(H25="","",H25*I25)</f>
        <v/>
      </c>
      <c r="K25" s="37">
        <f>IF(AND(E25="",H25=""),"",N(K24)+N(E25)-N(H25))</f>
        <v/>
      </c>
      <c r="L25" s="36">
        <f>IF(K25="","",IF(K25=0,0,M25/K25))</f>
        <v/>
      </c>
      <c r="M25" s="36">
        <f>IF(K25="","",N(M24)+N(G25)-N(J25))</f>
        <v/>
      </c>
    </row>
    <row r="26">
      <c r="A26" s="32" t="n">
        <v>18</v>
      </c>
      <c r="B26" s="33" t="n"/>
      <c r="C26" s="17" t="n"/>
      <c r="D26" s="17" t="n"/>
      <c r="E26" s="34" t="n"/>
      <c r="F26" s="35" t="n"/>
      <c r="G26" s="36">
        <f>IF(E26="","",E26*F26)</f>
        <v/>
      </c>
      <c r="H26" s="34" t="n"/>
      <c r="I26" s="36">
        <f>IF(H26="","",L25)</f>
        <v/>
      </c>
      <c r="J26" s="36">
        <f>IF(H26="","",H26*I26)</f>
        <v/>
      </c>
      <c r="K26" s="37">
        <f>IF(AND(E26="",H26=""),"",N(K25)+N(E26)-N(H26))</f>
        <v/>
      </c>
      <c r="L26" s="36">
        <f>IF(K26="","",IF(K26=0,0,M26/K26))</f>
        <v/>
      </c>
      <c r="M26" s="36">
        <f>IF(K26="","",N(M25)+N(G26)-N(J26))</f>
        <v/>
      </c>
    </row>
    <row r="27">
      <c r="A27" s="32" t="n">
        <v>19</v>
      </c>
      <c r="B27" s="33" t="n"/>
      <c r="C27" s="17" t="n"/>
      <c r="D27" s="17" t="n"/>
      <c r="E27" s="34" t="n"/>
      <c r="F27" s="35" t="n"/>
      <c r="G27" s="36">
        <f>IF(E27="","",E27*F27)</f>
        <v/>
      </c>
      <c r="H27" s="34" t="n"/>
      <c r="I27" s="36">
        <f>IF(H27="","",L26)</f>
        <v/>
      </c>
      <c r="J27" s="36">
        <f>IF(H27="","",H27*I27)</f>
        <v/>
      </c>
      <c r="K27" s="37">
        <f>IF(AND(E27="",H27=""),"",N(K26)+N(E27)-N(H27))</f>
        <v/>
      </c>
      <c r="L27" s="36">
        <f>IF(K27="","",IF(K27=0,0,M27/K27))</f>
        <v/>
      </c>
      <c r="M27" s="36">
        <f>IF(K27="","",N(M26)+N(G27)-N(J27))</f>
        <v/>
      </c>
    </row>
    <row r="28">
      <c r="A28" s="32" t="n">
        <v>20</v>
      </c>
      <c r="B28" s="33" t="n"/>
      <c r="C28" s="17" t="n"/>
      <c r="D28" s="17" t="n"/>
      <c r="E28" s="34" t="n"/>
      <c r="F28" s="35" t="n"/>
      <c r="G28" s="36">
        <f>IF(E28="","",E28*F28)</f>
        <v/>
      </c>
      <c r="H28" s="34" t="n"/>
      <c r="I28" s="36">
        <f>IF(H28="","",L27)</f>
        <v/>
      </c>
      <c r="J28" s="36">
        <f>IF(H28="","",H28*I28)</f>
        <v/>
      </c>
      <c r="K28" s="37">
        <f>IF(AND(E28="",H28=""),"",N(K27)+N(E28)-N(H28))</f>
        <v/>
      </c>
      <c r="L28" s="36">
        <f>IF(K28="","",IF(K28=0,0,M28/K28))</f>
        <v/>
      </c>
      <c r="M28" s="36">
        <f>IF(K28="","",N(M27)+N(G28)-N(J28))</f>
        <v/>
      </c>
    </row>
    <row r="29">
      <c r="A29" s="32" t="n">
        <v>21</v>
      </c>
      <c r="B29" s="33" t="n"/>
      <c r="C29" s="17" t="n"/>
      <c r="D29" s="17" t="n"/>
      <c r="E29" s="34" t="n"/>
      <c r="F29" s="35" t="n"/>
      <c r="G29" s="36">
        <f>IF(E29="","",E29*F29)</f>
        <v/>
      </c>
      <c r="H29" s="34" t="n"/>
      <c r="I29" s="36">
        <f>IF(H29="","",L28)</f>
        <v/>
      </c>
      <c r="J29" s="36">
        <f>IF(H29="","",H29*I29)</f>
        <v/>
      </c>
      <c r="K29" s="37">
        <f>IF(AND(E29="",H29=""),"",N(K28)+N(E29)-N(H29))</f>
        <v/>
      </c>
      <c r="L29" s="36">
        <f>IF(K29="","",IF(K29=0,0,M29/K29))</f>
        <v/>
      </c>
      <c r="M29" s="36">
        <f>IF(K29="","",N(M28)+N(G29)-N(J29))</f>
        <v/>
      </c>
    </row>
    <row r="30">
      <c r="A30" s="32" t="n">
        <v>22</v>
      </c>
      <c r="B30" s="33" t="n"/>
      <c r="C30" s="17" t="n"/>
      <c r="D30" s="17" t="n"/>
      <c r="E30" s="34" t="n"/>
      <c r="F30" s="35" t="n"/>
      <c r="G30" s="36">
        <f>IF(E30="","",E30*F30)</f>
        <v/>
      </c>
      <c r="H30" s="34" t="n"/>
      <c r="I30" s="36">
        <f>IF(H30="","",L29)</f>
        <v/>
      </c>
      <c r="J30" s="36">
        <f>IF(H30="","",H30*I30)</f>
        <v/>
      </c>
      <c r="K30" s="37">
        <f>IF(AND(E30="",H30=""),"",N(K29)+N(E30)-N(H30))</f>
        <v/>
      </c>
      <c r="L30" s="36">
        <f>IF(K30="","",IF(K30=0,0,M30/K30))</f>
        <v/>
      </c>
      <c r="M30" s="36">
        <f>IF(K30="","",N(M29)+N(G30)-N(J30))</f>
        <v/>
      </c>
    </row>
    <row r="31">
      <c r="A31" s="32" t="n">
        <v>23</v>
      </c>
      <c r="B31" s="33" t="n"/>
      <c r="C31" s="17" t="n"/>
      <c r="D31" s="17" t="n"/>
      <c r="E31" s="34" t="n"/>
      <c r="F31" s="35" t="n"/>
      <c r="G31" s="36">
        <f>IF(E31="","",E31*F31)</f>
        <v/>
      </c>
      <c r="H31" s="34" t="n"/>
      <c r="I31" s="36">
        <f>IF(H31="","",L30)</f>
        <v/>
      </c>
      <c r="J31" s="36">
        <f>IF(H31="","",H31*I31)</f>
        <v/>
      </c>
      <c r="K31" s="37">
        <f>IF(AND(E31="",H31=""),"",N(K30)+N(E31)-N(H31))</f>
        <v/>
      </c>
      <c r="L31" s="36">
        <f>IF(K31="","",IF(K31=0,0,M31/K31))</f>
        <v/>
      </c>
      <c r="M31" s="36">
        <f>IF(K31="","",N(M30)+N(G31)-N(J31))</f>
        <v/>
      </c>
    </row>
    <row r="32">
      <c r="A32" s="32" t="n">
        <v>24</v>
      </c>
      <c r="B32" s="33" t="n"/>
      <c r="C32" s="17" t="n"/>
      <c r="D32" s="17" t="n"/>
      <c r="E32" s="34" t="n"/>
      <c r="F32" s="35" t="n"/>
      <c r="G32" s="36">
        <f>IF(E32="","",E32*F32)</f>
        <v/>
      </c>
      <c r="H32" s="34" t="n"/>
      <c r="I32" s="36">
        <f>IF(H32="","",L31)</f>
        <v/>
      </c>
      <c r="J32" s="36">
        <f>IF(H32="","",H32*I32)</f>
        <v/>
      </c>
      <c r="K32" s="37">
        <f>IF(AND(E32="",H32=""),"",N(K31)+N(E32)-N(H32))</f>
        <v/>
      </c>
      <c r="L32" s="36">
        <f>IF(K32="","",IF(K32=0,0,M32/K32))</f>
        <v/>
      </c>
      <c r="M32" s="36">
        <f>IF(K32="","",N(M31)+N(G32)-N(J32))</f>
        <v/>
      </c>
    </row>
    <row r="33">
      <c r="A33" s="32" t="n">
        <v>25</v>
      </c>
      <c r="B33" s="33" t="n"/>
      <c r="C33" s="17" t="n"/>
      <c r="D33" s="17" t="n"/>
      <c r="E33" s="34" t="n"/>
      <c r="F33" s="35" t="n"/>
      <c r="G33" s="36">
        <f>IF(E33="","",E33*F33)</f>
        <v/>
      </c>
      <c r="H33" s="34" t="n"/>
      <c r="I33" s="36">
        <f>IF(H33="","",L32)</f>
        <v/>
      </c>
      <c r="J33" s="36">
        <f>IF(H33="","",H33*I33)</f>
        <v/>
      </c>
      <c r="K33" s="37">
        <f>IF(AND(E33="",H33=""),"",N(K32)+N(E33)-N(H33))</f>
        <v/>
      </c>
      <c r="L33" s="36">
        <f>IF(K33="","",IF(K33=0,0,M33/K33))</f>
        <v/>
      </c>
      <c r="M33" s="36">
        <f>IF(K33="","",N(M32)+N(G33)-N(J33))</f>
        <v/>
      </c>
    </row>
    <row r="34">
      <c r="A34" s="32" t="n">
        <v>26</v>
      </c>
      <c r="B34" s="33" t="n"/>
      <c r="C34" s="17" t="n"/>
      <c r="D34" s="17" t="n"/>
      <c r="E34" s="34" t="n"/>
      <c r="F34" s="35" t="n"/>
      <c r="G34" s="36">
        <f>IF(E34="","",E34*F34)</f>
        <v/>
      </c>
      <c r="H34" s="34" t="n"/>
      <c r="I34" s="36">
        <f>IF(H34="","",L33)</f>
        <v/>
      </c>
      <c r="J34" s="36">
        <f>IF(H34="","",H34*I34)</f>
        <v/>
      </c>
      <c r="K34" s="37">
        <f>IF(AND(E34="",H34=""),"",N(K33)+N(E34)-N(H34))</f>
        <v/>
      </c>
      <c r="L34" s="36">
        <f>IF(K34="","",IF(K34=0,0,M34/K34))</f>
        <v/>
      </c>
      <c r="M34" s="36">
        <f>IF(K34="","",N(M33)+N(G34)-N(J34))</f>
        <v/>
      </c>
    </row>
    <row r="35">
      <c r="A35" s="32" t="n">
        <v>27</v>
      </c>
      <c r="B35" s="33" t="n"/>
      <c r="C35" s="17" t="n"/>
      <c r="D35" s="17" t="n"/>
      <c r="E35" s="34" t="n"/>
      <c r="F35" s="35" t="n"/>
      <c r="G35" s="36">
        <f>IF(E35="","",E35*F35)</f>
        <v/>
      </c>
      <c r="H35" s="34" t="n"/>
      <c r="I35" s="36">
        <f>IF(H35="","",L34)</f>
        <v/>
      </c>
      <c r="J35" s="36">
        <f>IF(H35="","",H35*I35)</f>
        <v/>
      </c>
      <c r="K35" s="37">
        <f>IF(AND(E35="",H35=""),"",N(K34)+N(E35)-N(H35))</f>
        <v/>
      </c>
      <c r="L35" s="36">
        <f>IF(K35="","",IF(K35=0,0,M35/K35))</f>
        <v/>
      </c>
      <c r="M35" s="36">
        <f>IF(K35="","",N(M34)+N(G35)-N(J35))</f>
        <v/>
      </c>
    </row>
    <row r="36">
      <c r="A36" s="32" t="n">
        <v>28</v>
      </c>
      <c r="B36" s="33" t="n"/>
      <c r="C36" s="17" t="n"/>
      <c r="D36" s="17" t="n"/>
      <c r="E36" s="34" t="n"/>
      <c r="F36" s="35" t="n"/>
      <c r="G36" s="36">
        <f>IF(E36="","",E36*F36)</f>
        <v/>
      </c>
      <c r="H36" s="34" t="n"/>
      <c r="I36" s="36">
        <f>IF(H36="","",L35)</f>
        <v/>
      </c>
      <c r="J36" s="36">
        <f>IF(H36="","",H36*I36)</f>
        <v/>
      </c>
      <c r="K36" s="37">
        <f>IF(AND(E36="",H36=""),"",N(K35)+N(E36)-N(H36))</f>
        <v/>
      </c>
      <c r="L36" s="36">
        <f>IF(K36="","",IF(K36=0,0,M36/K36))</f>
        <v/>
      </c>
      <c r="M36" s="36">
        <f>IF(K36="","",N(M35)+N(G36)-N(J36))</f>
        <v/>
      </c>
    </row>
    <row r="37">
      <c r="A37" s="32" t="n">
        <v>29</v>
      </c>
      <c r="B37" s="33" t="n"/>
      <c r="C37" s="17" t="n"/>
      <c r="D37" s="17" t="n"/>
      <c r="E37" s="34" t="n"/>
      <c r="F37" s="35" t="n"/>
      <c r="G37" s="36">
        <f>IF(E37="","",E37*F37)</f>
        <v/>
      </c>
      <c r="H37" s="34" t="n"/>
      <c r="I37" s="36">
        <f>IF(H37="","",L36)</f>
        <v/>
      </c>
      <c r="J37" s="36">
        <f>IF(H37="","",H37*I37)</f>
        <v/>
      </c>
      <c r="K37" s="37">
        <f>IF(AND(E37="",H37=""),"",N(K36)+N(E37)-N(H37))</f>
        <v/>
      </c>
      <c r="L37" s="36">
        <f>IF(K37="","",IF(K37=0,0,M37/K37))</f>
        <v/>
      </c>
      <c r="M37" s="36">
        <f>IF(K37="","",N(M36)+N(G37)-N(J37))</f>
        <v/>
      </c>
    </row>
    <row r="38">
      <c r="A38" s="32" t="n">
        <v>30</v>
      </c>
      <c r="B38" s="33" t="n"/>
      <c r="C38" s="17" t="n"/>
      <c r="D38" s="17" t="n"/>
      <c r="E38" s="34" t="n"/>
      <c r="F38" s="35" t="n"/>
      <c r="G38" s="36">
        <f>IF(E38="","",E38*F38)</f>
        <v/>
      </c>
      <c r="H38" s="34" t="n"/>
      <c r="I38" s="36">
        <f>IF(H38="","",L37)</f>
        <v/>
      </c>
      <c r="J38" s="36">
        <f>IF(H38="","",H38*I38)</f>
        <v/>
      </c>
      <c r="K38" s="37">
        <f>IF(AND(E38="",H38=""),"",N(K37)+N(E38)-N(H38))</f>
        <v/>
      </c>
      <c r="L38" s="36">
        <f>IF(K38="","",IF(K38=0,0,M38/K38))</f>
        <v/>
      </c>
      <c r="M38" s="36">
        <f>IF(K38="","",N(M37)+N(G38)-N(J38))</f>
        <v/>
      </c>
    </row>
    <row r="39">
      <c r="A39" s="32" t="n">
        <v>31</v>
      </c>
      <c r="B39" s="33" t="n"/>
      <c r="C39" s="17" t="n"/>
      <c r="D39" s="17" t="n"/>
      <c r="E39" s="34" t="n"/>
      <c r="F39" s="35" t="n"/>
      <c r="G39" s="36">
        <f>IF(E39="","",E39*F39)</f>
        <v/>
      </c>
      <c r="H39" s="34" t="n"/>
      <c r="I39" s="36">
        <f>IF(H39="","",L38)</f>
        <v/>
      </c>
      <c r="J39" s="36">
        <f>IF(H39="","",H39*I39)</f>
        <v/>
      </c>
      <c r="K39" s="37">
        <f>IF(AND(E39="",H39=""),"",N(K38)+N(E39)-N(H39))</f>
        <v/>
      </c>
      <c r="L39" s="36">
        <f>IF(K39="","",IF(K39=0,0,M39/K39))</f>
        <v/>
      </c>
      <c r="M39" s="36">
        <f>IF(K39="","",N(M38)+N(G39)-N(J39))</f>
        <v/>
      </c>
    </row>
    <row r="40">
      <c r="A40" s="32" t="n">
        <v>32</v>
      </c>
      <c r="B40" s="33" t="n"/>
      <c r="C40" s="17" t="n"/>
      <c r="D40" s="17" t="n"/>
      <c r="E40" s="34" t="n"/>
      <c r="F40" s="35" t="n"/>
      <c r="G40" s="36">
        <f>IF(E40="","",E40*F40)</f>
        <v/>
      </c>
      <c r="H40" s="34" t="n"/>
      <c r="I40" s="36">
        <f>IF(H40="","",L39)</f>
        <v/>
      </c>
      <c r="J40" s="36">
        <f>IF(H40="","",H40*I40)</f>
        <v/>
      </c>
      <c r="K40" s="37">
        <f>IF(AND(E40="",H40=""),"",N(K39)+N(E40)-N(H40))</f>
        <v/>
      </c>
      <c r="L40" s="36">
        <f>IF(K40="","",IF(K40=0,0,M40/K40))</f>
        <v/>
      </c>
      <c r="M40" s="36">
        <f>IF(K40="","",N(M39)+N(G40)-N(J40))</f>
        <v/>
      </c>
    </row>
    <row r="41">
      <c r="A41" s="32" t="n">
        <v>33</v>
      </c>
      <c r="B41" s="33" t="n"/>
      <c r="C41" s="17" t="n"/>
      <c r="D41" s="17" t="n"/>
      <c r="E41" s="34" t="n"/>
      <c r="F41" s="35" t="n"/>
      <c r="G41" s="36">
        <f>IF(E41="","",E41*F41)</f>
        <v/>
      </c>
      <c r="H41" s="34" t="n"/>
      <c r="I41" s="36">
        <f>IF(H41="","",L40)</f>
        <v/>
      </c>
      <c r="J41" s="36">
        <f>IF(H41="","",H41*I41)</f>
        <v/>
      </c>
      <c r="K41" s="37">
        <f>IF(AND(E41="",H41=""),"",N(K40)+N(E41)-N(H41))</f>
        <v/>
      </c>
      <c r="L41" s="36">
        <f>IF(K41="","",IF(K41=0,0,M41/K41))</f>
        <v/>
      </c>
      <c r="M41" s="36">
        <f>IF(K41="","",N(M40)+N(G41)-N(J41))</f>
        <v/>
      </c>
    </row>
    <row r="42">
      <c r="A42" s="32" t="n">
        <v>34</v>
      </c>
      <c r="B42" s="33" t="n"/>
      <c r="C42" s="17" t="n"/>
      <c r="D42" s="17" t="n"/>
      <c r="E42" s="34" t="n"/>
      <c r="F42" s="35" t="n"/>
      <c r="G42" s="36">
        <f>IF(E42="","",E42*F42)</f>
        <v/>
      </c>
      <c r="H42" s="34" t="n"/>
      <c r="I42" s="36">
        <f>IF(H42="","",L41)</f>
        <v/>
      </c>
      <c r="J42" s="36">
        <f>IF(H42="","",H42*I42)</f>
        <v/>
      </c>
      <c r="K42" s="37">
        <f>IF(AND(E42="",H42=""),"",N(K41)+N(E42)-N(H42))</f>
        <v/>
      </c>
      <c r="L42" s="36">
        <f>IF(K42="","",IF(K42=0,0,M42/K42))</f>
        <v/>
      </c>
      <c r="M42" s="36">
        <f>IF(K42="","",N(M41)+N(G42)-N(J42))</f>
        <v/>
      </c>
    </row>
    <row r="43">
      <c r="A43" s="32" t="n">
        <v>35</v>
      </c>
      <c r="B43" s="33" t="n"/>
      <c r="C43" s="17" t="n"/>
      <c r="D43" s="17" t="n"/>
      <c r="E43" s="34" t="n"/>
      <c r="F43" s="35" t="n"/>
      <c r="G43" s="36">
        <f>IF(E43="","",E43*F43)</f>
        <v/>
      </c>
      <c r="H43" s="34" t="n"/>
      <c r="I43" s="36">
        <f>IF(H43="","",L42)</f>
        <v/>
      </c>
      <c r="J43" s="36">
        <f>IF(H43="","",H43*I43)</f>
        <v/>
      </c>
      <c r="K43" s="37">
        <f>IF(AND(E43="",H43=""),"",N(K42)+N(E43)-N(H43))</f>
        <v/>
      </c>
      <c r="L43" s="36">
        <f>IF(K43="","",IF(K43=0,0,M43/K43))</f>
        <v/>
      </c>
      <c r="M43" s="36">
        <f>IF(K43="","",N(M42)+N(G43)-N(J43))</f>
        <v/>
      </c>
    </row>
    <row r="44">
      <c r="A44" s="32" t="n">
        <v>36</v>
      </c>
      <c r="B44" s="33" t="n"/>
      <c r="C44" s="17" t="n"/>
      <c r="D44" s="17" t="n"/>
      <c r="E44" s="34" t="n"/>
      <c r="F44" s="35" t="n"/>
      <c r="G44" s="36">
        <f>IF(E44="","",E44*F44)</f>
        <v/>
      </c>
      <c r="H44" s="34" t="n"/>
      <c r="I44" s="36">
        <f>IF(H44="","",L43)</f>
        <v/>
      </c>
      <c r="J44" s="36">
        <f>IF(H44="","",H44*I44)</f>
        <v/>
      </c>
      <c r="K44" s="37">
        <f>IF(AND(E44="",H44=""),"",N(K43)+N(E44)-N(H44))</f>
        <v/>
      </c>
      <c r="L44" s="36">
        <f>IF(K44="","",IF(K44=0,0,M44/K44))</f>
        <v/>
      </c>
      <c r="M44" s="36">
        <f>IF(K44="","",N(M43)+N(G44)-N(J44))</f>
        <v/>
      </c>
    </row>
    <row r="45">
      <c r="A45" s="32" t="n">
        <v>37</v>
      </c>
      <c r="B45" s="33" t="n"/>
      <c r="C45" s="17" t="n"/>
      <c r="D45" s="17" t="n"/>
      <c r="E45" s="34" t="n"/>
      <c r="F45" s="35" t="n"/>
      <c r="G45" s="36">
        <f>IF(E45="","",E45*F45)</f>
        <v/>
      </c>
      <c r="H45" s="34" t="n"/>
      <c r="I45" s="36">
        <f>IF(H45="","",L44)</f>
        <v/>
      </c>
      <c r="J45" s="36">
        <f>IF(H45="","",H45*I45)</f>
        <v/>
      </c>
      <c r="K45" s="37">
        <f>IF(AND(E45="",H45=""),"",N(K44)+N(E45)-N(H45))</f>
        <v/>
      </c>
      <c r="L45" s="36">
        <f>IF(K45="","",IF(K45=0,0,M45/K45))</f>
        <v/>
      </c>
      <c r="M45" s="36">
        <f>IF(K45="","",N(M44)+N(G45)-N(J45))</f>
        <v/>
      </c>
    </row>
    <row r="46">
      <c r="A46" s="32" t="n">
        <v>38</v>
      </c>
      <c r="B46" s="33" t="n"/>
      <c r="C46" s="17" t="n"/>
      <c r="D46" s="17" t="n"/>
      <c r="E46" s="34" t="n"/>
      <c r="F46" s="35" t="n"/>
      <c r="G46" s="36">
        <f>IF(E46="","",E46*F46)</f>
        <v/>
      </c>
      <c r="H46" s="34" t="n"/>
      <c r="I46" s="36">
        <f>IF(H46="","",L45)</f>
        <v/>
      </c>
      <c r="J46" s="36">
        <f>IF(H46="","",H46*I46)</f>
        <v/>
      </c>
      <c r="K46" s="37">
        <f>IF(AND(E46="",H46=""),"",N(K45)+N(E46)-N(H46))</f>
        <v/>
      </c>
      <c r="L46" s="36">
        <f>IF(K46="","",IF(K46=0,0,M46/K46))</f>
        <v/>
      </c>
      <c r="M46" s="36">
        <f>IF(K46="","",N(M45)+N(G46)-N(J46))</f>
        <v/>
      </c>
    </row>
    <row r="47">
      <c r="A47" s="32" t="n">
        <v>39</v>
      </c>
      <c r="B47" s="33" t="n"/>
      <c r="C47" s="17" t="n"/>
      <c r="D47" s="17" t="n"/>
      <c r="E47" s="34" t="n"/>
      <c r="F47" s="35" t="n"/>
      <c r="G47" s="36">
        <f>IF(E47="","",E47*F47)</f>
        <v/>
      </c>
      <c r="H47" s="34" t="n"/>
      <c r="I47" s="36">
        <f>IF(H47="","",L46)</f>
        <v/>
      </c>
      <c r="J47" s="36">
        <f>IF(H47="","",H47*I47)</f>
        <v/>
      </c>
      <c r="K47" s="37">
        <f>IF(AND(E47="",H47=""),"",N(K46)+N(E47)-N(H47))</f>
        <v/>
      </c>
      <c r="L47" s="36">
        <f>IF(K47="","",IF(K47=0,0,M47/K47))</f>
        <v/>
      </c>
      <c r="M47" s="36">
        <f>IF(K47="","",N(M46)+N(G47)-N(J47))</f>
        <v/>
      </c>
    </row>
    <row r="48">
      <c r="A48" s="32" t="n">
        <v>40</v>
      </c>
      <c r="B48" s="33" t="n"/>
      <c r="C48" s="17" t="n"/>
      <c r="D48" s="17" t="n"/>
      <c r="E48" s="34" t="n"/>
      <c r="F48" s="35" t="n"/>
      <c r="G48" s="36">
        <f>IF(E48="","",E48*F48)</f>
        <v/>
      </c>
      <c r="H48" s="34" t="n"/>
      <c r="I48" s="36">
        <f>IF(H48="","",L47)</f>
        <v/>
      </c>
      <c r="J48" s="36">
        <f>IF(H48="","",H48*I48)</f>
        <v/>
      </c>
      <c r="K48" s="37">
        <f>IF(AND(E48="",H48=""),"",N(K47)+N(E48)-N(H48))</f>
        <v/>
      </c>
      <c r="L48" s="36">
        <f>IF(K48="","",IF(K48=0,0,M48/K48))</f>
        <v/>
      </c>
      <c r="M48" s="36">
        <f>IF(K48="","",N(M47)+N(G48)-N(J48))</f>
        <v/>
      </c>
    </row>
    <row r="49">
      <c r="A49" s="32" t="n">
        <v>41</v>
      </c>
      <c r="B49" s="33" t="n"/>
      <c r="C49" s="17" t="n"/>
      <c r="D49" s="17" t="n"/>
      <c r="E49" s="34" t="n"/>
      <c r="F49" s="35" t="n"/>
      <c r="G49" s="36">
        <f>IF(E49="","",E49*F49)</f>
        <v/>
      </c>
      <c r="H49" s="34" t="n"/>
      <c r="I49" s="36">
        <f>IF(H49="","",L48)</f>
        <v/>
      </c>
      <c r="J49" s="36">
        <f>IF(H49="","",H49*I49)</f>
        <v/>
      </c>
      <c r="K49" s="37">
        <f>IF(AND(E49="",H49=""),"",N(K48)+N(E49)-N(H49))</f>
        <v/>
      </c>
      <c r="L49" s="36">
        <f>IF(K49="","",IF(K49=0,0,M49/K49))</f>
        <v/>
      </c>
      <c r="M49" s="36">
        <f>IF(K49="","",N(M48)+N(G49)-N(J49))</f>
        <v/>
      </c>
    </row>
    <row r="50">
      <c r="A50" s="32" t="n">
        <v>42</v>
      </c>
      <c r="B50" s="33" t="n"/>
      <c r="C50" s="17" t="n"/>
      <c r="D50" s="17" t="n"/>
      <c r="E50" s="34" t="n"/>
      <c r="F50" s="35" t="n"/>
      <c r="G50" s="36">
        <f>IF(E50="","",E50*F50)</f>
        <v/>
      </c>
      <c r="H50" s="34" t="n"/>
      <c r="I50" s="36">
        <f>IF(H50="","",L49)</f>
        <v/>
      </c>
      <c r="J50" s="36">
        <f>IF(H50="","",H50*I50)</f>
        <v/>
      </c>
      <c r="K50" s="37">
        <f>IF(AND(E50="",H50=""),"",N(K49)+N(E50)-N(H50))</f>
        <v/>
      </c>
      <c r="L50" s="36">
        <f>IF(K50="","",IF(K50=0,0,M50/K50))</f>
        <v/>
      </c>
      <c r="M50" s="36">
        <f>IF(K50="","",N(M49)+N(G50)-N(J50))</f>
        <v/>
      </c>
    </row>
    <row r="51">
      <c r="A51" s="32" t="n">
        <v>43</v>
      </c>
      <c r="B51" s="33" t="n"/>
      <c r="C51" s="17" t="n"/>
      <c r="D51" s="17" t="n"/>
      <c r="E51" s="34" t="n"/>
      <c r="F51" s="35" t="n"/>
      <c r="G51" s="36">
        <f>IF(E51="","",E51*F51)</f>
        <v/>
      </c>
      <c r="H51" s="34" t="n"/>
      <c r="I51" s="36">
        <f>IF(H51="","",L50)</f>
        <v/>
      </c>
      <c r="J51" s="36">
        <f>IF(H51="","",H51*I51)</f>
        <v/>
      </c>
      <c r="K51" s="37">
        <f>IF(AND(E51="",H51=""),"",N(K50)+N(E51)-N(H51))</f>
        <v/>
      </c>
      <c r="L51" s="36">
        <f>IF(K51="","",IF(K51=0,0,M51/K51))</f>
        <v/>
      </c>
      <c r="M51" s="36">
        <f>IF(K51="","",N(M50)+N(G51)-N(J51))</f>
        <v/>
      </c>
    </row>
    <row r="52">
      <c r="A52" s="32" t="n">
        <v>44</v>
      </c>
      <c r="B52" s="33" t="n"/>
      <c r="C52" s="17" t="n"/>
      <c r="D52" s="17" t="n"/>
      <c r="E52" s="34" t="n"/>
      <c r="F52" s="35" t="n"/>
      <c r="G52" s="36">
        <f>IF(E52="","",E52*F52)</f>
        <v/>
      </c>
      <c r="H52" s="34" t="n"/>
      <c r="I52" s="36">
        <f>IF(H52="","",L51)</f>
        <v/>
      </c>
      <c r="J52" s="36">
        <f>IF(H52="","",H52*I52)</f>
        <v/>
      </c>
      <c r="K52" s="37">
        <f>IF(AND(E52="",H52=""),"",N(K51)+N(E52)-N(H52))</f>
        <v/>
      </c>
      <c r="L52" s="36">
        <f>IF(K52="","",IF(K52=0,0,M52/K52))</f>
        <v/>
      </c>
      <c r="M52" s="36">
        <f>IF(K52="","",N(M51)+N(G52)-N(J52))</f>
        <v/>
      </c>
    </row>
    <row r="53">
      <c r="A53" s="32" t="n">
        <v>45</v>
      </c>
      <c r="B53" s="33" t="n"/>
      <c r="C53" s="17" t="n"/>
      <c r="D53" s="17" t="n"/>
      <c r="E53" s="34" t="n"/>
      <c r="F53" s="35" t="n"/>
      <c r="G53" s="36">
        <f>IF(E53="","",E53*F53)</f>
        <v/>
      </c>
      <c r="H53" s="34" t="n"/>
      <c r="I53" s="36">
        <f>IF(H53="","",L52)</f>
        <v/>
      </c>
      <c r="J53" s="36">
        <f>IF(H53="","",H53*I53)</f>
        <v/>
      </c>
      <c r="K53" s="37">
        <f>IF(AND(E53="",H53=""),"",N(K52)+N(E53)-N(H53))</f>
        <v/>
      </c>
      <c r="L53" s="36">
        <f>IF(K53="","",IF(K53=0,0,M53/K53))</f>
        <v/>
      </c>
      <c r="M53" s="36">
        <f>IF(K53="","",N(M52)+N(G53)-N(J53))</f>
        <v/>
      </c>
    </row>
    <row r="54">
      <c r="A54" s="32" t="n">
        <v>46</v>
      </c>
      <c r="B54" s="33" t="n"/>
      <c r="C54" s="17" t="n"/>
      <c r="D54" s="17" t="n"/>
      <c r="E54" s="34" t="n"/>
      <c r="F54" s="35" t="n"/>
      <c r="G54" s="36">
        <f>IF(E54="","",E54*F54)</f>
        <v/>
      </c>
      <c r="H54" s="34" t="n"/>
      <c r="I54" s="36">
        <f>IF(H54="","",L53)</f>
        <v/>
      </c>
      <c r="J54" s="36">
        <f>IF(H54="","",H54*I54)</f>
        <v/>
      </c>
      <c r="K54" s="37">
        <f>IF(AND(E54="",H54=""),"",N(K53)+N(E54)-N(H54))</f>
        <v/>
      </c>
      <c r="L54" s="36">
        <f>IF(K54="","",IF(K54=0,0,M54/K54))</f>
        <v/>
      </c>
      <c r="M54" s="36">
        <f>IF(K54="","",N(M53)+N(G54)-N(J54))</f>
        <v/>
      </c>
    </row>
    <row r="55">
      <c r="A55" s="32" t="n">
        <v>47</v>
      </c>
      <c r="B55" s="33" t="n"/>
      <c r="C55" s="17" t="n"/>
      <c r="D55" s="17" t="n"/>
      <c r="E55" s="34" t="n"/>
      <c r="F55" s="35" t="n"/>
      <c r="G55" s="36">
        <f>IF(E55="","",E55*F55)</f>
        <v/>
      </c>
      <c r="H55" s="34" t="n"/>
      <c r="I55" s="36">
        <f>IF(H55="","",L54)</f>
        <v/>
      </c>
      <c r="J55" s="36">
        <f>IF(H55="","",H55*I55)</f>
        <v/>
      </c>
      <c r="K55" s="37">
        <f>IF(AND(E55="",H55=""),"",N(K54)+N(E55)-N(H55))</f>
        <v/>
      </c>
      <c r="L55" s="36">
        <f>IF(K55="","",IF(K55=0,0,M55/K55))</f>
        <v/>
      </c>
      <c r="M55" s="36">
        <f>IF(K55="","",N(M54)+N(G55)-N(J55))</f>
        <v/>
      </c>
    </row>
    <row r="56">
      <c r="A56" s="32" t="n">
        <v>48</v>
      </c>
      <c r="B56" s="33" t="n"/>
      <c r="C56" s="17" t="n"/>
      <c r="D56" s="17" t="n"/>
      <c r="E56" s="34" t="n"/>
      <c r="F56" s="35" t="n"/>
      <c r="G56" s="36">
        <f>IF(E56="","",E56*F56)</f>
        <v/>
      </c>
      <c r="H56" s="34" t="n"/>
      <c r="I56" s="36">
        <f>IF(H56="","",L55)</f>
        <v/>
      </c>
      <c r="J56" s="36">
        <f>IF(H56="","",H56*I56)</f>
        <v/>
      </c>
      <c r="K56" s="37">
        <f>IF(AND(E56="",H56=""),"",N(K55)+N(E56)-N(H56))</f>
        <v/>
      </c>
      <c r="L56" s="36">
        <f>IF(K56="","",IF(K56=0,0,M56/K56))</f>
        <v/>
      </c>
      <c r="M56" s="36">
        <f>IF(K56="","",N(M55)+N(G56)-N(J56))</f>
        <v/>
      </c>
    </row>
    <row r="57">
      <c r="A57" s="32" t="n">
        <v>49</v>
      </c>
      <c r="B57" s="33" t="n"/>
      <c r="C57" s="17" t="n"/>
      <c r="D57" s="17" t="n"/>
      <c r="E57" s="34" t="n"/>
      <c r="F57" s="35" t="n"/>
      <c r="G57" s="36">
        <f>IF(E57="","",E57*F57)</f>
        <v/>
      </c>
      <c r="H57" s="34" t="n"/>
      <c r="I57" s="36">
        <f>IF(H57="","",L56)</f>
        <v/>
      </c>
      <c r="J57" s="36">
        <f>IF(H57="","",H57*I57)</f>
        <v/>
      </c>
      <c r="K57" s="37">
        <f>IF(AND(E57="",H57=""),"",N(K56)+N(E57)-N(H57))</f>
        <v/>
      </c>
      <c r="L57" s="36">
        <f>IF(K57="","",IF(K57=0,0,M57/K57))</f>
        <v/>
      </c>
      <c r="M57" s="36">
        <f>IF(K57="","",N(M56)+N(G57)-N(J57))</f>
        <v/>
      </c>
    </row>
    <row r="58">
      <c r="A58" s="32" t="n">
        <v>50</v>
      </c>
      <c r="B58" s="33" t="n"/>
      <c r="C58" s="17" t="n"/>
      <c r="D58" s="17" t="n"/>
      <c r="E58" s="34" t="n"/>
      <c r="F58" s="35" t="n"/>
      <c r="G58" s="36">
        <f>IF(E58="","",E58*F58)</f>
        <v/>
      </c>
      <c r="H58" s="34" t="n"/>
      <c r="I58" s="36">
        <f>IF(H58="","",L57)</f>
        <v/>
      </c>
      <c r="J58" s="36">
        <f>IF(H58="","",H58*I58)</f>
        <v/>
      </c>
      <c r="K58" s="37">
        <f>IF(AND(E58="",H58=""),"",N(K57)+N(E58)-N(H58))</f>
        <v/>
      </c>
      <c r="L58" s="36">
        <f>IF(K58="","",IF(K58=0,0,M58/K58))</f>
        <v/>
      </c>
      <c r="M58" s="36">
        <f>IF(K58="","",N(M57)+N(G58)-N(J58))</f>
        <v/>
      </c>
    </row>
    <row r="59">
      <c r="A59" s="32" t="n">
        <v>51</v>
      </c>
      <c r="B59" s="33" t="n"/>
      <c r="C59" s="17" t="n"/>
      <c r="D59" s="17" t="n"/>
      <c r="E59" s="34" t="n"/>
      <c r="F59" s="35" t="n"/>
      <c r="G59" s="36">
        <f>IF(E59="","",E59*F59)</f>
        <v/>
      </c>
      <c r="H59" s="34" t="n"/>
      <c r="I59" s="36">
        <f>IF(H59="","",L58)</f>
        <v/>
      </c>
      <c r="J59" s="36">
        <f>IF(H59="","",H59*I59)</f>
        <v/>
      </c>
      <c r="K59" s="37">
        <f>IF(AND(E59="",H59=""),"",N(K58)+N(E59)-N(H59))</f>
        <v/>
      </c>
      <c r="L59" s="36">
        <f>IF(K59="","",IF(K59=0,0,M59/K59))</f>
        <v/>
      </c>
      <c r="M59" s="36">
        <f>IF(K59="","",N(M58)+N(G59)-N(J59))</f>
        <v/>
      </c>
    </row>
    <row r="60">
      <c r="A60" s="32" t="n">
        <v>52</v>
      </c>
      <c r="B60" s="33" t="n"/>
      <c r="C60" s="17" t="n"/>
      <c r="D60" s="17" t="n"/>
      <c r="E60" s="34" t="n"/>
      <c r="F60" s="35" t="n"/>
      <c r="G60" s="36">
        <f>IF(E60="","",E60*F60)</f>
        <v/>
      </c>
      <c r="H60" s="34" t="n"/>
      <c r="I60" s="36">
        <f>IF(H60="","",L59)</f>
        <v/>
      </c>
      <c r="J60" s="36">
        <f>IF(H60="","",H60*I60)</f>
        <v/>
      </c>
      <c r="K60" s="37">
        <f>IF(AND(E60="",H60=""),"",N(K59)+N(E60)-N(H60))</f>
        <v/>
      </c>
      <c r="L60" s="36">
        <f>IF(K60="","",IF(K60=0,0,M60/K60))</f>
        <v/>
      </c>
      <c r="M60" s="36">
        <f>IF(K60="","",N(M59)+N(G60)-N(J60))</f>
        <v/>
      </c>
    </row>
    <row r="61">
      <c r="A61" s="32" t="n">
        <v>53</v>
      </c>
      <c r="B61" s="33" t="n"/>
      <c r="C61" s="17" t="n"/>
      <c r="D61" s="17" t="n"/>
      <c r="E61" s="34" t="n"/>
      <c r="F61" s="35" t="n"/>
      <c r="G61" s="36">
        <f>IF(E61="","",E61*F61)</f>
        <v/>
      </c>
      <c r="H61" s="34" t="n"/>
      <c r="I61" s="36">
        <f>IF(H61="","",L60)</f>
        <v/>
      </c>
      <c r="J61" s="36">
        <f>IF(H61="","",H61*I61)</f>
        <v/>
      </c>
      <c r="K61" s="37">
        <f>IF(AND(E61="",H61=""),"",N(K60)+N(E61)-N(H61))</f>
        <v/>
      </c>
      <c r="L61" s="36">
        <f>IF(K61="","",IF(K61=0,0,M61/K61))</f>
        <v/>
      </c>
      <c r="M61" s="36">
        <f>IF(K61="","",N(M60)+N(G61)-N(J61))</f>
        <v/>
      </c>
    </row>
    <row r="62">
      <c r="A62" s="32" t="n">
        <v>54</v>
      </c>
      <c r="B62" s="33" t="n"/>
      <c r="C62" s="17" t="n"/>
      <c r="D62" s="17" t="n"/>
      <c r="E62" s="34" t="n"/>
      <c r="F62" s="35" t="n"/>
      <c r="G62" s="36">
        <f>IF(E62="","",E62*F62)</f>
        <v/>
      </c>
      <c r="H62" s="34" t="n"/>
      <c r="I62" s="36">
        <f>IF(H62="","",L61)</f>
        <v/>
      </c>
      <c r="J62" s="36">
        <f>IF(H62="","",H62*I62)</f>
        <v/>
      </c>
      <c r="K62" s="37">
        <f>IF(AND(E62="",H62=""),"",N(K61)+N(E62)-N(H62))</f>
        <v/>
      </c>
      <c r="L62" s="36">
        <f>IF(K62="","",IF(K62=0,0,M62/K62))</f>
        <v/>
      </c>
      <c r="M62" s="36">
        <f>IF(K62="","",N(M61)+N(G62)-N(J62))</f>
        <v/>
      </c>
    </row>
    <row r="63">
      <c r="A63" s="32" t="n">
        <v>55</v>
      </c>
      <c r="B63" s="33" t="n"/>
      <c r="C63" s="17" t="n"/>
      <c r="D63" s="17" t="n"/>
      <c r="E63" s="34" t="n"/>
      <c r="F63" s="35" t="n"/>
      <c r="G63" s="36">
        <f>IF(E63="","",E63*F63)</f>
        <v/>
      </c>
      <c r="H63" s="34" t="n"/>
      <c r="I63" s="36">
        <f>IF(H63="","",L62)</f>
        <v/>
      </c>
      <c r="J63" s="36">
        <f>IF(H63="","",H63*I63)</f>
        <v/>
      </c>
      <c r="K63" s="37">
        <f>IF(AND(E63="",H63=""),"",N(K62)+N(E63)-N(H63))</f>
        <v/>
      </c>
      <c r="L63" s="36">
        <f>IF(K63="","",IF(K63=0,0,M63/K63))</f>
        <v/>
      </c>
      <c r="M63" s="36">
        <f>IF(K63="","",N(M62)+N(G63)-N(J63))</f>
        <v/>
      </c>
    </row>
    <row r="64">
      <c r="A64" s="32" t="n">
        <v>56</v>
      </c>
      <c r="B64" s="33" t="n"/>
      <c r="C64" s="17" t="n"/>
      <c r="D64" s="17" t="n"/>
      <c r="E64" s="34" t="n"/>
      <c r="F64" s="35" t="n"/>
      <c r="G64" s="36">
        <f>IF(E64="","",E64*F64)</f>
        <v/>
      </c>
      <c r="H64" s="34" t="n"/>
      <c r="I64" s="36">
        <f>IF(H64="","",L63)</f>
        <v/>
      </c>
      <c r="J64" s="36">
        <f>IF(H64="","",H64*I64)</f>
        <v/>
      </c>
      <c r="K64" s="37">
        <f>IF(AND(E64="",H64=""),"",N(K63)+N(E64)-N(H64))</f>
        <v/>
      </c>
      <c r="L64" s="36">
        <f>IF(K64="","",IF(K64=0,0,M64/K64))</f>
        <v/>
      </c>
      <c r="M64" s="36">
        <f>IF(K64="","",N(M63)+N(G64)-N(J64))</f>
        <v/>
      </c>
    </row>
    <row r="65">
      <c r="A65" s="32" t="n">
        <v>57</v>
      </c>
      <c r="B65" s="33" t="n"/>
      <c r="C65" s="17" t="n"/>
      <c r="D65" s="17" t="n"/>
      <c r="E65" s="34" t="n"/>
      <c r="F65" s="35" t="n"/>
      <c r="G65" s="36">
        <f>IF(E65="","",E65*F65)</f>
        <v/>
      </c>
      <c r="H65" s="34" t="n"/>
      <c r="I65" s="36">
        <f>IF(H65="","",L64)</f>
        <v/>
      </c>
      <c r="J65" s="36">
        <f>IF(H65="","",H65*I65)</f>
        <v/>
      </c>
      <c r="K65" s="37">
        <f>IF(AND(E65="",H65=""),"",N(K64)+N(E65)-N(H65))</f>
        <v/>
      </c>
      <c r="L65" s="36">
        <f>IF(K65="","",IF(K65=0,0,M65/K65))</f>
        <v/>
      </c>
      <c r="M65" s="36">
        <f>IF(K65="","",N(M64)+N(G65)-N(J65))</f>
        <v/>
      </c>
    </row>
    <row r="66">
      <c r="A66" s="32" t="n">
        <v>58</v>
      </c>
      <c r="B66" s="33" t="n"/>
      <c r="C66" s="17" t="n"/>
      <c r="D66" s="17" t="n"/>
      <c r="E66" s="34" t="n"/>
      <c r="F66" s="35" t="n"/>
      <c r="G66" s="36">
        <f>IF(E66="","",E66*F66)</f>
        <v/>
      </c>
      <c r="H66" s="34" t="n"/>
      <c r="I66" s="36">
        <f>IF(H66="","",L65)</f>
        <v/>
      </c>
      <c r="J66" s="36">
        <f>IF(H66="","",H66*I66)</f>
        <v/>
      </c>
      <c r="K66" s="37">
        <f>IF(AND(E66="",H66=""),"",N(K65)+N(E66)-N(H66))</f>
        <v/>
      </c>
      <c r="L66" s="36">
        <f>IF(K66="","",IF(K66=0,0,M66/K66))</f>
        <v/>
      </c>
      <c r="M66" s="36">
        <f>IF(K66="","",N(M65)+N(G66)-N(J66))</f>
        <v/>
      </c>
    </row>
    <row r="67">
      <c r="A67" s="32" t="n">
        <v>59</v>
      </c>
      <c r="B67" s="33" t="n"/>
      <c r="C67" s="17" t="n"/>
      <c r="D67" s="17" t="n"/>
      <c r="E67" s="34" t="n"/>
      <c r="F67" s="35" t="n"/>
      <c r="G67" s="36">
        <f>IF(E67="","",E67*F67)</f>
        <v/>
      </c>
      <c r="H67" s="34" t="n"/>
      <c r="I67" s="36">
        <f>IF(H67="","",L66)</f>
        <v/>
      </c>
      <c r="J67" s="36">
        <f>IF(H67="","",H67*I67)</f>
        <v/>
      </c>
      <c r="K67" s="37">
        <f>IF(AND(E67="",H67=""),"",N(K66)+N(E67)-N(H67))</f>
        <v/>
      </c>
      <c r="L67" s="36">
        <f>IF(K67="","",IF(K67=0,0,M67/K67))</f>
        <v/>
      </c>
      <c r="M67" s="36">
        <f>IF(K67="","",N(M66)+N(G67)-N(J67))</f>
        <v/>
      </c>
    </row>
    <row r="68">
      <c r="A68" s="32" t="n">
        <v>60</v>
      </c>
      <c r="B68" s="33" t="n"/>
      <c r="C68" s="17" t="n"/>
      <c r="D68" s="17" t="n"/>
      <c r="E68" s="34" t="n"/>
      <c r="F68" s="35" t="n"/>
      <c r="G68" s="36">
        <f>IF(E68="","",E68*F68)</f>
        <v/>
      </c>
      <c r="H68" s="34" t="n"/>
      <c r="I68" s="36">
        <f>IF(H68="","",L67)</f>
        <v/>
      </c>
      <c r="J68" s="36">
        <f>IF(H68="","",H68*I68)</f>
        <v/>
      </c>
      <c r="K68" s="37">
        <f>IF(AND(E68="",H68=""),"",N(K67)+N(E68)-N(H68))</f>
        <v/>
      </c>
      <c r="L68" s="36">
        <f>IF(K68="","",IF(K68=0,0,M68/K68))</f>
        <v/>
      </c>
      <c r="M68" s="36">
        <f>IF(K68="","",N(M67)+N(G68)-N(J68))</f>
        <v/>
      </c>
    </row>
    <row r="69">
      <c r="A69" s="32" t="n">
        <v>61</v>
      </c>
      <c r="B69" s="33" t="n"/>
      <c r="C69" s="17" t="n"/>
      <c r="D69" s="17" t="n"/>
      <c r="E69" s="34" t="n"/>
      <c r="F69" s="35" t="n"/>
      <c r="G69" s="36">
        <f>IF(E69="","",E69*F69)</f>
        <v/>
      </c>
      <c r="H69" s="34" t="n"/>
      <c r="I69" s="36">
        <f>IF(H69="","",L68)</f>
        <v/>
      </c>
      <c r="J69" s="36">
        <f>IF(H69="","",H69*I69)</f>
        <v/>
      </c>
      <c r="K69" s="37">
        <f>IF(AND(E69="",H69=""),"",N(K68)+N(E69)-N(H69))</f>
        <v/>
      </c>
      <c r="L69" s="36">
        <f>IF(K69="","",IF(K69=0,0,M69/K69))</f>
        <v/>
      </c>
      <c r="M69" s="36">
        <f>IF(K69="","",N(M68)+N(G69)-N(J69))</f>
        <v/>
      </c>
    </row>
    <row r="70">
      <c r="A70" s="32" t="n">
        <v>62</v>
      </c>
      <c r="B70" s="33" t="n"/>
      <c r="C70" s="17" t="n"/>
      <c r="D70" s="17" t="n"/>
      <c r="E70" s="34" t="n"/>
      <c r="F70" s="35" t="n"/>
      <c r="G70" s="36">
        <f>IF(E70="","",E70*F70)</f>
        <v/>
      </c>
      <c r="H70" s="34" t="n"/>
      <c r="I70" s="36">
        <f>IF(H70="","",L69)</f>
        <v/>
      </c>
      <c r="J70" s="36">
        <f>IF(H70="","",H70*I70)</f>
        <v/>
      </c>
      <c r="K70" s="37">
        <f>IF(AND(E70="",H70=""),"",N(K69)+N(E70)-N(H70))</f>
        <v/>
      </c>
      <c r="L70" s="36">
        <f>IF(K70="","",IF(K70=0,0,M70/K70))</f>
        <v/>
      </c>
      <c r="M70" s="36">
        <f>IF(K70="","",N(M69)+N(G70)-N(J70))</f>
        <v/>
      </c>
    </row>
    <row r="71">
      <c r="A71" s="32" t="n">
        <v>63</v>
      </c>
      <c r="B71" s="33" t="n"/>
      <c r="C71" s="17" t="n"/>
      <c r="D71" s="17" t="n"/>
      <c r="E71" s="34" t="n"/>
      <c r="F71" s="35" t="n"/>
      <c r="G71" s="36">
        <f>IF(E71="","",E71*F71)</f>
        <v/>
      </c>
      <c r="H71" s="34" t="n"/>
      <c r="I71" s="36">
        <f>IF(H71="","",L70)</f>
        <v/>
      </c>
      <c r="J71" s="36">
        <f>IF(H71="","",H71*I71)</f>
        <v/>
      </c>
      <c r="K71" s="37">
        <f>IF(AND(E71="",H71=""),"",N(K70)+N(E71)-N(H71))</f>
        <v/>
      </c>
      <c r="L71" s="36">
        <f>IF(K71="","",IF(K71=0,0,M71/K71))</f>
        <v/>
      </c>
      <c r="M71" s="36">
        <f>IF(K71="","",N(M70)+N(G71)-N(J71))</f>
        <v/>
      </c>
    </row>
    <row r="72">
      <c r="A72" s="32" t="n">
        <v>64</v>
      </c>
      <c r="B72" s="33" t="n"/>
      <c r="C72" s="17" t="n"/>
      <c r="D72" s="17" t="n"/>
      <c r="E72" s="34" t="n"/>
      <c r="F72" s="35" t="n"/>
      <c r="G72" s="36">
        <f>IF(E72="","",E72*F72)</f>
        <v/>
      </c>
      <c r="H72" s="34" t="n"/>
      <c r="I72" s="36">
        <f>IF(H72="","",L71)</f>
        <v/>
      </c>
      <c r="J72" s="36">
        <f>IF(H72="","",H72*I72)</f>
        <v/>
      </c>
      <c r="K72" s="37">
        <f>IF(AND(E72="",H72=""),"",N(K71)+N(E72)-N(H72))</f>
        <v/>
      </c>
      <c r="L72" s="36">
        <f>IF(K72="","",IF(K72=0,0,M72/K72))</f>
        <v/>
      </c>
      <c r="M72" s="36">
        <f>IF(K72="","",N(M71)+N(G72)-N(J72))</f>
        <v/>
      </c>
    </row>
    <row r="73">
      <c r="A73" s="32" t="n">
        <v>65</v>
      </c>
      <c r="B73" s="33" t="n"/>
      <c r="C73" s="17" t="n"/>
      <c r="D73" s="17" t="n"/>
      <c r="E73" s="34" t="n"/>
      <c r="F73" s="35" t="n"/>
      <c r="G73" s="36">
        <f>IF(E73="","",E73*F73)</f>
        <v/>
      </c>
      <c r="H73" s="34" t="n"/>
      <c r="I73" s="36">
        <f>IF(H73="","",L72)</f>
        <v/>
      </c>
      <c r="J73" s="36">
        <f>IF(H73="","",H73*I73)</f>
        <v/>
      </c>
      <c r="K73" s="37">
        <f>IF(AND(E73="",H73=""),"",N(K72)+N(E73)-N(H73))</f>
        <v/>
      </c>
      <c r="L73" s="36">
        <f>IF(K73="","",IF(K73=0,0,M73/K73))</f>
        <v/>
      </c>
      <c r="M73" s="36">
        <f>IF(K73="","",N(M72)+N(G73)-N(J73))</f>
        <v/>
      </c>
    </row>
    <row r="74">
      <c r="A74" s="32" t="n">
        <v>66</v>
      </c>
      <c r="B74" s="33" t="n"/>
      <c r="C74" s="17" t="n"/>
      <c r="D74" s="17" t="n"/>
      <c r="E74" s="34" t="n"/>
      <c r="F74" s="35" t="n"/>
      <c r="G74" s="36">
        <f>IF(E74="","",E74*F74)</f>
        <v/>
      </c>
      <c r="H74" s="34" t="n"/>
      <c r="I74" s="36">
        <f>IF(H74="","",L73)</f>
        <v/>
      </c>
      <c r="J74" s="36">
        <f>IF(H74="","",H74*I74)</f>
        <v/>
      </c>
      <c r="K74" s="37">
        <f>IF(AND(E74="",H74=""),"",N(K73)+N(E74)-N(H74))</f>
        <v/>
      </c>
      <c r="L74" s="36">
        <f>IF(K74="","",IF(K74=0,0,M74/K74))</f>
        <v/>
      </c>
      <c r="M74" s="36">
        <f>IF(K74="","",N(M73)+N(G74)-N(J74))</f>
        <v/>
      </c>
    </row>
    <row r="75">
      <c r="A75" s="32" t="n">
        <v>67</v>
      </c>
      <c r="B75" s="33" t="n"/>
      <c r="C75" s="17" t="n"/>
      <c r="D75" s="17" t="n"/>
      <c r="E75" s="34" t="n"/>
      <c r="F75" s="35" t="n"/>
      <c r="G75" s="36">
        <f>IF(E75="","",E75*F75)</f>
        <v/>
      </c>
      <c r="H75" s="34" t="n"/>
      <c r="I75" s="36">
        <f>IF(H75="","",L74)</f>
        <v/>
      </c>
      <c r="J75" s="36">
        <f>IF(H75="","",H75*I75)</f>
        <v/>
      </c>
      <c r="K75" s="37">
        <f>IF(AND(E75="",H75=""),"",N(K74)+N(E75)-N(H75))</f>
        <v/>
      </c>
      <c r="L75" s="36">
        <f>IF(K75="","",IF(K75=0,0,M75/K75))</f>
        <v/>
      </c>
      <c r="M75" s="36">
        <f>IF(K75="","",N(M74)+N(G75)-N(J75))</f>
        <v/>
      </c>
    </row>
    <row r="76">
      <c r="A76" s="32" t="n">
        <v>68</v>
      </c>
      <c r="B76" s="33" t="n"/>
      <c r="C76" s="17" t="n"/>
      <c r="D76" s="17" t="n"/>
      <c r="E76" s="34" t="n"/>
      <c r="F76" s="35" t="n"/>
      <c r="G76" s="36">
        <f>IF(E76="","",E76*F76)</f>
        <v/>
      </c>
      <c r="H76" s="34" t="n"/>
      <c r="I76" s="36">
        <f>IF(H76="","",L75)</f>
        <v/>
      </c>
      <c r="J76" s="36">
        <f>IF(H76="","",H76*I76)</f>
        <v/>
      </c>
      <c r="K76" s="37">
        <f>IF(AND(E76="",H76=""),"",N(K75)+N(E76)-N(H76))</f>
        <v/>
      </c>
      <c r="L76" s="36">
        <f>IF(K76="","",IF(K76=0,0,M76/K76))</f>
        <v/>
      </c>
      <c r="M76" s="36">
        <f>IF(K76="","",N(M75)+N(G76)-N(J76))</f>
        <v/>
      </c>
    </row>
    <row r="77">
      <c r="A77" s="32" t="n">
        <v>69</v>
      </c>
      <c r="B77" s="33" t="n"/>
      <c r="C77" s="17" t="n"/>
      <c r="D77" s="17" t="n"/>
      <c r="E77" s="34" t="n"/>
      <c r="F77" s="35" t="n"/>
      <c r="G77" s="36">
        <f>IF(E77="","",E77*F77)</f>
        <v/>
      </c>
      <c r="H77" s="34" t="n"/>
      <c r="I77" s="36">
        <f>IF(H77="","",L76)</f>
        <v/>
      </c>
      <c r="J77" s="36">
        <f>IF(H77="","",H77*I77)</f>
        <v/>
      </c>
      <c r="K77" s="37">
        <f>IF(AND(E77="",H77=""),"",N(K76)+N(E77)-N(H77))</f>
        <v/>
      </c>
      <c r="L77" s="36">
        <f>IF(K77="","",IF(K77=0,0,M77/K77))</f>
        <v/>
      </c>
      <c r="M77" s="36">
        <f>IF(K77="","",N(M76)+N(G77)-N(J77))</f>
        <v/>
      </c>
    </row>
    <row r="78">
      <c r="A78" s="32" t="n">
        <v>70</v>
      </c>
      <c r="B78" s="33" t="n"/>
      <c r="C78" s="17" t="n"/>
      <c r="D78" s="17" t="n"/>
      <c r="E78" s="34" t="n"/>
      <c r="F78" s="35" t="n"/>
      <c r="G78" s="36">
        <f>IF(E78="","",E78*F78)</f>
        <v/>
      </c>
      <c r="H78" s="34" t="n"/>
      <c r="I78" s="36">
        <f>IF(H78="","",L77)</f>
        <v/>
      </c>
      <c r="J78" s="36">
        <f>IF(H78="","",H78*I78)</f>
        <v/>
      </c>
      <c r="K78" s="37">
        <f>IF(AND(E78="",H78=""),"",N(K77)+N(E78)-N(H78))</f>
        <v/>
      </c>
      <c r="L78" s="36">
        <f>IF(K78="","",IF(K78=0,0,M78/K78))</f>
        <v/>
      </c>
      <c r="M78" s="36">
        <f>IF(K78="","",N(M77)+N(G78)-N(J78))</f>
        <v/>
      </c>
    </row>
    <row r="79">
      <c r="A79" s="32" t="n">
        <v>71</v>
      </c>
      <c r="B79" s="33" t="n"/>
      <c r="C79" s="17" t="n"/>
      <c r="D79" s="17" t="n"/>
      <c r="E79" s="34" t="n"/>
      <c r="F79" s="35" t="n"/>
      <c r="G79" s="36">
        <f>IF(E79="","",E79*F79)</f>
        <v/>
      </c>
      <c r="H79" s="34" t="n"/>
      <c r="I79" s="36">
        <f>IF(H79="","",L78)</f>
        <v/>
      </c>
      <c r="J79" s="36">
        <f>IF(H79="","",H79*I79)</f>
        <v/>
      </c>
      <c r="K79" s="37">
        <f>IF(AND(E79="",H79=""),"",N(K78)+N(E79)-N(H79))</f>
        <v/>
      </c>
      <c r="L79" s="36">
        <f>IF(K79="","",IF(K79=0,0,M79/K79))</f>
        <v/>
      </c>
      <c r="M79" s="36">
        <f>IF(K79="","",N(M78)+N(G79)-N(J79))</f>
        <v/>
      </c>
    </row>
    <row r="80">
      <c r="A80" s="32" t="n">
        <v>72</v>
      </c>
      <c r="B80" s="33" t="n"/>
      <c r="C80" s="17" t="n"/>
      <c r="D80" s="17" t="n"/>
      <c r="E80" s="34" t="n"/>
      <c r="F80" s="35" t="n"/>
      <c r="G80" s="36">
        <f>IF(E80="","",E80*F80)</f>
        <v/>
      </c>
      <c r="H80" s="34" t="n"/>
      <c r="I80" s="36">
        <f>IF(H80="","",L79)</f>
        <v/>
      </c>
      <c r="J80" s="36">
        <f>IF(H80="","",H80*I80)</f>
        <v/>
      </c>
      <c r="K80" s="37">
        <f>IF(AND(E80="",H80=""),"",N(K79)+N(E80)-N(H80))</f>
        <v/>
      </c>
      <c r="L80" s="36">
        <f>IF(K80="","",IF(K80=0,0,M80/K80))</f>
        <v/>
      </c>
      <c r="M80" s="36">
        <f>IF(K80="","",N(M79)+N(G80)-N(J80))</f>
        <v/>
      </c>
    </row>
    <row r="81">
      <c r="A81" s="32" t="n">
        <v>73</v>
      </c>
      <c r="B81" s="33" t="n"/>
      <c r="C81" s="17" t="n"/>
      <c r="D81" s="17" t="n"/>
      <c r="E81" s="34" t="n"/>
      <c r="F81" s="35" t="n"/>
      <c r="G81" s="36">
        <f>IF(E81="","",E81*F81)</f>
        <v/>
      </c>
      <c r="H81" s="34" t="n"/>
      <c r="I81" s="36">
        <f>IF(H81="","",L80)</f>
        <v/>
      </c>
      <c r="J81" s="36">
        <f>IF(H81="","",H81*I81)</f>
        <v/>
      </c>
      <c r="K81" s="37">
        <f>IF(AND(E81="",H81=""),"",N(K80)+N(E81)-N(H81))</f>
        <v/>
      </c>
      <c r="L81" s="36">
        <f>IF(K81="","",IF(K81=0,0,M81/K81))</f>
        <v/>
      </c>
      <c r="M81" s="36">
        <f>IF(K81="","",N(M80)+N(G81)-N(J81))</f>
        <v/>
      </c>
    </row>
    <row r="82">
      <c r="A82" s="32" t="n">
        <v>74</v>
      </c>
      <c r="B82" s="33" t="n"/>
      <c r="C82" s="17" t="n"/>
      <c r="D82" s="17" t="n"/>
      <c r="E82" s="34" t="n"/>
      <c r="F82" s="35" t="n"/>
      <c r="G82" s="36">
        <f>IF(E82="","",E82*F82)</f>
        <v/>
      </c>
      <c r="H82" s="34" t="n"/>
      <c r="I82" s="36">
        <f>IF(H82="","",L81)</f>
        <v/>
      </c>
      <c r="J82" s="36">
        <f>IF(H82="","",H82*I82)</f>
        <v/>
      </c>
      <c r="K82" s="37">
        <f>IF(AND(E82="",H82=""),"",N(K81)+N(E82)-N(H82))</f>
        <v/>
      </c>
      <c r="L82" s="36">
        <f>IF(K82="","",IF(K82=0,0,M82/K82))</f>
        <v/>
      </c>
      <c r="M82" s="36">
        <f>IF(K82="","",N(M81)+N(G82)-N(J82))</f>
        <v/>
      </c>
    </row>
    <row r="83">
      <c r="A83" s="32" t="n">
        <v>75</v>
      </c>
      <c r="B83" s="33" t="n"/>
      <c r="C83" s="17" t="n"/>
      <c r="D83" s="17" t="n"/>
      <c r="E83" s="34" t="n"/>
      <c r="F83" s="35" t="n"/>
      <c r="G83" s="36">
        <f>IF(E83="","",E83*F83)</f>
        <v/>
      </c>
      <c r="H83" s="34" t="n"/>
      <c r="I83" s="36">
        <f>IF(H83="","",L82)</f>
        <v/>
      </c>
      <c r="J83" s="36">
        <f>IF(H83="","",H83*I83)</f>
        <v/>
      </c>
      <c r="K83" s="37">
        <f>IF(AND(E83="",H83=""),"",N(K82)+N(E83)-N(H83))</f>
        <v/>
      </c>
      <c r="L83" s="36">
        <f>IF(K83="","",IF(K83=0,0,M83/K83))</f>
        <v/>
      </c>
      <c r="M83" s="36">
        <f>IF(K83="","",N(M82)+N(G83)-N(J83))</f>
        <v/>
      </c>
    </row>
    <row r="84">
      <c r="A84" s="32" t="n">
        <v>76</v>
      </c>
      <c r="B84" s="33" t="n"/>
      <c r="C84" s="17" t="n"/>
      <c r="D84" s="17" t="n"/>
      <c r="E84" s="34" t="n"/>
      <c r="F84" s="35" t="n"/>
      <c r="G84" s="36">
        <f>IF(E84="","",E84*F84)</f>
        <v/>
      </c>
      <c r="H84" s="34" t="n"/>
      <c r="I84" s="36">
        <f>IF(H84="","",L83)</f>
        <v/>
      </c>
      <c r="J84" s="36">
        <f>IF(H84="","",H84*I84)</f>
        <v/>
      </c>
      <c r="K84" s="37">
        <f>IF(AND(E84="",H84=""),"",N(K83)+N(E84)-N(H84))</f>
        <v/>
      </c>
      <c r="L84" s="36">
        <f>IF(K84="","",IF(K84=0,0,M84/K84))</f>
        <v/>
      </c>
      <c r="M84" s="36">
        <f>IF(K84="","",N(M83)+N(G84)-N(J84))</f>
        <v/>
      </c>
    </row>
    <row r="85">
      <c r="A85" s="32" t="n">
        <v>77</v>
      </c>
      <c r="B85" s="33" t="n"/>
      <c r="C85" s="17" t="n"/>
      <c r="D85" s="17" t="n"/>
      <c r="E85" s="34" t="n"/>
      <c r="F85" s="35" t="n"/>
      <c r="G85" s="36">
        <f>IF(E85="","",E85*F85)</f>
        <v/>
      </c>
      <c r="H85" s="34" t="n"/>
      <c r="I85" s="36">
        <f>IF(H85="","",L84)</f>
        <v/>
      </c>
      <c r="J85" s="36">
        <f>IF(H85="","",H85*I85)</f>
        <v/>
      </c>
      <c r="K85" s="37">
        <f>IF(AND(E85="",H85=""),"",N(K84)+N(E85)-N(H85))</f>
        <v/>
      </c>
      <c r="L85" s="36">
        <f>IF(K85="","",IF(K85=0,0,M85/K85))</f>
        <v/>
      </c>
      <c r="M85" s="36">
        <f>IF(K85="","",N(M84)+N(G85)-N(J85))</f>
        <v/>
      </c>
    </row>
    <row r="86">
      <c r="A86" s="32" t="n">
        <v>78</v>
      </c>
      <c r="B86" s="33" t="n"/>
      <c r="C86" s="17" t="n"/>
      <c r="D86" s="17" t="n"/>
      <c r="E86" s="34" t="n"/>
      <c r="F86" s="35" t="n"/>
      <c r="G86" s="36">
        <f>IF(E86="","",E86*F86)</f>
        <v/>
      </c>
      <c r="H86" s="34" t="n"/>
      <c r="I86" s="36">
        <f>IF(H86="","",L85)</f>
        <v/>
      </c>
      <c r="J86" s="36">
        <f>IF(H86="","",H86*I86)</f>
        <v/>
      </c>
      <c r="K86" s="37">
        <f>IF(AND(E86="",H86=""),"",N(K85)+N(E86)-N(H86))</f>
        <v/>
      </c>
      <c r="L86" s="36">
        <f>IF(K86="","",IF(K86=0,0,M86/K86))</f>
        <v/>
      </c>
      <c r="M86" s="36">
        <f>IF(K86="","",N(M85)+N(G86)-N(J86))</f>
        <v/>
      </c>
    </row>
    <row r="87">
      <c r="A87" s="32" t="n">
        <v>79</v>
      </c>
      <c r="B87" s="33" t="n"/>
      <c r="C87" s="17" t="n"/>
      <c r="D87" s="17" t="n"/>
      <c r="E87" s="34" t="n"/>
      <c r="F87" s="35" t="n"/>
      <c r="G87" s="36">
        <f>IF(E87="","",E87*F87)</f>
        <v/>
      </c>
      <c r="H87" s="34" t="n"/>
      <c r="I87" s="36">
        <f>IF(H87="","",L86)</f>
        <v/>
      </c>
      <c r="J87" s="36">
        <f>IF(H87="","",H87*I87)</f>
        <v/>
      </c>
      <c r="K87" s="37">
        <f>IF(AND(E87="",H87=""),"",N(K86)+N(E87)-N(H87))</f>
        <v/>
      </c>
      <c r="L87" s="36">
        <f>IF(K87="","",IF(K87=0,0,M87/K87))</f>
        <v/>
      </c>
      <c r="M87" s="36">
        <f>IF(K87="","",N(M86)+N(G87)-N(J87))</f>
        <v/>
      </c>
    </row>
    <row r="88">
      <c r="A88" s="32" t="n">
        <v>80</v>
      </c>
      <c r="B88" s="33" t="n"/>
      <c r="C88" s="17" t="n"/>
      <c r="D88" s="17" t="n"/>
      <c r="E88" s="34" t="n"/>
      <c r="F88" s="35" t="n"/>
      <c r="G88" s="36">
        <f>IF(E88="","",E88*F88)</f>
        <v/>
      </c>
      <c r="H88" s="34" t="n"/>
      <c r="I88" s="36">
        <f>IF(H88="","",L87)</f>
        <v/>
      </c>
      <c r="J88" s="36">
        <f>IF(H88="","",H88*I88)</f>
        <v/>
      </c>
      <c r="K88" s="37">
        <f>IF(AND(E88="",H88=""),"",N(K87)+N(E88)-N(H88))</f>
        <v/>
      </c>
      <c r="L88" s="36">
        <f>IF(K88="","",IF(K88=0,0,M88/K88))</f>
        <v/>
      </c>
      <c r="M88" s="36">
        <f>IF(K88="","",N(M87)+N(G88)-N(J88))</f>
        <v/>
      </c>
    </row>
    <row r="89">
      <c r="A89" s="32" t="n">
        <v>81</v>
      </c>
      <c r="B89" s="33" t="n"/>
      <c r="C89" s="17" t="n"/>
      <c r="D89" s="17" t="n"/>
      <c r="E89" s="34" t="n"/>
      <c r="F89" s="35" t="n"/>
      <c r="G89" s="36">
        <f>IF(E89="","",E89*F89)</f>
        <v/>
      </c>
      <c r="H89" s="34" t="n"/>
      <c r="I89" s="36">
        <f>IF(H89="","",L88)</f>
        <v/>
      </c>
      <c r="J89" s="36">
        <f>IF(H89="","",H89*I89)</f>
        <v/>
      </c>
      <c r="K89" s="37">
        <f>IF(AND(E89="",H89=""),"",N(K88)+N(E89)-N(H89))</f>
        <v/>
      </c>
      <c r="L89" s="36">
        <f>IF(K89="","",IF(K89=0,0,M89/K89))</f>
        <v/>
      </c>
      <c r="M89" s="36">
        <f>IF(K89="","",N(M88)+N(G89)-N(J89))</f>
        <v/>
      </c>
    </row>
    <row r="90">
      <c r="A90" s="32" t="n">
        <v>82</v>
      </c>
      <c r="B90" s="33" t="n"/>
      <c r="C90" s="17" t="n"/>
      <c r="D90" s="17" t="n"/>
      <c r="E90" s="34" t="n"/>
      <c r="F90" s="35" t="n"/>
      <c r="G90" s="36">
        <f>IF(E90="","",E90*F90)</f>
        <v/>
      </c>
      <c r="H90" s="34" t="n"/>
      <c r="I90" s="36">
        <f>IF(H90="","",L89)</f>
        <v/>
      </c>
      <c r="J90" s="36">
        <f>IF(H90="","",H90*I90)</f>
        <v/>
      </c>
      <c r="K90" s="37">
        <f>IF(AND(E90="",H90=""),"",N(K89)+N(E90)-N(H90))</f>
        <v/>
      </c>
      <c r="L90" s="36">
        <f>IF(K90="","",IF(K90=0,0,M90/K90))</f>
        <v/>
      </c>
      <c r="M90" s="36">
        <f>IF(K90="","",N(M89)+N(G90)-N(J90))</f>
        <v/>
      </c>
    </row>
    <row r="91">
      <c r="A91" s="32" t="n">
        <v>83</v>
      </c>
      <c r="B91" s="33" t="n"/>
      <c r="C91" s="17" t="n"/>
      <c r="D91" s="17" t="n"/>
      <c r="E91" s="34" t="n"/>
      <c r="F91" s="35" t="n"/>
      <c r="G91" s="36">
        <f>IF(E91="","",E91*F91)</f>
        <v/>
      </c>
      <c r="H91" s="34" t="n"/>
      <c r="I91" s="36">
        <f>IF(H91="","",L90)</f>
        <v/>
      </c>
      <c r="J91" s="36">
        <f>IF(H91="","",H91*I91)</f>
        <v/>
      </c>
      <c r="K91" s="37">
        <f>IF(AND(E91="",H91=""),"",N(K90)+N(E91)-N(H91))</f>
        <v/>
      </c>
      <c r="L91" s="36">
        <f>IF(K91="","",IF(K91=0,0,M91/K91))</f>
        <v/>
      </c>
      <c r="M91" s="36">
        <f>IF(K91="","",N(M90)+N(G91)-N(J91))</f>
        <v/>
      </c>
    </row>
    <row r="92">
      <c r="A92" s="32" t="n">
        <v>84</v>
      </c>
      <c r="B92" s="33" t="n"/>
      <c r="C92" s="17" t="n"/>
      <c r="D92" s="17" t="n"/>
      <c r="E92" s="34" t="n"/>
      <c r="F92" s="35" t="n"/>
      <c r="G92" s="36">
        <f>IF(E92="","",E92*F92)</f>
        <v/>
      </c>
      <c r="H92" s="34" t="n"/>
      <c r="I92" s="36">
        <f>IF(H92="","",L91)</f>
        <v/>
      </c>
      <c r="J92" s="36">
        <f>IF(H92="","",H92*I92)</f>
        <v/>
      </c>
      <c r="K92" s="37">
        <f>IF(AND(E92="",H92=""),"",N(K91)+N(E92)-N(H92))</f>
        <v/>
      </c>
      <c r="L92" s="36">
        <f>IF(K92="","",IF(K92=0,0,M92/K92))</f>
        <v/>
      </c>
      <c r="M92" s="36">
        <f>IF(K92="","",N(M91)+N(G92)-N(J92))</f>
        <v/>
      </c>
    </row>
    <row r="93">
      <c r="A93" s="32" t="n">
        <v>85</v>
      </c>
      <c r="B93" s="33" t="n"/>
      <c r="C93" s="17" t="n"/>
      <c r="D93" s="17" t="n"/>
      <c r="E93" s="34" t="n"/>
      <c r="F93" s="35" t="n"/>
      <c r="G93" s="36">
        <f>IF(E93="","",E93*F93)</f>
        <v/>
      </c>
      <c r="H93" s="34" t="n"/>
      <c r="I93" s="36">
        <f>IF(H93="","",L92)</f>
        <v/>
      </c>
      <c r="J93" s="36">
        <f>IF(H93="","",H93*I93)</f>
        <v/>
      </c>
      <c r="K93" s="37">
        <f>IF(AND(E93="",H93=""),"",N(K92)+N(E93)-N(H93))</f>
        <v/>
      </c>
      <c r="L93" s="36">
        <f>IF(K93="","",IF(K93=0,0,M93/K93))</f>
        <v/>
      </c>
      <c r="M93" s="36">
        <f>IF(K93="","",N(M92)+N(G93)-N(J93))</f>
        <v/>
      </c>
    </row>
    <row r="94">
      <c r="A94" s="32" t="n">
        <v>86</v>
      </c>
      <c r="B94" s="33" t="n"/>
      <c r="C94" s="17" t="n"/>
      <c r="D94" s="17" t="n"/>
      <c r="E94" s="34" t="n"/>
      <c r="F94" s="35" t="n"/>
      <c r="G94" s="36">
        <f>IF(E94="","",E94*F94)</f>
        <v/>
      </c>
      <c r="H94" s="34" t="n"/>
      <c r="I94" s="36">
        <f>IF(H94="","",L93)</f>
        <v/>
      </c>
      <c r="J94" s="36">
        <f>IF(H94="","",H94*I94)</f>
        <v/>
      </c>
      <c r="K94" s="37">
        <f>IF(AND(E94="",H94=""),"",N(K93)+N(E94)-N(H94))</f>
        <v/>
      </c>
      <c r="L94" s="36">
        <f>IF(K94="","",IF(K94=0,0,M94/K94))</f>
        <v/>
      </c>
      <c r="M94" s="36">
        <f>IF(K94="","",N(M93)+N(G94)-N(J94))</f>
        <v/>
      </c>
    </row>
    <row r="95">
      <c r="A95" s="32" t="n">
        <v>87</v>
      </c>
      <c r="B95" s="33" t="n"/>
      <c r="C95" s="17" t="n"/>
      <c r="D95" s="17" t="n"/>
      <c r="E95" s="34" t="n"/>
      <c r="F95" s="35" t="n"/>
      <c r="G95" s="36">
        <f>IF(E95="","",E95*F95)</f>
        <v/>
      </c>
      <c r="H95" s="34" t="n"/>
      <c r="I95" s="36">
        <f>IF(H95="","",L94)</f>
        <v/>
      </c>
      <c r="J95" s="36">
        <f>IF(H95="","",H95*I95)</f>
        <v/>
      </c>
      <c r="K95" s="37">
        <f>IF(AND(E95="",H95=""),"",N(K94)+N(E95)-N(H95))</f>
        <v/>
      </c>
      <c r="L95" s="36">
        <f>IF(K95="","",IF(K95=0,0,M95/K95))</f>
        <v/>
      </c>
      <c r="M95" s="36">
        <f>IF(K95="","",N(M94)+N(G95)-N(J95))</f>
        <v/>
      </c>
    </row>
    <row r="96">
      <c r="A96" s="32" t="n">
        <v>88</v>
      </c>
      <c r="B96" s="33" t="n"/>
      <c r="C96" s="17" t="n"/>
      <c r="D96" s="17" t="n"/>
      <c r="E96" s="34" t="n"/>
      <c r="F96" s="35" t="n"/>
      <c r="G96" s="36">
        <f>IF(E96="","",E96*F96)</f>
        <v/>
      </c>
      <c r="H96" s="34" t="n"/>
      <c r="I96" s="36">
        <f>IF(H96="","",L95)</f>
        <v/>
      </c>
      <c r="J96" s="36">
        <f>IF(H96="","",H96*I96)</f>
        <v/>
      </c>
      <c r="K96" s="37">
        <f>IF(AND(E96="",H96=""),"",N(K95)+N(E96)-N(H96))</f>
        <v/>
      </c>
      <c r="L96" s="36">
        <f>IF(K96="","",IF(K96=0,0,M96/K96))</f>
        <v/>
      </c>
      <c r="M96" s="36">
        <f>IF(K96="","",N(M95)+N(G96)-N(J96))</f>
        <v/>
      </c>
    </row>
    <row r="97">
      <c r="A97" s="32" t="n">
        <v>89</v>
      </c>
      <c r="B97" s="33" t="n"/>
      <c r="C97" s="17" t="n"/>
      <c r="D97" s="17" t="n"/>
      <c r="E97" s="34" t="n"/>
      <c r="F97" s="35" t="n"/>
      <c r="G97" s="36">
        <f>IF(E97="","",E97*F97)</f>
        <v/>
      </c>
      <c r="H97" s="34" t="n"/>
      <c r="I97" s="36">
        <f>IF(H97="","",L96)</f>
        <v/>
      </c>
      <c r="J97" s="36">
        <f>IF(H97="","",H97*I97)</f>
        <v/>
      </c>
      <c r="K97" s="37">
        <f>IF(AND(E97="",H97=""),"",N(K96)+N(E97)-N(H97))</f>
        <v/>
      </c>
      <c r="L97" s="36">
        <f>IF(K97="","",IF(K97=0,0,M97/K97))</f>
        <v/>
      </c>
      <c r="M97" s="36">
        <f>IF(K97="","",N(M96)+N(G97)-N(J97))</f>
        <v/>
      </c>
    </row>
    <row r="98">
      <c r="A98" s="32" t="n">
        <v>90</v>
      </c>
      <c r="B98" s="33" t="n"/>
      <c r="C98" s="17" t="n"/>
      <c r="D98" s="17" t="n"/>
      <c r="E98" s="34" t="n"/>
      <c r="F98" s="35" t="n"/>
      <c r="G98" s="36">
        <f>IF(E98="","",E98*F98)</f>
        <v/>
      </c>
      <c r="H98" s="34" t="n"/>
      <c r="I98" s="36">
        <f>IF(H98="","",L97)</f>
        <v/>
      </c>
      <c r="J98" s="36">
        <f>IF(H98="","",H98*I98)</f>
        <v/>
      </c>
      <c r="K98" s="37">
        <f>IF(AND(E98="",H98=""),"",N(K97)+N(E98)-N(H98))</f>
        <v/>
      </c>
      <c r="L98" s="36">
        <f>IF(K98="","",IF(K98=0,0,M98/K98))</f>
        <v/>
      </c>
      <c r="M98" s="36">
        <f>IF(K98="","",N(M97)+N(G98)-N(J98))</f>
        <v/>
      </c>
    </row>
    <row r="99">
      <c r="A99" s="32" t="n">
        <v>91</v>
      </c>
      <c r="B99" s="33" t="n"/>
      <c r="C99" s="17" t="n"/>
      <c r="D99" s="17" t="n"/>
      <c r="E99" s="34" t="n"/>
      <c r="F99" s="35" t="n"/>
      <c r="G99" s="36">
        <f>IF(E99="","",E99*F99)</f>
        <v/>
      </c>
      <c r="H99" s="34" t="n"/>
      <c r="I99" s="36">
        <f>IF(H99="","",L98)</f>
        <v/>
      </c>
      <c r="J99" s="36">
        <f>IF(H99="","",H99*I99)</f>
        <v/>
      </c>
      <c r="K99" s="37">
        <f>IF(AND(E99="",H99=""),"",N(K98)+N(E99)-N(H99))</f>
        <v/>
      </c>
      <c r="L99" s="36">
        <f>IF(K99="","",IF(K99=0,0,M99/K99))</f>
        <v/>
      </c>
      <c r="M99" s="36">
        <f>IF(K99="","",N(M98)+N(G99)-N(J99))</f>
        <v/>
      </c>
    </row>
    <row r="100">
      <c r="A100" s="32" t="n">
        <v>92</v>
      </c>
      <c r="B100" s="33" t="n"/>
      <c r="C100" s="17" t="n"/>
      <c r="D100" s="17" t="n"/>
      <c r="E100" s="34" t="n"/>
      <c r="F100" s="35" t="n"/>
      <c r="G100" s="36">
        <f>IF(E100="","",E100*F100)</f>
        <v/>
      </c>
      <c r="H100" s="34" t="n"/>
      <c r="I100" s="36">
        <f>IF(H100="","",L99)</f>
        <v/>
      </c>
      <c r="J100" s="36">
        <f>IF(H100="","",H100*I100)</f>
        <v/>
      </c>
      <c r="K100" s="37">
        <f>IF(AND(E100="",H100=""),"",N(K99)+N(E100)-N(H100))</f>
        <v/>
      </c>
      <c r="L100" s="36">
        <f>IF(K100="","",IF(K100=0,0,M100/K100))</f>
        <v/>
      </c>
      <c r="M100" s="36">
        <f>IF(K100="","",N(M99)+N(G100)-N(J100))</f>
        <v/>
      </c>
    </row>
    <row r="101">
      <c r="A101" s="32" t="n">
        <v>93</v>
      </c>
      <c r="B101" s="33" t="n"/>
      <c r="C101" s="17" t="n"/>
      <c r="D101" s="17" t="n"/>
      <c r="E101" s="34" t="n"/>
      <c r="F101" s="35" t="n"/>
      <c r="G101" s="36">
        <f>IF(E101="","",E101*F101)</f>
        <v/>
      </c>
      <c r="H101" s="34" t="n"/>
      <c r="I101" s="36">
        <f>IF(H101="","",L100)</f>
        <v/>
      </c>
      <c r="J101" s="36">
        <f>IF(H101="","",H101*I101)</f>
        <v/>
      </c>
      <c r="K101" s="37">
        <f>IF(AND(E101="",H101=""),"",N(K100)+N(E101)-N(H101))</f>
        <v/>
      </c>
      <c r="L101" s="36">
        <f>IF(K101="","",IF(K101=0,0,M101/K101))</f>
        <v/>
      </c>
      <c r="M101" s="36">
        <f>IF(K101="","",N(M100)+N(G101)-N(J101))</f>
        <v/>
      </c>
    </row>
    <row r="102">
      <c r="A102" s="32" t="n">
        <v>94</v>
      </c>
      <c r="B102" s="33" t="n"/>
      <c r="C102" s="17" t="n"/>
      <c r="D102" s="17" t="n"/>
      <c r="E102" s="34" t="n"/>
      <c r="F102" s="35" t="n"/>
      <c r="G102" s="36">
        <f>IF(E102="","",E102*F102)</f>
        <v/>
      </c>
      <c r="H102" s="34" t="n"/>
      <c r="I102" s="36">
        <f>IF(H102="","",L101)</f>
        <v/>
      </c>
      <c r="J102" s="36">
        <f>IF(H102="","",H102*I102)</f>
        <v/>
      </c>
      <c r="K102" s="37">
        <f>IF(AND(E102="",H102=""),"",N(K101)+N(E102)-N(H102))</f>
        <v/>
      </c>
      <c r="L102" s="36">
        <f>IF(K102="","",IF(K102=0,0,M102/K102))</f>
        <v/>
      </c>
      <c r="M102" s="36">
        <f>IF(K102="","",N(M101)+N(G102)-N(J102))</f>
        <v/>
      </c>
    </row>
    <row r="103">
      <c r="A103" s="32" t="n">
        <v>95</v>
      </c>
      <c r="B103" s="33" t="n"/>
      <c r="C103" s="17" t="n"/>
      <c r="D103" s="17" t="n"/>
      <c r="E103" s="34" t="n"/>
      <c r="F103" s="35" t="n"/>
      <c r="G103" s="36">
        <f>IF(E103="","",E103*F103)</f>
        <v/>
      </c>
      <c r="H103" s="34" t="n"/>
      <c r="I103" s="36">
        <f>IF(H103="","",L102)</f>
        <v/>
      </c>
      <c r="J103" s="36">
        <f>IF(H103="","",H103*I103)</f>
        <v/>
      </c>
      <c r="K103" s="37">
        <f>IF(AND(E103="",H103=""),"",N(K102)+N(E103)-N(H103))</f>
        <v/>
      </c>
      <c r="L103" s="36">
        <f>IF(K103="","",IF(K103=0,0,M103/K103))</f>
        <v/>
      </c>
      <c r="M103" s="36">
        <f>IF(K103="","",N(M102)+N(G103)-N(J103))</f>
        <v/>
      </c>
    </row>
    <row r="104">
      <c r="A104" s="32" t="n">
        <v>96</v>
      </c>
      <c r="B104" s="33" t="n"/>
      <c r="C104" s="17" t="n"/>
      <c r="D104" s="17" t="n"/>
      <c r="E104" s="34" t="n"/>
      <c r="F104" s="35" t="n"/>
      <c r="G104" s="36">
        <f>IF(E104="","",E104*F104)</f>
        <v/>
      </c>
      <c r="H104" s="34" t="n"/>
      <c r="I104" s="36">
        <f>IF(H104="","",L103)</f>
        <v/>
      </c>
      <c r="J104" s="36">
        <f>IF(H104="","",H104*I104)</f>
        <v/>
      </c>
      <c r="K104" s="37">
        <f>IF(AND(E104="",H104=""),"",N(K103)+N(E104)-N(H104))</f>
        <v/>
      </c>
      <c r="L104" s="36">
        <f>IF(K104="","",IF(K104=0,0,M104/K104))</f>
        <v/>
      </c>
      <c r="M104" s="36">
        <f>IF(K104="","",N(M103)+N(G104)-N(J104))</f>
        <v/>
      </c>
    </row>
    <row r="105">
      <c r="A105" s="32" t="n">
        <v>97</v>
      </c>
      <c r="B105" s="33" t="n"/>
      <c r="C105" s="17" t="n"/>
      <c r="D105" s="17" t="n"/>
      <c r="E105" s="34" t="n"/>
      <c r="F105" s="35" t="n"/>
      <c r="G105" s="36">
        <f>IF(E105="","",E105*F105)</f>
        <v/>
      </c>
      <c r="H105" s="34" t="n"/>
      <c r="I105" s="36">
        <f>IF(H105="","",L104)</f>
        <v/>
      </c>
      <c r="J105" s="36">
        <f>IF(H105="","",H105*I105)</f>
        <v/>
      </c>
      <c r="K105" s="37">
        <f>IF(AND(E105="",H105=""),"",N(K104)+N(E105)-N(H105))</f>
        <v/>
      </c>
      <c r="L105" s="36">
        <f>IF(K105="","",IF(K105=0,0,M105/K105))</f>
        <v/>
      </c>
      <c r="M105" s="36">
        <f>IF(K105="","",N(M104)+N(G105)-N(J105))</f>
        <v/>
      </c>
    </row>
    <row r="106">
      <c r="A106" s="32" t="n">
        <v>98</v>
      </c>
      <c r="B106" s="33" t="n"/>
      <c r="C106" s="17" t="n"/>
      <c r="D106" s="17" t="n"/>
      <c r="E106" s="34" t="n"/>
      <c r="F106" s="35" t="n"/>
      <c r="G106" s="36">
        <f>IF(E106="","",E106*F106)</f>
        <v/>
      </c>
      <c r="H106" s="34" t="n"/>
      <c r="I106" s="36">
        <f>IF(H106="","",L105)</f>
        <v/>
      </c>
      <c r="J106" s="36">
        <f>IF(H106="","",H106*I106)</f>
        <v/>
      </c>
      <c r="K106" s="37">
        <f>IF(AND(E106="",H106=""),"",N(K105)+N(E106)-N(H106))</f>
        <v/>
      </c>
      <c r="L106" s="36">
        <f>IF(K106="","",IF(K106=0,0,M106/K106))</f>
        <v/>
      </c>
      <c r="M106" s="36">
        <f>IF(K106="","",N(M105)+N(G106)-N(J106))</f>
        <v/>
      </c>
    </row>
    <row r="107">
      <c r="A107" s="32" t="n">
        <v>99</v>
      </c>
      <c r="B107" s="33" t="n"/>
      <c r="C107" s="17" t="n"/>
      <c r="D107" s="17" t="n"/>
      <c r="E107" s="34" t="n"/>
      <c r="F107" s="35" t="n"/>
      <c r="G107" s="36">
        <f>IF(E107="","",E107*F107)</f>
        <v/>
      </c>
      <c r="H107" s="34" t="n"/>
      <c r="I107" s="36">
        <f>IF(H107="","",L106)</f>
        <v/>
      </c>
      <c r="J107" s="36">
        <f>IF(H107="","",H107*I107)</f>
        <v/>
      </c>
      <c r="K107" s="37">
        <f>IF(AND(E107="",H107=""),"",N(K106)+N(E107)-N(H107))</f>
        <v/>
      </c>
      <c r="L107" s="36">
        <f>IF(K107="","",IF(K107=0,0,M107/K107))</f>
        <v/>
      </c>
      <c r="M107" s="36">
        <f>IF(K107="","",N(M106)+N(G107)-N(J107))</f>
        <v/>
      </c>
    </row>
    <row r="108">
      <c r="A108" s="32" t="n">
        <v>100</v>
      </c>
      <c r="B108" s="33" t="n"/>
      <c r="C108" s="17" t="n"/>
      <c r="D108" s="17" t="n"/>
      <c r="E108" s="34" t="n"/>
      <c r="F108" s="35" t="n"/>
      <c r="G108" s="36">
        <f>IF(E108="","",E108*F108)</f>
        <v/>
      </c>
      <c r="H108" s="34" t="n"/>
      <c r="I108" s="36">
        <f>IF(H108="","",L107)</f>
        <v/>
      </c>
      <c r="J108" s="36">
        <f>IF(H108="","",H108*I108)</f>
        <v/>
      </c>
      <c r="K108" s="37">
        <f>IF(AND(E108="",H108=""),"",N(K107)+N(E108)-N(H108))</f>
        <v/>
      </c>
      <c r="L108" s="36">
        <f>IF(K108="","",IF(K108=0,0,M108/K108))</f>
        <v/>
      </c>
      <c r="M108" s="36">
        <f>IF(K108="","",N(M107)+N(G108)-N(J108))</f>
        <v/>
      </c>
    </row>
    <row r="109">
      <c r="A109" s="32" t="n">
        <v>101</v>
      </c>
      <c r="B109" s="33" t="n"/>
      <c r="C109" s="17" t="n"/>
      <c r="D109" s="17" t="n"/>
      <c r="E109" s="34" t="n"/>
      <c r="F109" s="35" t="n"/>
      <c r="G109" s="36">
        <f>IF(E109="","",E109*F109)</f>
        <v/>
      </c>
      <c r="H109" s="34" t="n"/>
      <c r="I109" s="36">
        <f>IF(H109="","",L108)</f>
        <v/>
      </c>
      <c r="J109" s="36">
        <f>IF(H109="","",H109*I109)</f>
        <v/>
      </c>
      <c r="K109" s="37">
        <f>IF(AND(E109="",H109=""),"",N(K108)+N(E109)-N(H109))</f>
        <v/>
      </c>
      <c r="L109" s="36">
        <f>IF(K109="","",IF(K109=0,0,M109/K109))</f>
        <v/>
      </c>
      <c r="M109" s="36">
        <f>IF(K109="","",N(M108)+N(G109)-N(J109))</f>
        <v/>
      </c>
    </row>
    <row r="110">
      <c r="A110" s="32" t="n">
        <v>102</v>
      </c>
      <c r="B110" s="33" t="n"/>
      <c r="C110" s="17" t="n"/>
      <c r="D110" s="17" t="n"/>
      <c r="E110" s="34" t="n"/>
      <c r="F110" s="35" t="n"/>
      <c r="G110" s="36">
        <f>IF(E110="","",E110*F110)</f>
        <v/>
      </c>
      <c r="H110" s="34" t="n"/>
      <c r="I110" s="36">
        <f>IF(H110="","",L109)</f>
        <v/>
      </c>
      <c r="J110" s="36">
        <f>IF(H110="","",H110*I110)</f>
        <v/>
      </c>
      <c r="K110" s="37">
        <f>IF(AND(E110="",H110=""),"",N(K109)+N(E110)-N(H110))</f>
        <v/>
      </c>
      <c r="L110" s="36">
        <f>IF(K110="","",IF(K110=0,0,M110/K110))</f>
        <v/>
      </c>
      <c r="M110" s="36">
        <f>IF(K110="","",N(M109)+N(G110)-N(J110))</f>
        <v/>
      </c>
    </row>
    <row r="111">
      <c r="A111" s="32" t="n">
        <v>103</v>
      </c>
      <c r="B111" s="33" t="n"/>
      <c r="C111" s="17" t="n"/>
      <c r="D111" s="17" t="n"/>
      <c r="E111" s="34" t="n"/>
      <c r="F111" s="35" t="n"/>
      <c r="G111" s="36">
        <f>IF(E111="","",E111*F111)</f>
        <v/>
      </c>
      <c r="H111" s="34" t="n"/>
      <c r="I111" s="36">
        <f>IF(H111="","",L110)</f>
        <v/>
      </c>
      <c r="J111" s="36">
        <f>IF(H111="","",H111*I111)</f>
        <v/>
      </c>
      <c r="K111" s="37">
        <f>IF(AND(E111="",H111=""),"",N(K110)+N(E111)-N(H111))</f>
        <v/>
      </c>
      <c r="L111" s="36">
        <f>IF(K111="","",IF(K111=0,0,M111/K111))</f>
        <v/>
      </c>
      <c r="M111" s="36">
        <f>IF(K111="","",N(M110)+N(G111)-N(J111))</f>
        <v/>
      </c>
    </row>
    <row r="112">
      <c r="A112" s="32" t="n">
        <v>104</v>
      </c>
      <c r="B112" s="33" t="n"/>
      <c r="C112" s="17" t="n"/>
      <c r="D112" s="17" t="n"/>
      <c r="E112" s="34" t="n"/>
      <c r="F112" s="35" t="n"/>
      <c r="G112" s="36">
        <f>IF(E112="","",E112*F112)</f>
        <v/>
      </c>
      <c r="H112" s="34" t="n"/>
      <c r="I112" s="36">
        <f>IF(H112="","",L111)</f>
        <v/>
      </c>
      <c r="J112" s="36">
        <f>IF(H112="","",H112*I112)</f>
        <v/>
      </c>
      <c r="K112" s="37">
        <f>IF(AND(E112="",H112=""),"",N(K111)+N(E112)-N(H112))</f>
        <v/>
      </c>
      <c r="L112" s="36">
        <f>IF(K112="","",IF(K112=0,0,M112/K112))</f>
        <v/>
      </c>
      <c r="M112" s="36">
        <f>IF(K112="","",N(M111)+N(G112)-N(J112))</f>
        <v/>
      </c>
    </row>
    <row r="113">
      <c r="A113" s="32" t="n">
        <v>105</v>
      </c>
      <c r="B113" s="33" t="n"/>
      <c r="C113" s="17" t="n"/>
      <c r="D113" s="17" t="n"/>
      <c r="E113" s="34" t="n"/>
      <c r="F113" s="35" t="n"/>
      <c r="G113" s="36">
        <f>IF(E113="","",E113*F113)</f>
        <v/>
      </c>
      <c r="H113" s="34" t="n"/>
      <c r="I113" s="36">
        <f>IF(H113="","",L112)</f>
        <v/>
      </c>
      <c r="J113" s="36">
        <f>IF(H113="","",H113*I113)</f>
        <v/>
      </c>
      <c r="K113" s="37">
        <f>IF(AND(E113="",H113=""),"",N(K112)+N(E113)-N(H113))</f>
        <v/>
      </c>
      <c r="L113" s="36">
        <f>IF(K113="","",IF(K113=0,0,M113/K113))</f>
        <v/>
      </c>
      <c r="M113" s="36">
        <f>IF(K113="","",N(M112)+N(G113)-N(J113))</f>
        <v/>
      </c>
    </row>
    <row r="114">
      <c r="A114" s="32" t="n">
        <v>106</v>
      </c>
      <c r="B114" s="33" t="n"/>
      <c r="C114" s="17" t="n"/>
      <c r="D114" s="17" t="n"/>
      <c r="E114" s="34" t="n"/>
      <c r="F114" s="35" t="n"/>
      <c r="G114" s="36">
        <f>IF(E114="","",E114*F114)</f>
        <v/>
      </c>
      <c r="H114" s="34" t="n"/>
      <c r="I114" s="36">
        <f>IF(H114="","",L113)</f>
        <v/>
      </c>
      <c r="J114" s="36">
        <f>IF(H114="","",H114*I114)</f>
        <v/>
      </c>
      <c r="K114" s="37">
        <f>IF(AND(E114="",H114=""),"",N(K113)+N(E114)-N(H114))</f>
        <v/>
      </c>
      <c r="L114" s="36">
        <f>IF(K114="","",IF(K114=0,0,M114/K114))</f>
        <v/>
      </c>
      <c r="M114" s="36">
        <f>IF(K114="","",N(M113)+N(G114)-N(J114))</f>
        <v/>
      </c>
    </row>
    <row r="115">
      <c r="A115" s="32" t="n">
        <v>107</v>
      </c>
      <c r="B115" s="33" t="n"/>
      <c r="C115" s="17" t="n"/>
      <c r="D115" s="17" t="n"/>
      <c r="E115" s="34" t="n"/>
      <c r="F115" s="35" t="n"/>
      <c r="G115" s="36">
        <f>IF(E115="","",E115*F115)</f>
        <v/>
      </c>
      <c r="H115" s="34" t="n"/>
      <c r="I115" s="36">
        <f>IF(H115="","",L114)</f>
        <v/>
      </c>
      <c r="J115" s="36">
        <f>IF(H115="","",H115*I115)</f>
        <v/>
      </c>
      <c r="K115" s="37">
        <f>IF(AND(E115="",H115=""),"",N(K114)+N(E115)-N(H115))</f>
        <v/>
      </c>
      <c r="L115" s="36">
        <f>IF(K115="","",IF(K115=0,0,M115/K115))</f>
        <v/>
      </c>
      <c r="M115" s="36">
        <f>IF(K115="","",N(M114)+N(G115)-N(J115))</f>
        <v/>
      </c>
    </row>
    <row r="116">
      <c r="A116" s="32" t="n">
        <v>108</v>
      </c>
      <c r="B116" s="33" t="n"/>
      <c r="C116" s="17" t="n"/>
      <c r="D116" s="17" t="n"/>
      <c r="E116" s="34" t="n"/>
      <c r="F116" s="35" t="n"/>
      <c r="G116" s="36">
        <f>IF(E116="","",E116*F116)</f>
        <v/>
      </c>
      <c r="H116" s="34" t="n"/>
      <c r="I116" s="36">
        <f>IF(H116="","",L115)</f>
        <v/>
      </c>
      <c r="J116" s="36">
        <f>IF(H116="","",H116*I116)</f>
        <v/>
      </c>
      <c r="K116" s="37">
        <f>IF(AND(E116="",H116=""),"",N(K115)+N(E116)-N(H116))</f>
        <v/>
      </c>
      <c r="L116" s="36">
        <f>IF(K116="","",IF(K116=0,0,M116/K116))</f>
        <v/>
      </c>
      <c r="M116" s="36">
        <f>IF(K116="","",N(M115)+N(G116)-N(J116))</f>
        <v/>
      </c>
    </row>
    <row r="117">
      <c r="A117" s="32" t="n">
        <v>109</v>
      </c>
      <c r="B117" s="33" t="n"/>
      <c r="C117" s="17" t="n"/>
      <c r="D117" s="17" t="n"/>
      <c r="E117" s="34" t="n"/>
      <c r="F117" s="35" t="n"/>
      <c r="G117" s="36">
        <f>IF(E117="","",E117*F117)</f>
        <v/>
      </c>
      <c r="H117" s="34" t="n"/>
      <c r="I117" s="36">
        <f>IF(H117="","",L116)</f>
        <v/>
      </c>
      <c r="J117" s="36">
        <f>IF(H117="","",H117*I117)</f>
        <v/>
      </c>
      <c r="K117" s="37">
        <f>IF(AND(E117="",H117=""),"",N(K116)+N(E117)-N(H117))</f>
        <v/>
      </c>
      <c r="L117" s="36">
        <f>IF(K117="","",IF(K117=0,0,M117/K117))</f>
        <v/>
      </c>
      <c r="M117" s="36">
        <f>IF(K117="","",N(M116)+N(G117)-N(J117))</f>
        <v/>
      </c>
    </row>
    <row r="118">
      <c r="A118" s="32" t="n">
        <v>110</v>
      </c>
      <c r="B118" s="33" t="n"/>
      <c r="C118" s="17" t="n"/>
      <c r="D118" s="17" t="n"/>
      <c r="E118" s="34" t="n"/>
      <c r="F118" s="35" t="n"/>
      <c r="G118" s="36">
        <f>IF(E118="","",E118*F118)</f>
        <v/>
      </c>
      <c r="H118" s="34" t="n"/>
      <c r="I118" s="36">
        <f>IF(H118="","",L117)</f>
        <v/>
      </c>
      <c r="J118" s="36">
        <f>IF(H118="","",H118*I118)</f>
        <v/>
      </c>
      <c r="K118" s="37">
        <f>IF(AND(E118="",H118=""),"",N(K117)+N(E118)-N(H118))</f>
        <v/>
      </c>
      <c r="L118" s="36">
        <f>IF(K118="","",IF(K118=0,0,M118/K118))</f>
        <v/>
      </c>
      <c r="M118" s="36">
        <f>IF(K118="","",N(M117)+N(G118)-N(J118))</f>
        <v/>
      </c>
    </row>
    <row r="119">
      <c r="A119" s="32" t="n">
        <v>111</v>
      </c>
      <c r="B119" s="33" t="n"/>
      <c r="C119" s="17" t="n"/>
      <c r="D119" s="17" t="n"/>
      <c r="E119" s="34" t="n"/>
      <c r="F119" s="35" t="n"/>
      <c r="G119" s="36">
        <f>IF(E119="","",E119*F119)</f>
        <v/>
      </c>
      <c r="H119" s="34" t="n"/>
      <c r="I119" s="36">
        <f>IF(H119="","",L118)</f>
        <v/>
      </c>
      <c r="J119" s="36">
        <f>IF(H119="","",H119*I119)</f>
        <v/>
      </c>
      <c r="K119" s="37">
        <f>IF(AND(E119="",H119=""),"",N(K118)+N(E119)-N(H119))</f>
        <v/>
      </c>
      <c r="L119" s="36">
        <f>IF(K119="","",IF(K119=0,0,M119/K119))</f>
        <v/>
      </c>
      <c r="M119" s="36">
        <f>IF(K119="","",N(M118)+N(G119)-N(J119))</f>
        <v/>
      </c>
    </row>
    <row r="120">
      <c r="A120" s="32" t="n">
        <v>112</v>
      </c>
      <c r="B120" s="33" t="n"/>
      <c r="C120" s="17" t="n"/>
      <c r="D120" s="17" t="n"/>
      <c r="E120" s="34" t="n"/>
      <c r="F120" s="35" t="n"/>
      <c r="G120" s="36">
        <f>IF(E120="","",E120*F120)</f>
        <v/>
      </c>
      <c r="H120" s="34" t="n"/>
      <c r="I120" s="36">
        <f>IF(H120="","",L119)</f>
        <v/>
      </c>
      <c r="J120" s="36">
        <f>IF(H120="","",H120*I120)</f>
        <v/>
      </c>
      <c r="K120" s="37">
        <f>IF(AND(E120="",H120=""),"",N(K119)+N(E120)-N(H120))</f>
        <v/>
      </c>
      <c r="L120" s="36">
        <f>IF(K120="","",IF(K120=0,0,M120/K120))</f>
        <v/>
      </c>
      <c r="M120" s="36">
        <f>IF(K120="","",N(M119)+N(G120)-N(J120))</f>
        <v/>
      </c>
    </row>
    <row r="121">
      <c r="A121" s="32" t="n">
        <v>113</v>
      </c>
      <c r="B121" s="33" t="n"/>
      <c r="C121" s="17" t="n"/>
      <c r="D121" s="17" t="n"/>
      <c r="E121" s="34" t="n"/>
      <c r="F121" s="35" t="n"/>
      <c r="G121" s="36">
        <f>IF(E121="","",E121*F121)</f>
        <v/>
      </c>
      <c r="H121" s="34" t="n"/>
      <c r="I121" s="36">
        <f>IF(H121="","",L120)</f>
        <v/>
      </c>
      <c r="J121" s="36">
        <f>IF(H121="","",H121*I121)</f>
        <v/>
      </c>
      <c r="K121" s="37">
        <f>IF(AND(E121="",H121=""),"",N(K120)+N(E121)-N(H121))</f>
        <v/>
      </c>
      <c r="L121" s="36">
        <f>IF(K121="","",IF(K121=0,0,M121/K121))</f>
        <v/>
      </c>
      <c r="M121" s="36">
        <f>IF(K121="","",N(M120)+N(G121)-N(J121))</f>
        <v/>
      </c>
    </row>
    <row r="122">
      <c r="A122" s="32" t="n">
        <v>114</v>
      </c>
      <c r="B122" s="33" t="n"/>
      <c r="C122" s="17" t="n"/>
      <c r="D122" s="17" t="n"/>
      <c r="E122" s="34" t="n"/>
      <c r="F122" s="35" t="n"/>
      <c r="G122" s="36">
        <f>IF(E122="","",E122*F122)</f>
        <v/>
      </c>
      <c r="H122" s="34" t="n"/>
      <c r="I122" s="36">
        <f>IF(H122="","",L121)</f>
        <v/>
      </c>
      <c r="J122" s="36">
        <f>IF(H122="","",H122*I122)</f>
        <v/>
      </c>
      <c r="K122" s="37">
        <f>IF(AND(E122="",H122=""),"",N(K121)+N(E122)-N(H122))</f>
        <v/>
      </c>
      <c r="L122" s="36">
        <f>IF(K122="","",IF(K122=0,0,M122/K122))</f>
        <v/>
      </c>
      <c r="M122" s="36">
        <f>IF(K122="","",N(M121)+N(G122)-N(J122))</f>
        <v/>
      </c>
    </row>
    <row r="123">
      <c r="A123" s="32" t="n">
        <v>115</v>
      </c>
      <c r="B123" s="33" t="n"/>
      <c r="C123" s="17" t="n"/>
      <c r="D123" s="17" t="n"/>
      <c r="E123" s="34" t="n"/>
      <c r="F123" s="35" t="n"/>
      <c r="G123" s="36">
        <f>IF(E123="","",E123*F123)</f>
        <v/>
      </c>
      <c r="H123" s="34" t="n"/>
      <c r="I123" s="36">
        <f>IF(H123="","",L122)</f>
        <v/>
      </c>
      <c r="J123" s="36">
        <f>IF(H123="","",H123*I123)</f>
        <v/>
      </c>
      <c r="K123" s="37">
        <f>IF(AND(E123="",H123=""),"",N(K122)+N(E123)-N(H123))</f>
        <v/>
      </c>
      <c r="L123" s="36">
        <f>IF(K123="","",IF(K123=0,0,M123/K123))</f>
        <v/>
      </c>
      <c r="M123" s="36">
        <f>IF(K123="","",N(M122)+N(G123)-N(J123))</f>
        <v/>
      </c>
    </row>
    <row r="124">
      <c r="A124" s="32" t="n">
        <v>116</v>
      </c>
      <c r="B124" s="33" t="n"/>
      <c r="C124" s="17" t="n"/>
      <c r="D124" s="17" t="n"/>
      <c r="E124" s="34" t="n"/>
      <c r="F124" s="35" t="n"/>
      <c r="G124" s="36">
        <f>IF(E124="","",E124*F124)</f>
        <v/>
      </c>
      <c r="H124" s="34" t="n"/>
      <c r="I124" s="36">
        <f>IF(H124="","",L123)</f>
        <v/>
      </c>
      <c r="J124" s="36">
        <f>IF(H124="","",H124*I124)</f>
        <v/>
      </c>
      <c r="K124" s="37">
        <f>IF(AND(E124="",H124=""),"",N(K123)+N(E124)-N(H124))</f>
        <v/>
      </c>
      <c r="L124" s="36">
        <f>IF(K124="","",IF(K124=0,0,M124/K124))</f>
        <v/>
      </c>
      <c r="M124" s="36">
        <f>IF(K124="","",N(M123)+N(G124)-N(J124))</f>
        <v/>
      </c>
    </row>
    <row r="125">
      <c r="A125" s="32" t="n">
        <v>117</v>
      </c>
      <c r="B125" s="33" t="n"/>
      <c r="C125" s="17" t="n"/>
      <c r="D125" s="17" t="n"/>
      <c r="E125" s="34" t="n"/>
      <c r="F125" s="35" t="n"/>
      <c r="G125" s="36">
        <f>IF(E125="","",E125*F125)</f>
        <v/>
      </c>
      <c r="H125" s="34" t="n"/>
      <c r="I125" s="36">
        <f>IF(H125="","",L124)</f>
        <v/>
      </c>
      <c r="J125" s="36">
        <f>IF(H125="","",H125*I125)</f>
        <v/>
      </c>
      <c r="K125" s="37">
        <f>IF(AND(E125="",H125=""),"",N(K124)+N(E125)-N(H125))</f>
        <v/>
      </c>
      <c r="L125" s="36">
        <f>IF(K125="","",IF(K125=0,0,M125/K125))</f>
        <v/>
      </c>
      <c r="M125" s="36">
        <f>IF(K125="","",N(M124)+N(G125)-N(J125))</f>
        <v/>
      </c>
    </row>
    <row r="126">
      <c r="A126" s="32" t="n">
        <v>118</v>
      </c>
      <c r="B126" s="33" t="n"/>
      <c r="C126" s="17" t="n"/>
      <c r="D126" s="17" t="n"/>
      <c r="E126" s="34" t="n"/>
      <c r="F126" s="35" t="n"/>
      <c r="G126" s="36">
        <f>IF(E126="","",E126*F126)</f>
        <v/>
      </c>
      <c r="H126" s="34" t="n"/>
      <c r="I126" s="36">
        <f>IF(H126="","",L125)</f>
        <v/>
      </c>
      <c r="J126" s="36">
        <f>IF(H126="","",H126*I126)</f>
        <v/>
      </c>
      <c r="K126" s="37">
        <f>IF(AND(E126="",H126=""),"",N(K125)+N(E126)-N(H126))</f>
        <v/>
      </c>
      <c r="L126" s="36">
        <f>IF(K126="","",IF(K126=0,0,M126/K126))</f>
        <v/>
      </c>
      <c r="M126" s="36">
        <f>IF(K126="","",N(M125)+N(G126)-N(J126))</f>
        <v/>
      </c>
    </row>
    <row r="127">
      <c r="A127" s="32" t="n">
        <v>119</v>
      </c>
      <c r="B127" s="33" t="n"/>
      <c r="C127" s="17" t="n"/>
      <c r="D127" s="17" t="n"/>
      <c r="E127" s="34" t="n"/>
      <c r="F127" s="35" t="n"/>
      <c r="G127" s="36">
        <f>IF(E127="","",E127*F127)</f>
        <v/>
      </c>
      <c r="H127" s="34" t="n"/>
      <c r="I127" s="36">
        <f>IF(H127="","",L126)</f>
        <v/>
      </c>
      <c r="J127" s="36">
        <f>IF(H127="","",H127*I127)</f>
        <v/>
      </c>
      <c r="K127" s="37">
        <f>IF(AND(E127="",H127=""),"",N(K126)+N(E127)-N(H127))</f>
        <v/>
      </c>
      <c r="L127" s="36">
        <f>IF(K127="","",IF(K127=0,0,M127/K127))</f>
        <v/>
      </c>
      <c r="M127" s="36">
        <f>IF(K127="","",N(M126)+N(G127)-N(J127))</f>
        <v/>
      </c>
    </row>
    <row r="128">
      <c r="A128" s="32" t="n">
        <v>120</v>
      </c>
      <c r="B128" s="33" t="n"/>
      <c r="C128" s="17" t="n"/>
      <c r="D128" s="17" t="n"/>
      <c r="E128" s="34" t="n"/>
      <c r="F128" s="35" t="n"/>
      <c r="G128" s="36">
        <f>IF(E128="","",E128*F128)</f>
        <v/>
      </c>
      <c r="H128" s="34" t="n"/>
      <c r="I128" s="36">
        <f>IF(H128="","",L127)</f>
        <v/>
      </c>
      <c r="J128" s="36">
        <f>IF(H128="","",H128*I128)</f>
        <v/>
      </c>
      <c r="K128" s="37">
        <f>IF(AND(E128="",H128=""),"",N(K127)+N(E128)-N(H128))</f>
        <v/>
      </c>
      <c r="L128" s="36">
        <f>IF(K128="","",IF(K128=0,0,M128/K128))</f>
        <v/>
      </c>
      <c r="M128" s="36">
        <f>IF(K128="","",N(M127)+N(G128)-N(J128))</f>
        <v/>
      </c>
    </row>
    <row r="129">
      <c r="A129" s="32" t="n">
        <v>121</v>
      </c>
      <c r="B129" s="33" t="n"/>
      <c r="C129" s="17" t="n"/>
      <c r="D129" s="17" t="n"/>
      <c r="E129" s="34" t="n"/>
      <c r="F129" s="35" t="n"/>
      <c r="G129" s="36">
        <f>IF(E129="","",E129*F129)</f>
        <v/>
      </c>
      <c r="H129" s="34" t="n"/>
      <c r="I129" s="36">
        <f>IF(H129="","",L128)</f>
        <v/>
      </c>
      <c r="J129" s="36">
        <f>IF(H129="","",H129*I129)</f>
        <v/>
      </c>
      <c r="K129" s="37">
        <f>IF(AND(E129="",H129=""),"",N(K128)+N(E129)-N(H129))</f>
        <v/>
      </c>
      <c r="L129" s="36">
        <f>IF(K129="","",IF(K129=0,0,M129/K129))</f>
        <v/>
      </c>
      <c r="M129" s="36">
        <f>IF(K129="","",N(M128)+N(G129)-N(J129))</f>
        <v/>
      </c>
    </row>
    <row r="130">
      <c r="A130" s="32" t="n">
        <v>122</v>
      </c>
      <c r="B130" s="33" t="n"/>
      <c r="C130" s="17" t="n"/>
      <c r="D130" s="17" t="n"/>
      <c r="E130" s="34" t="n"/>
      <c r="F130" s="35" t="n"/>
      <c r="G130" s="36">
        <f>IF(E130="","",E130*F130)</f>
        <v/>
      </c>
      <c r="H130" s="34" t="n"/>
      <c r="I130" s="36">
        <f>IF(H130="","",L129)</f>
        <v/>
      </c>
      <c r="J130" s="36">
        <f>IF(H130="","",H130*I130)</f>
        <v/>
      </c>
      <c r="K130" s="37">
        <f>IF(AND(E130="",H130=""),"",N(K129)+N(E130)-N(H130))</f>
        <v/>
      </c>
      <c r="L130" s="36">
        <f>IF(K130="","",IF(K130=0,0,M130/K130))</f>
        <v/>
      </c>
      <c r="M130" s="36">
        <f>IF(K130="","",N(M129)+N(G130)-N(J130))</f>
        <v/>
      </c>
    </row>
    <row r="131">
      <c r="A131" s="32" t="n">
        <v>123</v>
      </c>
      <c r="B131" s="33" t="n"/>
      <c r="C131" s="17" t="n"/>
      <c r="D131" s="17" t="n"/>
      <c r="E131" s="34" t="n"/>
      <c r="F131" s="35" t="n"/>
      <c r="G131" s="36">
        <f>IF(E131="","",E131*F131)</f>
        <v/>
      </c>
      <c r="H131" s="34" t="n"/>
      <c r="I131" s="36">
        <f>IF(H131="","",L130)</f>
        <v/>
      </c>
      <c r="J131" s="36">
        <f>IF(H131="","",H131*I131)</f>
        <v/>
      </c>
      <c r="K131" s="37">
        <f>IF(AND(E131="",H131=""),"",N(K130)+N(E131)-N(H131))</f>
        <v/>
      </c>
      <c r="L131" s="36">
        <f>IF(K131="","",IF(K131=0,0,M131/K131))</f>
        <v/>
      </c>
      <c r="M131" s="36">
        <f>IF(K131="","",N(M130)+N(G131)-N(J131))</f>
        <v/>
      </c>
    </row>
    <row r="132">
      <c r="A132" s="32" t="n">
        <v>124</v>
      </c>
      <c r="B132" s="33" t="n"/>
      <c r="C132" s="17" t="n"/>
      <c r="D132" s="17" t="n"/>
      <c r="E132" s="34" t="n"/>
      <c r="F132" s="35" t="n"/>
      <c r="G132" s="36">
        <f>IF(E132="","",E132*F132)</f>
        <v/>
      </c>
      <c r="H132" s="34" t="n"/>
      <c r="I132" s="36">
        <f>IF(H132="","",L131)</f>
        <v/>
      </c>
      <c r="J132" s="36">
        <f>IF(H132="","",H132*I132)</f>
        <v/>
      </c>
      <c r="K132" s="37">
        <f>IF(AND(E132="",H132=""),"",N(K131)+N(E132)-N(H132))</f>
        <v/>
      </c>
      <c r="L132" s="36">
        <f>IF(K132="","",IF(K132=0,0,M132/K132))</f>
        <v/>
      </c>
      <c r="M132" s="36">
        <f>IF(K132="","",N(M131)+N(G132)-N(J132))</f>
        <v/>
      </c>
    </row>
    <row r="133">
      <c r="A133" s="32" t="n">
        <v>125</v>
      </c>
      <c r="B133" s="33" t="n"/>
      <c r="C133" s="17" t="n"/>
      <c r="D133" s="17" t="n"/>
      <c r="E133" s="34" t="n"/>
      <c r="F133" s="35" t="n"/>
      <c r="G133" s="36">
        <f>IF(E133="","",E133*F133)</f>
        <v/>
      </c>
      <c r="H133" s="34" t="n"/>
      <c r="I133" s="36">
        <f>IF(H133="","",L132)</f>
        <v/>
      </c>
      <c r="J133" s="36">
        <f>IF(H133="","",H133*I133)</f>
        <v/>
      </c>
      <c r="K133" s="37">
        <f>IF(AND(E133="",H133=""),"",N(K132)+N(E133)-N(H133))</f>
        <v/>
      </c>
      <c r="L133" s="36">
        <f>IF(K133="","",IF(K133=0,0,M133/K133))</f>
        <v/>
      </c>
      <c r="M133" s="36">
        <f>IF(K133="","",N(M132)+N(G133)-N(J133))</f>
        <v/>
      </c>
    </row>
    <row r="134">
      <c r="A134" s="32" t="n">
        <v>126</v>
      </c>
      <c r="B134" s="33" t="n"/>
      <c r="C134" s="17" t="n"/>
      <c r="D134" s="17" t="n"/>
      <c r="E134" s="34" t="n"/>
      <c r="F134" s="35" t="n"/>
      <c r="G134" s="36">
        <f>IF(E134="","",E134*F134)</f>
        <v/>
      </c>
      <c r="H134" s="34" t="n"/>
      <c r="I134" s="36">
        <f>IF(H134="","",L133)</f>
        <v/>
      </c>
      <c r="J134" s="36">
        <f>IF(H134="","",H134*I134)</f>
        <v/>
      </c>
      <c r="K134" s="37">
        <f>IF(AND(E134="",H134=""),"",N(K133)+N(E134)-N(H134))</f>
        <v/>
      </c>
      <c r="L134" s="36">
        <f>IF(K134="","",IF(K134=0,0,M134/K134))</f>
        <v/>
      </c>
      <c r="M134" s="36">
        <f>IF(K134="","",N(M133)+N(G134)-N(J134))</f>
        <v/>
      </c>
    </row>
    <row r="135">
      <c r="A135" s="32" t="n">
        <v>127</v>
      </c>
      <c r="B135" s="33" t="n"/>
      <c r="C135" s="17" t="n"/>
      <c r="D135" s="17" t="n"/>
      <c r="E135" s="34" t="n"/>
      <c r="F135" s="35" t="n"/>
      <c r="G135" s="36">
        <f>IF(E135="","",E135*F135)</f>
        <v/>
      </c>
      <c r="H135" s="34" t="n"/>
      <c r="I135" s="36">
        <f>IF(H135="","",L134)</f>
        <v/>
      </c>
      <c r="J135" s="36">
        <f>IF(H135="","",H135*I135)</f>
        <v/>
      </c>
      <c r="K135" s="37">
        <f>IF(AND(E135="",H135=""),"",N(K134)+N(E135)-N(H135))</f>
        <v/>
      </c>
      <c r="L135" s="36">
        <f>IF(K135="","",IF(K135=0,0,M135/K135))</f>
        <v/>
      </c>
      <c r="M135" s="36">
        <f>IF(K135="","",N(M134)+N(G135)-N(J135))</f>
        <v/>
      </c>
    </row>
    <row r="136">
      <c r="A136" s="32" t="n">
        <v>128</v>
      </c>
      <c r="B136" s="33" t="n"/>
      <c r="C136" s="17" t="n"/>
      <c r="D136" s="17" t="n"/>
      <c r="E136" s="34" t="n"/>
      <c r="F136" s="35" t="n"/>
      <c r="G136" s="36">
        <f>IF(E136="","",E136*F136)</f>
        <v/>
      </c>
      <c r="H136" s="34" t="n"/>
      <c r="I136" s="36">
        <f>IF(H136="","",L135)</f>
        <v/>
      </c>
      <c r="J136" s="36">
        <f>IF(H136="","",H136*I136)</f>
        <v/>
      </c>
      <c r="K136" s="37">
        <f>IF(AND(E136="",H136=""),"",N(K135)+N(E136)-N(H136))</f>
        <v/>
      </c>
      <c r="L136" s="36">
        <f>IF(K136="","",IF(K136=0,0,M136/K136))</f>
        <v/>
      </c>
      <c r="M136" s="36">
        <f>IF(K136="","",N(M135)+N(G136)-N(J136))</f>
        <v/>
      </c>
    </row>
    <row r="137">
      <c r="A137" s="32" t="n">
        <v>129</v>
      </c>
      <c r="B137" s="33" t="n"/>
      <c r="C137" s="17" t="n"/>
      <c r="D137" s="17" t="n"/>
      <c r="E137" s="34" t="n"/>
      <c r="F137" s="35" t="n"/>
      <c r="G137" s="36">
        <f>IF(E137="","",E137*F137)</f>
        <v/>
      </c>
      <c r="H137" s="34" t="n"/>
      <c r="I137" s="36">
        <f>IF(H137="","",L136)</f>
        <v/>
      </c>
      <c r="J137" s="36">
        <f>IF(H137="","",H137*I137)</f>
        <v/>
      </c>
      <c r="K137" s="37">
        <f>IF(AND(E137="",H137=""),"",N(K136)+N(E137)-N(H137))</f>
        <v/>
      </c>
      <c r="L137" s="36">
        <f>IF(K137="","",IF(K137=0,0,M137/K137))</f>
        <v/>
      </c>
      <c r="M137" s="36">
        <f>IF(K137="","",N(M136)+N(G137)-N(J137))</f>
        <v/>
      </c>
    </row>
    <row r="138">
      <c r="A138" s="32" t="n">
        <v>130</v>
      </c>
      <c r="B138" s="33" t="n"/>
      <c r="C138" s="17" t="n"/>
      <c r="D138" s="17" t="n"/>
      <c r="E138" s="34" t="n"/>
      <c r="F138" s="35" t="n"/>
      <c r="G138" s="36">
        <f>IF(E138="","",E138*F138)</f>
        <v/>
      </c>
      <c r="H138" s="34" t="n"/>
      <c r="I138" s="36">
        <f>IF(H138="","",L137)</f>
        <v/>
      </c>
      <c r="J138" s="36">
        <f>IF(H138="","",H138*I138)</f>
        <v/>
      </c>
      <c r="K138" s="37">
        <f>IF(AND(E138="",H138=""),"",N(K137)+N(E138)-N(H138))</f>
        <v/>
      </c>
      <c r="L138" s="36">
        <f>IF(K138="","",IF(K138=0,0,M138/K138))</f>
        <v/>
      </c>
      <c r="M138" s="36">
        <f>IF(K138="","",N(M137)+N(G138)-N(J138))</f>
        <v/>
      </c>
    </row>
    <row r="139">
      <c r="A139" s="32" t="n">
        <v>131</v>
      </c>
      <c r="B139" s="33" t="n"/>
      <c r="C139" s="17" t="n"/>
      <c r="D139" s="17" t="n"/>
      <c r="E139" s="34" t="n"/>
      <c r="F139" s="35" t="n"/>
      <c r="G139" s="36">
        <f>IF(E139="","",E139*F139)</f>
        <v/>
      </c>
      <c r="H139" s="34" t="n"/>
      <c r="I139" s="36">
        <f>IF(H139="","",L138)</f>
        <v/>
      </c>
      <c r="J139" s="36">
        <f>IF(H139="","",H139*I139)</f>
        <v/>
      </c>
      <c r="K139" s="37">
        <f>IF(AND(E139="",H139=""),"",N(K138)+N(E139)-N(H139))</f>
        <v/>
      </c>
      <c r="L139" s="36">
        <f>IF(K139="","",IF(K139=0,0,M139/K139))</f>
        <v/>
      </c>
      <c r="M139" s="36">
        <f>IF(K139="","",N(M138)+N(G139)-N(J139))</f>
        <v/>
      </c>
    </row>
    <row r="140">
      <c r="A140" s="32" t="n">
        <v>132</v>
      </c>
      <c r="B140" s="33" t="n"/>
      <c r="C140" s="17" t="n"/>
      <c r="D140" s="17" t="n"/>
      <c r="E140" s="34" t="n"/>
      <c r="F140" s="35" t="n"/>
      <c r="G140" s="36">
        <f>IF(E140="","",E140*F140)</f>
        <v/>
      </c>
      <c r="H140" s="34" t="n"/>
      <c r="I140" s="36">
        <f>IF(H140="","",L139)</f>
        <v/>
      </c>
      <c r="J140" s="36">
        <f>IF(H140="","",H140*I140)</f>
        <v/>
      </c>
      <c r="K140" s="37">
        <f>IF(AND(E140="",H140=""),"",N(K139)+N(E140)-N(H140))</f>
        <v/>
      </c>
      <c r="L140" s="36">
        <f>IF(K140="","",IF(K140=0,0,M140/K140))</f>
        <v/>
      </c>
      <c r="M140" s="36">
        <f>IF(K140="","",N(M139)+N(G140)-N(J140))</f>
        <v/>
      </c>
    </row>
    <row r="141">
      <c r="A141" s="32" t="n">
        <v>133</v>
      </c>
      <c r="B141" s="33" t="n"/>
      <c r="C141" s="17" t="n"/>
      <c r="D141" s="17" t="n"/>
      <c r="E141" s="34" t="n"/>
      <c r="F141" s="35" t="n"/>
      <c r="G141" s="36">
        <f>IF(E141="","",E141*F141)</f>
        <v/>
      </c>
      <c r="H141" s="34" t="n"/>
      <c r="I141" s="36">
        <f>IF(H141="","",L140)</f>
        <v/>
      </c>
      <c r="J141" s="36">
        <f>IF(H141="","",H141*I141)</f>
        <v/>
      </c>
      <c r="K141" s="37">
        <f>IF(AND(E141="",H141=""),"",N(K140)+N(E141)-N(H141))</f>
        <v/>
      </c>
      <c r="L141" s="36">
        <f>IF(K141="","",IF(K141=0,0,M141/K141))</f>
        <v/>
      </c>
      <c r="M141" s="36">
        <f>IF(K141="","",N(M140)+N(G141)-N(J141))</f>
        <v/>
      </c>
    </row>
    <row r="142">
      <c r="A142" s="32" t="n">
        <v>134</v>
      </c>
      <c r="B142" s="33" t="n"/>
      <c r="C142" s="17" t="n"/>
      <c r="D142" s="17" t="n"/>
      <c r="E142" s="34" t="n"/>
      <c r="F142" s="35" t="n"/>
      <c r="G142" s="36">
        <f>IF(E142="","",E142*F142)</f>
        <v/>
      </c>
      <c r="H142" s="34" t="n"/>
      <c r="I142" s="36">
        <f>IF(H142="","",L141)</f>
        <v/>
      </c>
      <c r="J142" s="36">
        <f>IF(H142="","",H142*I142)</f>
        <v/>
      </c>
      <c r="K142" s="37">
        <f>IF(AND(E142="",H142=""),"",N(K141)+N(E142)-N(H142))</f>
        <v/>
      </c>
      <c r="L142" s="36">
        <f>IF(K142="","",IF(K142=0,0,M142/K142))</f>
        <v/>
      </c>
      <c r="M142" s="36">
        <f>IF(K142="","",N(M141)+N(G142)-N(J142))</f>
        <v/>
      </c>
    </row>
    <row r="143">
      <c r="A143" s="32" t="n">
        <v>135</v>
      </c>
      <c r="B143" s="33" t="n"/>
      <c r="C143" s="17" t="n"/>
      <c r="D143" s="17" t="n"/>
      <c r="E143" s="34" t="n"/>
      <c r="F143" s="35" t="n"/>
      <c r="G143" s="36">
        <f>IF(E143="","",E143*F143)</f>
        <v/>
      </c>
      <c r="H143" s="34" t="n"/>
      <c r="I143" s="36">
        <f>IF(H143="","",L142)</f>
        <v/>
      </c>
      <c r="J143" s="36">
        <f>IF(H143="","",H143*I143)</f>
        <v/>
      </c>
      <c r="K143" s="37">
        <f>IF(AND(E143="",H143=""),"",N(K142)+N(E143)-N(H143))</f>
        <v/>
      </c>
      <c r="L143" s="36">
        <f>IF(K143="","",IF(K143=0,0,M143/K143))</f>
        <v/>
      </c>
      <c r="M143" s="36">
        <f>IF(K143="","",N(M142)+N(G143)-N(J143))</f>
        <v/>
      </c>
    </row>
    <row r="144">
      <c r="A144" s="32" t="n">
        <v>136</v>
      </c>
      <c r="B144" s="33" t="n"/>
      <c r="C144" s="17" t="n"/>
      <c r="D144" s="17" t="n"/>
      <c r="E144" s="34" t="n"/>
      <c r="F144" s="35" t="n"/>
      <c r="G144" s="36">
        <f>IF(E144="","",E144*F144)</f>
        <v/>
      </c>
      <c r="H144" s="34" t="n"/>
      <c r="I144" s="36">
        <f>IF(H144="","",L143)</f>
        <v/>
      </c>
      <c r="J144" s="36">
        <f>IF(H144="","",H144*I144)</f>
        <v/>
      </c>
      <c r="K144" s="37">
        <f>IF(AND(E144="",H144=""),"",N(K143)+N(E144)-N(H144))</f>
        <v/>
      </c>
      <c r="L144" s="36">
        <f>IF(K144="","",IF(K144=0,0,M144/K144))</f>
        <v/>
      </c>
      <c r="M144" s="36">
        <f>IF(K144="","",N(M143)+N(G144)-N(J144))</f>
        <v/>
      </c>
    </row>
    <row r="145">
      <c r="A145" s="32" t="n">
        <v>137</v>
      </c>
      <c r="B145" s="33" t="n"/>
      <c r="C145" s="17" t="n"/>
      <c r="D145" s="17" t="n"/>
      <c r="E145" s="34" t="n"/>
      <c r="F145" s="35" t="n"/>
      <c r="G145" s="36">
        <f>IF(E145="","",E145*F145)</f>
        <v/>
      </c>
      <c r="H145" s="34" t="n"/>
      <c r="I145" s="36">
        <f>IF(H145="","",L144)</f>
        <v/>
      </c>
      <c r="J145" s="36">
        <f>IF(H145="","",H145*I145)</f>
        <v/>
      </c>
      <c r="K145" s="37">
        <f>IF(AND(E145="",H145=""),"",N(K144)+N(E145)-N(H145))</f>
        <v/>
      </c>
      <c r="L145" s="36">
        <f>IF(K145="","",IF(K145=0,0,M145/K145))</f>
        <v/>
      </c>
      <c r="M145" s="36">
        <f>IF(K145="","",N(M144)+N(G145)-N(J145))</f>
        <v/>
      </c>
    </row>
    <row r="146">
      <c r="A146" s="32" t="n">
        <v>138</v>
      </c>
      <c r="B146" s="33" t="n"/>
      <c r="C146" s="17" t="n"/>
      <c r="D146" s="17" t="n"/>
      <c r="E146" s="34" t="n"/>
      <c r="F146" s="35" t="n"/>
      <c r="G146" s="36">
        <f>IF(E146="","",E146*F146)</f>
        <v/>
      </c>
      <c r="H146" s="34" t="n"/>
      <c r="I146" s="36">
        <f>IF(H146="","",L145)</f>
        <v/>
      </c>
      <c r="J146" s="36">
        <f>IF(H146="","",H146*I146)</f>
        <v/>
      </c>
      <c r="K146" s="37">
        <f>IF(AND(E146="",H146=""),"",N(K145)+N(E146)-N(H146))</f>
        <v/>
      </c>
      <c r="L146" s="36">
        <f>IF(K146="","",IF(K146=0,0,M146/K146))</f>
        <v/>
      </c>
      <c r="M146" s="36">
        <f>IF(K146="","",N(M145)+N(G146)-N(J146))</f>
        <v/>
      </c>
    </row>
    <row r="147">
      <c r="A147" s="32" t="n">
        <v>139</v>
      </c>
      <c r="B147" s="33" t="n"/>
      <c r="C147" s="17" t="n"/>
      <c r="D147" s="17" t="n"/>
      <c r="E147" s="34" t="n"/>
      <c r="F147" s="35" t="n"/>
      <c r="G147" s="36">
        <f>IF(E147="","",E147*F147)</f>
        <v/>
      </c>
      <c r="H147" s="34" t="n"/>
      <c r="I147" s="36">
        <f>IF(H147="","",L146)</f>
        <v/>
      </c>
      <c r="J147" s="36">
        <f>IF(H147="","",H147*I147)</f>
        <v/>
      </c>
      <c r="K147" s="37">
        <f>IF(AND(E147="",H147=""),"",N(K146)+N(E147)-N(H147))</f>
        <v/>
      </c>
      <c r="L147" s="36">
        <f>IF(K147="","",IF(K147=0,0,M147/K147))</f>
        <v/>
      </c>
      <c r="M147" s="36">
        <f>IF(K147="","",N(M146)+N(G147)-N(J147))</f>
        <v/>
      </c>
    </row>
    <row r="148">
      <c r="A148" s="32" t="n">
        <v>140</v>
      </c>
      <c r="B148" s="33" t="n"/>
      <c r="C148" s="17" t="n"/>
      <c r="D148" s="17" t="n"/>
      <c r="E148" s="34" t="n"/>
      <c r="F148" s="35" t="n"/>
      <c r="G148" s="36">
        <f>IF(E148="","",E148*F148)</f>
        <v/>
      </c>
      <c r="H148" s="34" t="n"/>
      <c r="I148" s="36">
        <f>IF(H148="","",L147)</f>
        <v/>
      </c>
      <c r="J148" s="36">
        <f>IF(H148="","",H148*I148)</f>
        <v/>
      </c>
      <c r="K148" s="37">
        <f>IF(AND(E148="",H148=""),"",N(K147)+N(E148)-N(H148))</f>
        <v/>
      </c>
      <c r="L148" s="36">
        <f>IF(K148="","",IF(K148=0,0,M148/K148))</f>
        <v/>
      </c>
      <c r="M148" s="36">
        <f>IF(K148="","",N(M147)+N(G148)-N(J148))</f>
        <v/>
      </c>
    </row>
    <row r="149">
      <c r="A149" s="32" t="n">
        <v>141</v>
      </c>
      <c r="B149" s="33" t="n"/>
      <c r="C149" s="17" t="n"/>
      <c r="D149" s="17" t="n"/>
      <c r="E149" s="34" t="n"/>
      <c r="F149" s="35" t="n"/>
      <c r="G149" s="36">
        <f>IF(E149="","",E149*F149)</f>
        <v/>
      </c>
      <c r="H149" s="34" t="n"/>
      <c r="I149" s="36">
        <f>IF(H149="","",L148)</f>
        <v/>
      </c>
      <c r="J149" s="36">
        <f>IF(H149="","",H149*I149)</f>
        <v/>
      </c>
      <c r="K149" s="37">
        <f>IF(AND(E149="",H149=""),"",N(K148)+N(E149)-N(H149))</f>
        <v/>
      </c>
      <c r="L149" s="36">
        <f>IF(K149="","",IF(K149=0,0,M149/K149))</f>
        <v/>
      </c>
      <c r="M149" s="36">
        <f>IF(K149="","",N(M148)+N(G149)-N(J149))</f>
        <v/>
      </c>
    </row>
    <row r="150">
      <c r="A150" s="32" t="n">
        <v>142</v>
      </c>
      <c r="B150" s="33" t="n"/>
      <c r="C150" s="17" t="n"/>
      <c r="D150" s="17" t="n"/>
      <c r="E150" s="34" t="n"/>
      <c r="F150" s="35" t="n"/>
      <c r="G150" s="36">
        <f>IF(E150="","",E150*F150)</f>
        <v/>
      </c>
      <c r="H150" s="34" t="n"/>
      <c r="I150" s="36">
        <f>IF(H150="","",L149)</f>
        <v/>
      </c>
      <c r="J150" s="36">
        <f>IF(H150="","",H150*I150)</f>
        <v/>
      </c>
      <c r="K150" s="37">
        <f>IF(AND(E150="",H150=""),"",N(K149)+N(E150)-N(H150))</f>
        <v/>
      </c>
      <c r="L150" s="36">
        <f>IF(K150="","",IF(K150=0,0,M150/K150))</f>
        <v/>
      </c>
      <c r="M150" s="36">
        <f>IF(K150="","",N(M149)+N(G150)-N(J150))</f>
        <v/>
      </c>
    </row>
    <row r="151">
      <c r="A151" s="32" t="n">
        <v>143</v>
      </c>
      <c r="B151" s="33" t="n"/>
      <c r="C151" s="17" t="n"/>
      <c r="D151" s="17" t="n"/>
      <c r="E151" s="34" t="n"/>
      <c r="F151" s="35" t="n"/>
      <c r="G151" s="36">
        <f>IF(E151="","",E151*F151)</f>
        <v/>
      </c>
      <c r="H151" s="34" t="n"/>
      <c r="I151" s="36">
        <f>IF(H151="","",L150)</f>
        <v/>
      </c>
      <c r="J151" s="36">
        <f>IF(H151="","",H151*I151)</f>
        <v/>
      </c>
      <c r="K151" s="37">
        <f>IF(AND(E151="",H151=""),"",N(K150)+N(E151)-N(H151))</f>
        <v/>
      </c>
      <c r="L151" s="36">
        <f>IF(K151="","",IF(K151=0,0,M151/K151))</f>
        <v/>
      </c>
      <c r="M151" s="36">
        <f>IF(K151="","",N(M150)+N(G151)-N(J151))</f>
        <v/>
      </c>
    </row>
    <row r="152">
      <c r="A152" s="32" t="n">
        <v>144</v>
      </c>
      <c r="B152" s="33" t="n"/>
      <c r="C152" s="17" t="n"/>
      <c r="D152" s="17" t="n"/>
      <c r="E152" s="34" t="n"/>
      <c r="F152" s="35" t="n"/>
      <c r="G152" s="36">
        <f>IF(E152="","",E152*F152)</f>
        <v/>
      </c>
      <c r="H152" s="34" t="n"/>
      <c r="I152" s="36">
        <f>IF(H152="","",L151)</f>
        <v/>
      </c>
      <c r="J152" s="36">
        <f>IF(H152="","",H152*I152)</f>
        <v/>
      </c>
      <c r="K152" s="37">
        <f>IF(AND(E152="",H152=""),"",N(K151)+N(E152)-N(H152))</f>
        <v/>
      </c>
      <c r="L152" s="36">
        <f>IF(K152="","",IF(K152=0,0,M152/K152))</f>
        <v/>
      </c>
      <c r="M152" s="36">
        <f>IF(K152="","",N(M151)+N(G152)-N(J152))</f>
        <v/>
      </c>
    </row>
    <row r="153">
      <c r="A153" s="32" t="n">
        <v>145</v>
      </c>
      <c r="B153" s="33" t="n"/>
      <c r="C153" s="17" t="n"/>
      <c r="D153" s="17" t="n"/>
      <c r="E153" s="34" t="n"/>
      <c r="F153" s="35" t="n"/>
      <c r="G153" s="36">
        <f>IF(E153="","",E153*F153)</f>
        <v/>
      </c>
      <c r="H153" s="34" t="n"/>
      <c r="I153" s="36">
        <f>IF(H153="","",L152)</f>
        <v/>
      </c>
      <c r="J153" s="36">
        <f>IF(H153="","",H153*I153)</f>
        <v/>
      </c>
      <c r="K153" s="37">
        <f>IF(AND(E153="",H153=""),"",N(K152)+N(E153)-N(H153))</f>
        <v/>
      </c>
      <c r="L153" s="36">
        <f>IF(K153="","",IF(K153=0,0,M153/K153))</f>
        <v/>
      </c>
      <c r="M153" s="36">
        <f>IF(K153="","",N(M152)+N(G153)-N(J153))</f>
        <v/>
      </c>
    </row>
    <row r="154">
      <c r="A154" s="32" t="n">
        <v>146</v>
      </c>
      <c r="B154" s="33" t="n"/>
      <c r="C154" s="17" t="n"/>
      <c r="D154" s="17" t="n"/>
      <c r="E154" s="34" t="n"/>
      <c r="F154" s="35" t="n"/>
      <c r="G154" s="36">
        <f>IF(E154="","",E154*F154)</f>
        <v/>
      </c>
      <c r="H154" s="34" t="n"/>
      <c r="I154" s="36">
        <f>IF(H154="","",L153)</f>
        <v/>
      </c>
      <c r="J154" s="36">
        <f>IF(H154="","",H154*I154)</f>
        <v/>
      </c>
      <c r="K154" s="37">
        <f>IF(AND(E154="",H154=""),"",N(K153)+N(E154)-N(H154))</f>
        <v/>
      </c>
      <c r="L154" s="36">
        <f>IF(K154="","",IF(K154=0,0,M154/K154))</f>
        <v/>
      </c>
      <c r="M154" s="36">
        <f>IF(K154="","",N(M153)+N(G154)-N(J154))</f>
        <v/>
      </c>
    </row>
    <row r="155">
      <c r="A155" s="32" t="n">
        <v>147</v>
      </c>
      <c r="B155" s="33" t="n"/>
      <c r="C155" s="17" t="n"/>
      <c r="D155" s="17" t="n"/>
      <c r="E155" s="34" t="n"/>
      <c r="F155" s="35" t="n"/>
      <c r="G155" s="36">
        <f>IF(E155="","",E155*F155)</f>
        <v/>
      </c>
      <c r="H155" s="34" t="n"/>
      <c r="I155" s="36">
        <f>IF(H155="","",L154)</f>
        <v/>
      </c>
      <c r="J155" s="36">
        <f>IF(H155="","",H155*I155)</f>
        <v/>
      </c>
      <c r="K155" s="37">
        <f>IF(AND(E155="",H155=""),"",N(K154)+N(E155)-N(H155))</f>
        <v/>
      </c>
      <c r="L155" s="36">
        <f>IF(K155="","",IF(K155=0,0,M155/K155))</f>
        <v/>
      </c>
      <c r="M155" s="36">
        <f>IF(K155="","",N(M154)+N(G155)-N(J155))</f>
        <v/>
      </c>
    </row>
    <row r="156">
      <c r="A156" s="32" t="n">
        <v>148</v>
      </c>
      <c r="B156" s="33" t="n"/>
      <c r="C156" s="17" t="n"/>
      <c r="D156" s="17" t="n"/>
      <c r="E156" s="34" t="n"/>
      <c r="F156" s="35" t="n"/>
      <c r="G156" s="36">
        <f>IF(E156="","",E156*F156)</f>
        <v/>
      </c>
      <c r="H156" s="34" t="n"/>
      <c r="I156" s="36">
        <f>IF(H156="","",L155)</f>
        <v/>
      </c>
      <c r="J156" s="36">
        <f>IF(H156="","",H156*I156)</f>
        <v/>
      </c>
      <c r="K156" s="37">
        <f>IF(AND(E156="",H156=""),"",N(K155)+N(E156)-N(H156))</f>
        <v/>
      </c>
      <c r="L156" s="36">
        <f>IF(K156="","",IF(K156=0,0,M156/K156))</f>
        <v/>
      </c>
      <c r="M156" s="36">
        <f>IF(K156="","",N(M155)+N(G156)-N(J156))</f>
        <v/>
      </c>
    </row>
    <row r="157">
      <c r="A157" s="32" t="n">
        <v>149</v>
      </c>
      <c r="B157" s="33" t="n"/>
      <c r="C157" s="17" t="n"/>
      <c r="D157" s="17" t="n"/>
      <c r="E157" s="34" t="n"/>
      <c r="F157" s="35" t="n"/>
      <c r="G157" s="36">
        <f>IF(E157="","",E157*F157)</f>
        <v/>
      </c>
      <c r="H157" s="34" t="n"/>
      <c r="I157" s="36">
        <f>IF(H157="","",L156)</f>
        <v/>
      </c>
      <c r="J157" s="36">
        <f>IF(H157="","",H157*I157)</f>
        <v/>
      </c>
      <c r="K157" s="37">
        <f>IF(AND(E157="",H157=""),"",N(K156)+N(E157)-N(H157))</f>
        <v/>
      </c>
      <c r="L157" s="36">
        <f>IF(K157="","",IF(K157=0,0,M157/K157))</f>
        <v/>
      </c>
      <c r="M157" s="36">
        <f>IF(K157="","",N(M156)+N(G157)-N(J157))</f>
        <v/>
      </c>
    </row>
    <row r="158">
      <c r="A158" s="32" t="n">
        <v>150</v>
      </c>
      <c r="B158" s="33" t="n"/>
      <c r="C158" s="17" t="n"/>
      <c r="D158" s="17" t="n"/>
      <c r="E158" s="34" t="n"/>
      <c r="F158" s="35" t="n"/>
      <c r="G158" s="36">
        <f>IF(E158="","",E158*F158)</f>
        <v/>
      </c>
      <c r="H158" s="34" t="n"/>
      <c r="I158" s="36">
        <f>IF(H158="","",L157)</f>
        <v/>
      </c>
      <c r="J158" s="36">
        <f>IF(H158="","",H158*I158)</f>
        <v/>
      </c>
      <c r="K158" s="37">
        <f>IF(AND(E158="",H158=""),"",N(K157)+N(E158)-N(H158))</f>
        <v/>
      </c>
      <c r="L158" s="36">
        <f>IF(K158="","",IF(K158=0,0,M158/K158))</f>
        <v/>
      </c>
      <c r="M158" s="36">
        <f>IF(K158="","",N(M157)+N(G158)-N(J158))</f>
        <v/>
      </c>
    </row>
    <row r="159">
      <c r="A159" s="32" t="n">
        <v>151</v>
      </c>
      <c r="B159" s="33" t="n"/>
      <c r="C159" s="17" t="n"/>
      <c r="D159" s="17" t="n"/>
      <c r="E159" s="34" t="n"/>
      <c r="F159" s="35" t="n"/>
      <c r="G159" s="36">
        <f>IF(E159="","",E159*F159)</f>
        <v/>
      </c>
      <c r="H159" s="34" t="n"/>
      <c r="I159" s="36">
        <f>IF(H159="","",L158)</f>
        <v/>
      </c>
      <c r="J159" s="36">
        <f>IF(H159="","",H159*I159)</f>
        <v/>
      </c>
      <c r="K159" s="37">
        <f>IF(AND(E159="",H159=""),"",N(K158)+N(E159)-N(H159))</f>
        <v/>
      </c>
      <c r="L159" s="36">
        <f>IF(K159="","",IF(K159=0,0,M159/K159))</f>
        <v/>
      </c>
      <c r="M159" s="36">
        <f>IF(K159="","",N(M158)+N(G159)-N(J159))</f>
        <v/>
      </c>
    </row>
    <row r="160">
      <c r="A160" s="32" t="n">
        <v>152</v>
      </c>
      <c r="B160" s="33" t="n"/>
      <c r="C160" s="17" t="n"/>
      <c r="D160" s="17" t="n"/>
      <c r="E160" s="34" t="n"/>
      <c r="F160" s="35" t="n"/>
      <c r="G160" s="36">
        <f>IF(E160="","",E160*F160)</f>
        <v/>
      </c>
      <c r="H160" s="34" t="n"/>
      <c r="I160" s="36">
        <f>IF(H160="","",L159)</f>
        <v/>
      </c>
      <c r="J160" s="36">
        <f>IF(H160="","",H160*I160)</f>
        <v/>
      </c>
      <c r="K160" s="37">
        <f>IF(AND(E160="",H160=""),"",N(K159)+N(E160)-N(H160))</f>
        <v/>
      </c>
      <c r="L160" s="36">
        <f>IF(K160="","",IF(K160=0,0,M160/K160))</f>
        <v/>
      </c>
      <c r="M160" s="36">
        <f>IF(K160="","",N(M159)+N(G160)-N(J160))</f>
        <v/>
      </c>
    </row>
    <row r="161">
      <c r="A161" s="32" t="n">
        <v>153</v>
      </c>
      <c r="B161" s="33" t="n"/>
      <c r="C161" s="17" t="n"/>
      <c r="D161" s="17" t="n"/>
      <c r="E161" s="34" t="n"/>
      <c r="F161" s="35" t="n"/>
      <c r="G161" s="36">
        <f>IF(E161="","",E161*F161)</f>
        <v/>
      </c>
      <c r="H161" s="34" t="n"/>
      <c r="I161" s="36">
        <f>IF(H161="","",L160)</f>
        <v/>
      </c>
      <c r="J161" s="36">
        <f>IF(H161="","",H161*I161)</f>
        <v/>
      </c>
      <c r="K161" s="37">
        <f>IF(AND(E161="",H161=""),"",N(K160)+N(E161)-N(H161))</f>
        <v/>
      </c>
      <c r="L161" s="36">
        <f>IF(K161="","",IF(K161=0,0,M161/K161))</f>
        <v/>
      </c>
      <c r="M161" s="36">
        <f>IF(K161="","",N(M160)+N(G161)-N(J161))</f>
        <v/>
      </c>
    </row>
    <row r="162">
      <c r="A162" s="32" t="n">
        <v>154</v>
      </c>
      <c r="B162" s="33" t="n"/>
      <c r="C162" s="17" t="n"/>
      <c r="D162" s="17" t="n"/>
      <c r="E162" s="34" t="n"/>
      <c r="F162" s="35" t="n"/>
      <c r="G162" s="36">
        <f>IF(E162="","",E162*F162)</f>
        <v/>
      </c>
      <c r="H162" s="34" t="n"/>
      <c r="I162" s="36">
        <f>IF(H162="","",L161)</f>
        <v/>
      </c>
      <c r="J162" s="36">
        <f>IF(H162="","",H162*I162)</f>
        <v/>
      </c>
      <c r="K162" s="37">
        <f>IF(AND(E162="",H162=""),"",N(K161)+N(E162)-N(H162))</f>
        <v/>
      </c>
      <c r="L162" s="36">
        <f>IF(K162="","",IF(K162=0,0,M162/K162))</f>
        <v/>
      </c>
      <c r="M162" s="36">
        <f>IF(K162="","",N(M161)+N(G162)-N(J162))</f>
        <v/>
      </c>
    </row>
    <row r="163">
      <c r="A163" s="32" t="n">
        <v>155</v>
      </c>
      <c r="B163" s="33" t="n"/>
      <c r="C163" s="17" t="n"/>
      <c r="D163" s="17" t="n"/>
      <c r="E163" s="34" t="n"/>
      <c r="F163" s="35" t="n"/>
      <c r="G163" s="36">
        <f>IF(E163="","",E163*F163)</f>
        <v/>
      </c>
      <c r="H163" s="34" t="n"/>
      <c r="I163" s="36">
        <f>IF(H163="","",L162)</f>
        <v/>
      </c>
      <c r="J163" s="36">
        <f>IF(H163="","",H163*I163)</f>
        <v/>
      </c>
      <c r="K163" s="37">
        <f>IF(AND(E163="",H163=""),"",N(K162)+N(E163)-N(H163))</f>
        <v/>
      </c>
      <c r="L163" s="36">
        <f>IF(K163="","",IF(K163=0,0,M163/K163))</f>
        <v/>
      </c>
      <c r="M163" s="36">
        <f>IF(K163="","",N(M162)+N(G163)-N(J163))</f>
        <v/>
      </c>
    </row>
    <row r="164">
      <c r="A164" s="32" t="n">
        <v>156</v>
      </c>
      <c r="B164" s="33" t="n"/>
      <c r="C164" s="17" t="n"/>
      <c r="D164" s="17" t="n"/>
      <c r="E164" s="34" t="n"/>
      <c r="F164" s="35" t="n"/>
      <c r="G164" s="36">
        <f>IF(E164="","",E164*F164)</f>
        <v/>
      </c>
      <c r="H164" s="34" t="n"/>
      <c r="I164" s="36">
        <f>IF(H164="","",L163)</f>
        <v/>
      </c>
      <c r="J164" s="36">
        <f>IF(H164="","",H164*I164)</f>
        <v/>
      </c>
      <c r="K164" s="37">
        <f>IF(AND(E164="",H164=""),"",N(K163)+N(E164)-N(H164))</f>
        <v/>
      </c>
      <c r="L164" s="36">
        <f>IF(K164="","",IF(K164=0,0,M164/K164))</f>
        <v/>
      </c>
      <c r="M164" s="36">
        <f>IF(K164="","",N(M163)+N(G164)-N(J164))</f>
        <v/>
      </c>
    </row>
    <row r="165">
      <c r="A165" s="32" t="n">
        <v>157</v>
      </c>
      <c r="B165" s="33" t="n"/>
      <c r="C165" s="17" t="n"/>
      <c r="D165" s="17" t="n"/>
      <c r="E165" s="34" t="n"/>
      <c r="F165" s="35" t="n"/>
      <c r="G165" s="36">
        <f>IF(E165="","",E165*F165)</f>
        <v/>
      </c>
      <c r="H165" s="34" t="n"/>
      <c r="I165" s="36">
        <f>IF(H165="","",L164)</f>
        <v/>
      </c>
      <c r="J165" s="36">
        <f>IF(H165="","",H165*I165)</f>
        <v/>
      </c>
      <c r="K165" s="37">
        <f>IF(AND(E165="",H165=""),"",N(K164)+N(E165)-N(H165))</f>
        <v/>
      </c>
      <c r="L165" s="36">
        <f>IF(K165="","",IF(K165=0,0,M165/K165))</f>
        <v/>
      </c>
      <c r="M165" s="36">
        <f>IF(K165="","",N(M164)+N(G165)-N(J165))</f>
        <v/>
      </c>
    </row>
    <row r="166">
      <c r="A166" s="32" t="n">
        <v>158</v>
      </c>
      <c r="B166" s="33" t="n"/>
      <c r="C166" s="17" t="n"/>
      <c r="D166" s="17" t="n"/>
      <c r="E166" s="34" t="n"/>
      <c r="F166" s="35" t="n"/>
      <c r="G166" s="36">
        <f>IF(E166="","",E166*F166)</f>
        <v/>
      </c>
      <c r="H166" s="34" t="n"/>
      <c r="I166" s="36">
        <f>IF(H166="","",L165)</f>
        <v/>
      </c>
      <c r="J166" s="36">
        <f>IF(H166="","",H166*I166)</f>
        <v/>
      </c>
      <c r="K166" s="37">
        <f>IF(AND(E166="",H166=""),"",N(K165)+N(E166)-N(H166))</f>
        <v/>
      </c>
      <c r="L166" s="36">
        <f>IF(K166="","",IF(K166=0,0,M166/K166))</f>
        <v/>
      </c>
      <c r="M166" s="36">
        <f>IF(K166="","",N(M165)+N(G166)-N(J166))</f>
        <v/>
      </c>
    </row>
    <row r="167">
      <c r="A167" s="32" t="n">
        <v>159</v>
      </c>
      <c r="B167" s="33" t="n"/>
      <c r="C167" s="17" t="n"/>
      <c r="D167" s="17" t="n"/>
      <c r="E167" s="34" t="n"/>
      <c r="F167" s="35" t="n"/>
      <c r="G167" s="36">
        <f>IF(E167="","",E167*F167)</f>
        <v/>
      </c>
      <c r="H167" s="34" t="n"/>
      <c r="I167" s="36">
        <f>IF(H167="","",L166)</f>
        <v/>
      </c>
      <c r="J167" s="36">
        <f>IF(H167="","",H167*I167)</f>
        <v/>
      </c>
      <c r="K167" s="37">
        <f>IF(AND(E167="",H167=""),"",N(K166)+N(E167)-N(H167))</f>
        <v/>
      </c>
      <c r="L167" s="36">
        <f>IF(K167="","",IF(K167=0,0,M167/K167))</f>
        <v/>
      </c>
      <c r="M167" s="36">
        <f>IF(K167="","",N(M166)+N(G167)-N(J167))</f>
        <v/>
      </c>
    </row>
    <row r="168">
      <c r="A168" s="32" t="n">
        <v>160</v>
      </c>
      <c r="B168" s="33" t="n"/>
      <c r="C168" s="17" t="n"/>
      <c r="D168" s="17" t="n"/>
      <c r="E168" s="34" t="n"/>
      <c r="F168" s="35" t="n"/>
      <c r="G168" s="36">
        <f>IF(E168="","",E168*F168)</f>
        <v/>
      </c>
      <c r="H168" s="34" t="n"/>
      <c r="I168" s="36">
        <f>IF(H168="","",L167)</f>
        <v/>
      </c>
      <c r="J168" s="36">
        <f>IF(H168="","",H168*I168)</f>
        <v/>
      </c>
      <c r="K168" s="37">
        <f>IF(AND(E168="",H168=""),"",N(K167)+N(E168)-N(H168))</f>
        <v/>
      </c>
      <c r="L168" s="36">
        <f>IF(K168="","",IF(K168=0,0,M168/K168))</f>
        <v/>
      </c>
      <c r="M168" s="36">
        <f>IF(K168="","",N(M167)+N(G168)-N(J168))</f>
        <v/>
      </c>
    </row>
    <row r="169">
      <c r="A169" s="32" t="n">
        <v>161</v>
      </c>
      <c r="B169" s="33" t="n"/>
      <c r="C169" s="17" t="n"/>
      <c r="D169" s="17" t="n"/>
      <c r="E169" s="34" t="n"/>
      <c r="F169" s="35" t="n"/>
      <c r="G169" s="36">
        <f>IF(E169="","",E169*F169)</f>
        <v/>
      </c>
      <c r="H169" s="34" t="n"/>
      <c r="I169" s="36">
        <f>IF(H169="","",L168)</f>
        <v/>
      </c>
      <c r="J169" s="36">
        <f>IF(H169="","",H169*I169)</f>
        <v/>
      </c>
      <c r="K169" s="37">
        <f>IF(AND(E169="",H169=""),"",N(K168)+N(E169)-N(H169))</f>
        <v/>
      </c>
      <c r="L169" s="36">
        <f>IF(K169="","",IF(K169=0,0,M169/K169))</f>
        <v/>
      </c>
      <c r="M169" s="36">
        <f>IF(K169="","",N(M168)+N(G169)-N(J169))</f>
        <v/>
      </c>
    </row>
    <row r="170">
      <c r="A170" s="32" t="n">
        <v>162</v>
      </c>
      <c r="B170" s="33" t="n"/>
      <c r="C170" s="17" t="n"/>
      <c r="D170" s="17" t="n"/>
      <c r="E170" s="34" t="n"/>
      <c r="F170" s="35" t="n"/>
      <c r="G170" s="36">
        <f>IF(E170="","",E170*F170)</f>
        <v/>
      </c>
      <c r="H170" s="34" t="n"/>
      <c r="I170" s="36">
        <f>IF(H170="","",L169)</f>
        <v/>
      </c>
      <c r="J170" s="36">
        <f>IF(H170="","",H170*I170)</f>
        <v/>
      </c>
      <c r="K170" s="37">
        <f>IF(AND(E170="",H170=""),"",N(K169)+N(E170)-N(H170))</f>
        <v/>
      </c>
      <c r="L170" s="36">
        <f>IF(K170="","",IF(K170=0,0,M170/K170))</f>
        <v/>
      </c>
      <c r="M170" s="36">
        <f>IF(K170="","",N(M169)+N(G170)-N(J170))</f>
        <v/>
      </c>
    </row>
    <row r="171">
      <c r="A171" s="32" t="n">
        <v>163</v>
      </c>
      <c r="B171" s="33" t="n"/>
      <c r="C171" s="17" t="n"/>
      <c r="D171" s="17" t="n"/>
      <c r="E171" s="34" t="n"/>
      <c r="F171" s="35" t="n"/>
      <c r="G171" s="36">
        <f>IF(E171="","",E171*F171)</f>
        <v/>
      </c>
      <c r="H171" s="34" t="n"/>
      <c r="I171" s="36">
        <f>IF(H171="","",L170)</f>
        <v/>
      </c>
      <c r="J171" s="36">
        <f>IF(H171="","",H171*I171)</f>
        <v/>
      </c>
      <c r="K171" s="37">
        <f>IF(AND(E171="",H171=""),"",N(K170)+N(E171)-N(H171))</f>
        <v/>
      </c>
      <c r="L171" s="36">
        <f>IF(K171="","",IF(K171=0,0,M171/K171))</f>
        <v/>
      </c>
      <c r="M171" s="36">
        <f>IF(K171="","",N(M170)+N(G171)-N(J171))</f>
        <v/>
      </c>
    </row>
    <row r="172">
      <c r="A172" s="32" t="n">
        <v>164</v>
      </c>
      <c r="B172" s="33" t="n"/>
      <c r="C172" s="17" t="n"/>
      <c r="D172" s="17" t="n"/>
      <c r="E172" s="34" t="n"/>
      <c r="F172" s="35" t="n"/>
      <c r="G172" s="36">
        <f>IF(E172="","",E172*F172)</f>
        <v/>
      </c>
      <c r="H172" s="34" t="n"/>
      <c r="I172" s="36">
        <f>IF(H172="","",L171)</f>
        <v/>
      </c>
      <c r="J172" s="36">
        <f>IF(H172="","",H172*I172)</f>
        <v/>
      </c>
      <c r="K172" s="37">
        <f>IF(AND(E172="",H172=""),"",N(K171)+N(E172)-N(H172))</f>
        <v/>
      </c>
      <c r="L172" s="36">
        <f>IF(K172="","",IF(K172=0,0,M172/K172))</f>
        <v/>
      </c>
      <c r="M172" s="36">
        <f>IF(K172="","",N(M171)+N(G172)-N(J172))</f>
        <v/>
      </c>
    </row>
    <row r="173">
      <c r="A173" s="32" t="n">
        <v>165</v>
      </c>
      <c r="B173" s="33" t="n"/>
      <c r="C173" s="17" t="n"/>
      <c r="D173" s="17" t="n"/>
      <c r="E173" s="34" t="n"/>
      <c r="F173" s="35" t="n"/>
      <c r="G173" s="36">
        <f>IF(E173="","",E173*F173)</f>
        <v/>
      </c>
      <c r="H173" s="34" t="n"/>
      <c r="I173" s="36">
        <f>IF(H173="","",L172)</f>
        <v/>
      </c>
      <c r="J173" s="36">
        <f>IF(H173="","",H173*I173)</f>
        <v/>
      </c>
      <c r="K173" s="37">
        <f>IF(AND(E173="",H173=""),"",N(K172)+N(E173)-N(H173))</f>
        <v/>
      </c>
      <c r="L173" s="36">
        <f>IF(K173="","",IF(K173=0,0,M173/K173))</f>
        <v/>
      </c>
      <c r="M173" s="36">
        <f>IF(K173="","",N(M172)+N(G173)-N(J173))</f>
        <v/>
      </c>
    </row>
    <row r="174">
      <c r="A174" s="32" t="n">
        <v>166</v>
      </c>
      <c r="B174" s="33" t="n"/>
      <c r="C174" s="17" t="n"/>
      <c r="D174" s="17" t="n"/>
      <c r="E174" s="34" t="n"/>
      <c r="F174" s="35" t="n"/>
      <c r="G174" s="36">
        <f>IF(E174="","",E174*F174)</f>
        <v/>
      </c>
      <c r="H174" s="34" t="n"/>
      <c r="I174" s="36">
        <f>IF(H174="","",L173)</f>
        <v/>
      </c>
      <c r="J174" s="36">
        <f>IF(H174="","",H174*I174)</f>
        <v/>
      </c>
      <c r="K174" s="37">
        <f>IF(AND(E174="",H174=""),"",N(K173)+N(E174)-N(H174))</f>
        <v/>
      </c>
      <c r="L174" s="36">
        <f>IF(K174="","",IF(K174=0,0,M174/K174))</f>
        <v/>
      </c>
      <c r="M174" s="36">
        <f>IF(K174="","",N(M173)+N(G174)-N(J174))</f>
        <v/>
      </c>
    </row>
    <row r="175">
      <c r="A175" s="32" t="n">
        <v>167</v>
      </c>
      <c r="B175" s="33" t="n"/>
      <c r="C175" s="17" t="n"/>
      <c r="D175" s="17" t="n"/>
      <c r="E175" s="34" t="n"/>
      <c r="F175" s="35" t="n"/>
      <c r="G175" s="36">
        <f>IF(E175="","",E175*F175)</f>
        <v/>
      </c>
      <c r="H175" s="34" t="n"/>
      <c r="I175" s="36">
        <f>IF(H175="","",L174)</f>
        <v/>
      </c>
      <c r="J175" s="36">
        <f>IF(H175="","",H175*I175)</f>
        <v/>
      </c>
      <c r="K175" s="37">
        <f>IF(AND(E175="",H175=""),"",N(K174)+N(E175)-N(H175))</f>
        <v/>
      </c>
      <c r="L175" s="36">
        <f>IF(K175="","",IF(K175=0,0,M175/K175))</f>
        <v/>
      </c>
      <c r="M175" s="36">
        <f>IF(K175="","",N(M174)+N(G175)-N(J175))</f>
        <v/>
      </c>
    </row>
    <row r="176">
      <c r="A176" s="32" t="n">
        <v>168</v>
      </c>
      <c r="B176" s="33" t="n"/>
      <c r="C176" s="17" t="n"/>
      <c r="D176" s="17" t="n"/>
      <c r="E176" s="34" t="n"/>
      <c r="F176" s="35" t="n"/>
      <c r="G176" s="36">
        <f>IF(E176="","",E176*F176)</f>
        <v/>
      </c>
      <c r="H176" s="34" t="n"/>
      <c r="I176" s="36">
        <f>IF(H176="","",L175)</f>
        <v/>
      </c>
      <c r="J176" s="36">
        <f>IF(H176="","",H176*I176)</f>
        <v/>
      </c>
      <c r="K176" s="37">
        <f>IF(AND(E176="",H176=""),"",N(K175)+N(E176)-N(H176))</f>
        <v/>
      </c>
      <c r="L176" s="36">
        <f>IF(K176="","",IF(K176=0,0,M176/K176))</f>
        <v/>
      </c>
      <c r="M176" s="36">
        <f>IF(K176="","",N(M175)+N(G176)-N(J176))</f>
        <v/>
      </c>
    </row>
    <row r="177">
      <c r="A177" s="32" t="n">
        <v>169</v>
      </c>
      <c r="B177" s="33" t="n"/>
      <c r="C177" s="17" t="n"/>
      <c r="D177" s="17" t="n"/>
      <c r="E177" s="34" t="n"/>
      <c r="F177" s="35" t="n"/>
      <c r="G177" s="36">
        <f>IF(E177="","",E177*F177)</f>
        <v/>
      </c>
      <c r="H177" s="34" t="n"/>
      <c r="I177" s="36">
        <f>IF(H177="","",L176)</f>
        <v/>
      </c>
      <c r="J177" s="36">
        <f>IF(H177="","",H177*I177)</f>
        <v/>
      </c>
      <c r="K177" s="37">
        <f>IF(AND(E177="",H177=""),"",N(K176)+N(E177)-N(H177))</f>
        <v/>
      </c>
      <c r="L177" s="36">
        <f>IF(K177="","",IF(K177=0,0,M177/K177))</f>
        <v/>
      </c>
      <c r="M177" s="36">
        <f>IF(K177="","",N(M176)+N(G177)-N(J177))</f>
        <v/>
      </c>
    </row>
    <row r="178">
      <c r="A178" s="32" t="n">
        <v>170</v>
      </c>
      <c r="B178" s="33" t="n"/>
      <c r="C178" s="17" t="n"/>
      <c r="D178" s="17" t="n"/>
      <c r="E178" s="34" t="n"/>
      <c r="F178" s="35" t="n"/>
      <c r="G178" s="36">
        <f>IF(E178="","",E178*F178)</f>
        <v/>
      </c>
      <c r="H178" s="34" t="n"/>
      <c r="I178" s="36">
        <f>IF(H178="","",L177)</f>
        <v/>
      </c>
      <c r="J178" s="36">
        <f>IF(H178="","",H178*I178)</f>
        <v/>
      </c>
      <c r="K178" s="37">
        <f>IF(AND(E178="",H178=""),"",N(K177)+N(E178)-N(H178))</f>
        <v/>
      </c>
      <c r="L178" s="36">
        <f>IF(K178="","",IF(K178=0,0,M178/K178))</f>
        <v/>
      </c>
      <c r="M178" s="36">
        <f>IF(K178="","",N(M177)+N(G178)-N(J178))</f>
        <v/>
      </c>
    </row>
    <row r="179">
      <c r="A179" s="32" t="n">
        <v>171</v>
      </c>
      <c r="B179" s="33" t="n"/>
      <c r="C179" s="17" t="n"/>
      <c r="D179" s="17" t="n"/>
      <c r="E179" s="34" t="n"/>
      <c r="F179" s="35" t="n"/>
      <c r="G179" s="36">
        <f>IF(E179="","",E179*F179)</f>
        <v/>
      </c>
      <c r="H179" s="34" t="n"/>
      <c r="I179" s="36">
        <f>IF(H179="","",L178)</f>
        <v/>
      </c>
      <c r="J179" s="36">
        <f>IF(H179="","",H179*I179)</f>
        <v/>
      </c>
      <c r="K179" s="37">
        <f>IF(AND(E179="",H179=""),"",N(K178)+N(E179)-N(H179))</f>
        <v/>
      </c>
      <c r="L179" s="36">
        <f>IF(K179="","",IF(K179=0,0,M179/K179))</f>
        <v/>
      </c>
      <c r="M179" s="36">
        <f>IF(K179="","",N(M178)+N(G179)-N(J179))</f>
        <v/>
      </c>
    </row>
    <row r="180">
      <c r="A180" s="32" t="n">
        <v>172</v>
      </c>
      <c r="B180" s="33" t="n"/>
      <c r="C180" s="17" t="n"/>
      <c r="D180" s="17" t="n"/>
      <c r="E180" s="34" t="n"/>
      <c r="F180" s="35" t="n"/>
      <c r="G180" s="36">
        <f>IF(E180="","",E180*F180)</f>
        <v/>
      </c>
      <c r="H180" s="34" t="n"/>
      <c r="I180" s="36">
        <f>IF(H180="","",L179)</f>
        <v/>
      </c>
      <c r="J180" s="36">
        <f>IF(H180="","",H180*I180)</f>
        <v/>
      </c>
      <c r="K180" s="37">
        <f>IF(AND(E180="",H180=""),"",N(K179)+N(E180)-N(H180))</f>
        <v/>
      </c>
      <c r="L180" s="36">
        <f>IF(K180="","",IF(K180=0,0,M180/K180))</f>
        <v/>
      </c>
      <c r="M180" s="36">
        <f>IF(K180="","",N(M179)+N(G180)-N(J180))</f>
        <v/>
      </c>
    </row>
    <row r="181">
      <c r="A181" s="32" t="n">
        <v>173</v>
      </c>
      <c r="B181" s="33" t="n"/>
      <c r="C181" s="17" t="n"/>
      <c r="D181" s="17" t="n"/>
      <c r="E181" s="34" t="n"/>
      <c r="F181" s="35" t="n"/>
      <c r="G181" s="36">
        <f>IF(E181="","",E181*F181)</f>
        <v/>
      </c>
      <c r="H181" s="34" t="n"/>
      <c r="I181" s="36">
        <f>IF(H181="","",L180)</f>
        <v/>
      </c>
      <c r="J181" s="36">
        <f>IF(H181="","",H181*I181)</f>
        <v/>
      </c>
      <c r="K181" s="37">
        <f>IF(AND(E181="",H181=""),"",N(K180)+N(E181)-N(H181))</f>
        <v/>
      </c>
      <c r="L181" s="36">
        <f>IF(K181="","",IF(K181=0,0,M181/K181))</f>
        <v/>
      </c>
      <c r="M181" s="36">
        <f>IF(K181="","",N(M180)+N(G181)-N(J181))</f>
        <v/>
      </c>
    </row>
    <row r="182">
      <c r="A182" s="32" t="n">
        <v>174</v>
      </c>
      <c r="B182" s="33" t="n"/>
      <c r="C182" s="17" t="n"/>
      <c r="D182" s="17" t="n"/>
      <c r="E182" s="34" t="n"/>
      <c r="F182" s="35" t="n"/>
      <c r="G182" s="36">
        <f>IF(E182="","",E182*F182)</f>
        <v/>
      </c>
      <c r="H182" s="34" t="n"/>
      <c r="I182" s="36">
        <f>IF(H182="","",L181)</f>
        <v/>
      </c>
      <c r="J182" s="36">
        <f>IF(H182="","",H182*I182)</f>
        <v/>
      </c>
      <c r="K182" s="37">
        <f>IF(AND(E182="",H182=""),"",N(K181)+N(E182)-N(H182))</f>
        <v/>
      </c>
      <c r="L182" s="36">
        <f>IF(K182="","",IF(K182=0,0,M182/K182))</f>
        <v/>
      </c>
      <c r="M182" s="36">
        <f>IF(K182="","",N(M181)+N(G182)-N(J182))</f>
        <v/>
      </c>
    </row>
    <row r="183">
      <c r="A183" s="32" t="n">
        <v>175</v>
      </c>
      <c r="B183" s="33" t="n"/>
      <c r="C183" s="17" t="n"/>
      <c r="D183" s="17" t="n"/>
      <c r="E183" s="34" t="n"/>
      <c r="F183" s="35" t="n"/>
      <c r="G183" s="36">
        <f>IF(E183="","",E183*F183)</f>
        <v/>
      </c>
      <c r="H183" s="34" t="n"/>
      <c r="I183" s="36">
        <f>IF(H183="","",L182)</f>
        <v/>
      </c>
      <c r="J183" s="36">
        <f>IF(H183="","",H183*I183)</f>
        <v/>
      </c>
      <c r="K183" s="37">
        <f>IF(AND(E183="",H183=""),"",N(K182)+N(E183)-N(H183))</f>
        <v/>
      </c>
      <c r="L183" s="36">
        <f>IF(K183="","",IF(K183=0,0,M183/K183))</f>
        <v/>
      </c>
      <c r="M183" s="36">
        <f>IF(K183="","",N(M182)+N(G183)-N(J183))</f>
        <v/>
      </c>
    </row>
    <row r="184">
      <c r="A184" s="32" t="n">
        <v>176</v>
      </c>
      <c r="B184" s="33" t="n"/>
      <c r="C184" s="17" t="n"/>
      <c r="D184" s="17" t="n"/>
      <c r="E184" s="34" t="n"/>
      <c r="F184" s="35" t="n"/>
      <c r="G184" s="36">
        <f>IF(E184="","",E184*F184)</f>
        <v/>
      </c>
      <c r="H184" s="34" t="n"/>
      <c r="I184" s="36">
        <f>IF(H184="","",L183)</f>
        <v/>
      </c>
      <c r="J184" s="36">
        <f>IF(H184="","",H184*I184)</f>
        <v/>
      </c>
      <c r="K184" s="37">
        <f>IF(AND(E184="",H184=""),"",N(K183)+N(E184)-N(H184))</f>
        <v/>
      </c>
      <c r="L184" s="36">
        <f>IF(K184="","",IF(K184=0,0,M184/K184))</f>
        <v/>
      </c>
      <c r="M184" s="36">
        <f>IF(K184="","",N(M183)+N(G184)-N(J184))</f>
        <v/>
      </c>
    </row>
    <row r="185">
      <c r="A185" s="32" t="n">
        <v>177</v>
      </c>
      <c r="B185" s="33" t="n"/>
      <c r="C185" s="17" t="n"/>
      <c r="D185" s="17" t="n"/>
      <c r="E185" s="34" t="n"/>
      <c r="F185" s="35" t="n"/>
      <c r="G185" s="36">
        <f>IF(E185="","",E185*F185)</f>
        <v/>
      </c>
      <c r="H185" s="34" t="n"/>
      <c r="I185" s="36">
        <f>IF(H185="","",L184)</f>
        <v/>
      </c>
      <c r="J185" s="36">
        <f>IF(H185="","",H185*I185)</f>
        <v/>
      </c>
      <c r="K185" s="37">
        <f>IF(AND(E185="",H185=""),"",N(K184)+N(E185)-N(H185))</f>
        <v/>
      </c>
      <c r="L185" s="36">
        <f>IF(K185="","",IF(K185=0,0,M185/K185))</f>
        <v/>
      </c>
      <c r="M185" s="36">
        <f>IF(K185="","",N(M184)+N(G185)-N(J185))</f>
        <v/>
      </c>
    </row>
    <row r="186">
      <c r="A186" s="32" t="n">
        <v>178</v>
      </c>
      <c r="B186" s="33" t="n"/>
      <c r="C186" s="17" t="n"/>
      <c r="D186" s="17" t="n"/>
      <c r="E186" s="34" t="n"/>
      <c r="F186" s="35" t="n"/>
      <c r="G186" s="36">
        <f>IF(E186="","",E186*F186)</f>
        <v/>
      </c>
      <c r="H186" s="34" t="n"/>
      <c r="I186" s="36">
        <f>IF(H186="","",L185)</f>
        <v/>
      </c>
      <c r="J186" s="36">
        <f>IF(H186="","",H186*I186)</f>
        <v/>
      </c>
      <c r="K186" s="37">
        <f>IF(AND(E186="",H186=""),"",N(K185)+N(E186)-N(H186))</f>
        <v/>
      </c>
      <c r="L186" s="36">
        <f>IF(K186="","",IF(K186=0,0,M186/K186))</f>
        <v/>
      </c>
      <c r="M186" s="36">
        <f>IF(K186="","",N(M185)+N(G186)-N(J186))</f>
        <v/>
      </c>
    </row>
    <row r="187">
      <c r="A187" s="32" t="n">
        <v>179</v>
      </c>
      <c r="B187" s="33" t="n"/>
      <c r="C187" s="17" t="n"/>
      <c r="D187" s="17" t="n"/>
      <c r="E187" s="34" t="n"/>
      <c r="F187" s="35" t="n"/>
      <c r="G187" s="36">
        <f>IF(E187="","",E187*F187)</f>
        <v/>
      </c>
      <c r="H187" s="34" t="n"/>
      <c r="I187" s="36">
        <f>IF(H187="","",L186)</f>
        <v/>
      </c>
      <c r="J187" s="36">
        <f>IF(H187="","",H187*I187)</f>
        <v/>
      </c>
      <c r="K187" s="37">
        <f>IF(AND(E187="",H187=""),"",N(K186)+N(E187)-N(H187))</f>
        <v/>
      </c>
      <c r="L187" s="36">
        <f>IF(K187="","",IF(K187=0,0,M187/K187))</f>
        <v/>
      </c>
      <c r="M187" s="36">
        <f>IF(K187="","",N(M186)+N(G187)-N(J187))</f>
        <v/>
      </c>
    </row>
    <row r="188">
      <c r="A188" s="32" t="n">
        <v>180</v>
      </c>
      <c r="B188" s="33" t="n"/>
      <c r="C188" s="17" t="n"/>
      <c r="D188" s="17" t="n"/>
      <c r="E188" s="34" t="n"/>
      <c r="F188" s="35" t="n"/>
      <c r="G188" s="36">
        <f>IF(E188="","",E188*F188)</f>
        <v/>
      </c>
      <c r="H188" s="34" t="n"/>
      <c r="I188" s="36">
        <f>IF(H188="","",L187)</f>
        <v/>
      </c>
      <c r="J188" s="36">
        <f>IF(H188="","",H188*I188)</f>
        <v/>
      </c>
      <c r="K188" s="37">
        <f>IF(AND(E188="",H188=""),"",N(K187)+N(E188)-N(H188))</f>
        <v/>
      </c>
      <c r="L188" s="36">
        <f>IF(K188="","",IF(K188=0,0,M188/K188))</f>
        <v/>
      </c>
      <c r="M188" s="36">
        <f>IF(K188="","",N(M187)+N(G188)-N(J188))</f>
        <v/>
      </c>
    </row>
    <row r="189">
      <c r="A189" s="32" t="n">
        <v>181</v>
      </c>
      <c r="B189" s="33" t="n"/>
      <c r="C189" s="17" t="n"/>
      <c r="D189" s="17" t="n"/>
      <c r="E189" s="34" t="n"/>
      <c r="F189" s="35" t="n"/>
      <c r="G189" s="36">
        <f>IF(E189="","",E189*F189)</f>
        <v/>
      </c>
      <c r="H189" s="34" t="n"/>
      <c r="I189" s="36">
        <f>IF(H189="","",L188)</f>
        <v/>
      </c>
      <c r="J189" s="36">
        <f>IF(H189="","",H189*I189)</f>
        <v/>
      </c>
      <c r="K189" s="37">
        <f>IF(AND(E189="",H189=""),"",N(K188)+N(E189)-N(H189))</f>
        <v/>
      </c>
      <c r="L189" s="36">
        <f>IF(K189="","",IF(K189=0,0,M189/K189))</f>
        <v/>
      </c>
      <c r="M189" s="36">
        <f>IF(K189="","",N(M188)+N(G189)-N(J189))</f>
        <v/>
      </c>
    </row>
    <row r="190">
      <c r="A190" s="32" t="n">
        <v>182</v>
      </c>
      <c r="B190" s="33" t="n"/>
      <c r="C190" s="17" t="n"/>
      <c r="D190" s="17" t="n"/>
      <c r="E190" s="34" t="n"/>
      <c r="F190" s="35" t="n"/>
      <c r="G190" s="36">
        <f>IF(E190="","",E190*F190)</f>
        <v/>
      </c>
      <c r="H190" s="34" t="n"/>
      <c r="I190" s="36">
        <f>IF(H190="","",L189)</f>
        <v/>
      </c>
      <c r="J190" s="36">
        <f>IF(H190="","",H190*I190)</f>
        <v/>
      </c>
      <c r="K190" s="37">
        <f>IF(AND(E190="",H190=""),"",N(K189)+N(E190)-N(H190))</f>
        <v/>
      </c>
      <c r="L190" s="36">
        <f>IF(K190="","",IF(K190=0,0,M190/K190))</f>
        <v/>
      </c>
      <c r="M190" s="36">
        <f>IF(K190="","",N(M189)+N(G190)-N(J190))</f>
        <v/>
      </c>
    </row>
    <row r="191">
      <c r="A191" s="32" t="n">
        <v>183</v>
      </c>
      <c r="B191" s="33" t="n"/>
      <c r="C191" s="17" t="n"/>
      <c r="D191" s="17" t="n"/>
      <c r="E191" s="34" t="n"/>
      <c r="F191" s="35" t="n"/>
      <c r="G191" s="36">
        <f>IF(E191="","",E191*F191)</f>
        <v/>
      </c>
      <c r="H191" s="34" t="n"/>
      <c r="I191" s="36">
        <f>IF(H191="","",L190)</f>
        <v/>
      </c>
      <c r="J191" s="36">
        <f>IF(H191="","",H191*I191)</f>
        <v/>
      </c>
      <c r="K191" s="37">
        <f>IF(AND(E191="",H191=""),"",N(K190)+N(E191)-N(H191))</f>
        <v/>
      </c>
      <c r="L191" s="36">
        <f>IF(K191="","",IF(K191=0,0,M191/K191))</f>
        <v/>
      </c>
      <c r="M191" s="36">
        <f>IF(K191="","",N(M190)+N(G191)-N(J191))</f>
        <v/>
      </c>
    </row>
    <row r="192">
      <c r="A192" s="32" t="n">
        <v>184</v>
      </c>
      <c r="B192" s="33" t="n"/>
      <c r="C192" s="17" t="n"/>
      <c r="D192" s="17" t="n"/>
      <c r="E192" s="34" t="n"/>
      <c r="F192" s="35" t="n"/>
      <c r="G192" s="36">
        <f>IF(E192="","",E192*F192)</f>
        <v/>
      </c>
      <c r="H192" s="34" t="n"/>
      <c r="I192" s="36">
        <f>IF(H192="","",L191)</f>
        <v/>
      </c>
      <c r="J192" s="36">
        <f>IF(H192="","",H192*I192)</f>
        <v/>
      </c>
      <c r="K192" s="37">
        <f>IF(AND(E192="",H192=""),"",N(K191)+N(E192)-N(H192))</f>
        <v/>
      </c>
      <c r="L192" s="36">
        <f>IF(K192="","",IF(K192=0,0,M192/K192))</f>
        <v/>
      </c>
      <c r="M192" s="36">
        <f>IF(K192="","",N(M191)+N(G192)-N(J192))</f>
        <v/>
      </c>
    </row>
    <row r="193">
      <c r="A193" s="32" t="n">
        <v>185</v>
      </c>
      <c r="B193" s="33" t="n"/>
      <c r="C193" s="17" t="n"/>
      <c r="D193" s="17" t="n"/>
      <c r="E193" s="34" t="n"/>
      <c r="F193" s="35" t="n"/>
      <c r="G193" s="36">
        <f>IF(E193="","",E193*F193)</f>
        <v/>
      </c>
      <c r="H193" s="34" t="n"/>
      <c r="I193" s="36">
        <f>IF(H193="","",L192)</f>
        <v/>
      </c>
      <c r="J193" s="36">
        <f>IF(H193="","",H193*I193)</f>
        <v/>
      </c>
      <c r="K193" s="37">
        <f>IF(AND(E193="",H193=""),"",N(K192)+N(E193)-N(H193))</f>
        <v/>
      </c>
      <c r="L193" s="36">
        <f>IF(K193="","",IF(K193=0,0,M193/K193))</f>
        <v/>
      </c>
      <c r="M193" s="36">
        <f>IF(K193="","",N(M192)+N(G193)-N(J193))</f>
        <v/>
      </c>
    </row>
    <row r="194">
      <c r="A194" s="32" t="n">
        <v>186</v>
      </c>
      <c r="B194" s="33" t="n"/>
      <c r="C194" s="17" t="n"/>
      <c r="D194" s="17" t="n"/>
      <c r="E194" s="34" t="n"/>
      <c r="F194" s="35" t="n"/>
      <c r="G194" s="36">
        <f>IF(E194="","",E194*F194)</f>
        <v/>
      </c>
      <c r="H194" s="34" t="n"/>
      <c r="I194" s="36">
        <f>IF(H194="","",L193)</f>
        <v/>
      </c>
      <c r="J194" s="36">
        <f>IF(H194="","",H194*I194)</f>
        <v/>
      </c>
      <c r="K194" s="37">
        <f>IF(AND(E194="",H194=""),"",N(K193)+N(E194)-N(H194))</f>
        <v/>
      </c>
      <c r="L194" s="36">
        <f>IF(K194="","",IF(K194=0,0,M194/K194))</f>
        <v/>
      </c>
      <c r="M194" s="36">
        <f>IF(K194="","",N(M193)+N(G194)-N(J194))</f>
        <v/>
      </c>
    </row>
    <row r="195">
      <c r="A195" s="32" t="n">
        <v>187</v>
      </c>
      <c r="B195" s="33" t="n"/>
      <c r="C195" s="17" t="n"/>
      <c r="D195" s="17" t="n"/>
      <c r="E195" s="34" t="n"/>
      <c r="F195" s="35" t="n"/>
      <c r="G195" s="36">
        <f>IF(E195="","",E195*F195)</f>
        <v/>
      </c>
      <c r="H195" s="34" t="n"/>
      <c r="I195" s="36">
        <f>IF(H195="","",L194)</f>
        <v/>
      </c>
      <c r="J195" s="36">
        <f>IF(H195="","",H195*I195)</f>
        <v/>
      </c>
      <c r="K195" s="37">
        <f>IF(AND(E195="",H195=""),"",N(K194)+N(E195)-N(H195))</f>
        <v/>
      </c>
      <c r="L195" s="36">
        <f>IF(K195="","",IF(K195=0,0,M195/K195))</f>
        <v/>
      </c>
      <c r="M195" s="36">
        <f>IF(K195="","",N(M194)+N(G195)-N(J195))</f>
        <v/>
      </c>
    </row>
    <row r="196">
      <c r="A196" s="32" t="n">
        <v>188</v>
      </c>
      <c r="B196" s="33" t="n"/>
      <c r="C196" s="17" t="n"/>
      <c r="D196" s="17" t="n"/>
      <c r="E196" s="34" t="n"/>
      <c r="F196" s="35" t="n"/>
      <c r="G196" s="36">
        <f>IF(E196="","",E196*F196)</f>
        <v/>
      </c>
      <c r="H196" s="34" t="n"/>
      <c r="I196" s="36">
        <f>IF(H196="","",L195)</f>
        <v/>
      </c>
      <c r="J196" s="36">
        <f>IF(H196="","",H196*I196)</f>
        <v/>
      </c>
      <c r="K196" s="37">
        <f>IF(AND(E196="",H196=""),"",N(K195)+N(E196)-N(H196))</f>
        <v/>
      </c>
      <c r="L196" s="36">
        <f>IF(K196="","",IF(K196=0,0,M196/K196))</f>
        <v/>
      </c>
      <c r="M196" s="36">
        <f>IF(K196="","",N(M195)+N(G196)-N(J196))</f>
        <v/>
      </c>
    </row>
    <row r="197">
      <c r="A197" s="32" t="n">
        <v>189</v>
      </c>
      <c r="B197" s="33" t="n"/>
      <c r="C197" s="17" t="n"/>
      <c r="D197" s="17" t="n"/>
      <c r="E197" s="34" t="n"/>
      <c r="F197" s="35" t="n"/>
      <c r="G197" s="36">
        <f>IF(E197="","",E197*F197)</f>
        <v/>
      </c>
      <c r="H197" s="34" t="n"/>
      <c r="I197" s="36">
        <f>IF(H197="","",L196)</f>
        <v/>
      </c>
      <c r="J197" s="36">
        <f>IF(H197="","",H197*I197)</f>
        <v/>
      </c>
      <c r="K197" s="37">
        <f>IF(AND(E197="",H197=""),"",N(K196)+N(E197)-N(H197))</f>
        <v/>
      </c>
      <c r="L197" s="36">
        <f>IF(K197="","",IF(K197=0,0,M197/K197))</f>
        <v/>
      </c>
      <c r="M197" s="36">
        <f>IF(K197="","",N(M196)+N(G197)-N(J197))</f>
        <v/>
      </c>
    </row>
    <row r="198">
      <c r="A198" s="32" t="n">
        <v>190</v>
      </c>
      <c r="B198" s="33" t="n"/>
      <c r="C198" s="17" t="n"/>
      <c r="D198" s="17" t="n"/>
      <c r="E198" s="34" t="n"/>
      <c r="F198" s="35" t="n"/>
      <c r="G198" s="36">
        <f>IF(E198="","",E198*F198)</f>
        <v/>
      </c>
      <c r="H198" s="34" t="n"/>
      <c r="I198" s="36">
        <f>IF(H198="","",L197)</f>
        <v/>
      </c>
      <c r="J198" s="36">
        <f>IF(H198="","",H198*I198)</f>
        <v/>
      </c>
      <c r="K198" s="37">
        <f>IF(AND(E198="",H198=""),"",N(K197)+N(E198)-N(H198))</f>
        <v/>
      </c>
      <c r="L198" s="36">
        <f>IF(K198="","",IF(K198=0,0,M198/K198))</f>
        <v/>
      </c>
      <c r="M198" s="36">
        <f>IF(K198="","",N(M197)+N(G198)-N(J198))</f>
        <v/>
      </c>
    </row>
    <row r="199">
      <c r="A199" s="32" t="n">
        <v>191</v>
      </c>
      <c r="B199" s="33" t="n"/>
      <c r="C199" s="17" t="n"/>
      <c r="D199" s="17" t="n"/>
      <c r="E199" s="34" t="n"/>
      <c r="F199" s="35" t="n"/>
      <c r="G199" s="36">
        <f>IF(E199="","",E199*F199)</f>
        <v/>
      </c>
      <c r="H199" s="34" t="n"/>
      <c r="I199" s="36">
        <f>IF(H199="","",L198)</f>
        <v/>
      </c>
      <c r="J199" s="36">
        <f>IF(H199="","",H199*I199)</f>
        <v/>
      </c>
      <c r="K199" s="37">
        <f>IF(AND(E199="",H199=""),"",N(K198)+N(E199)-N(H199))</f>
        <v/>
      </c>
      <c r="L199" s="36">
        <f>IF(K199="","",IF(K199=0,0,M199/K199))</f>
        <v/>
      </c>
      <c r="M199" s="36">
        <f>IF(K199="","",N(M198)+N(G199)-N(J199))</f>
        <v/>
      </c>
    </row>
    <row r="200">
      <c r="A200" s="32" t="n">
        <v>192</v>
      </c>
      <c r="B200" s="33" t="n"/>
      <c r="C200" s="17" t="n"/>
      <c r="D200" s="17" t="n"/>
      <c r="E200" s="34" t="n"/>
      <c r="F200" s="35" t="n"/>
      <c r="G200" s="36">
        <f>IF(E200="","",E200*F200)</f>
        <v/>
      </c>
      <c r="H200" s="34" t="n"/>
      <c r="I200" s="36">
        <f>IF(H200="","",L199)</f>
        <v/>
      </c>
      <c r="J200" s="36">
        <f>IF(H200="","",H200*I200)</f>
        <v/>
      </c>
      <c r="K200" s="37">
        <f>IF(AND(E200="",H200=""),"",N(K199)+N(E200)-N(H200))</f>
        <v/>
      </c>
      <c r="L200" s="36">
        <f>IF(K200="","",IF(K200=0,0,M200/K200))</f>
        <v/>
      </c>
      <c r="M200" s="36">
        <f>IF(K200="","",N(M199)+N(G200)-N(J200))</f>
        <v/>
      </c>
    </row>
    <row r="201">
      <c r="A201" s="32" t="n">
        <v>193</v>
      </c>
      <c r="B201" s="33" t="n"/>
      <c r="C201" s="17" t="n"/>
      <c r="D201" s="17" t="n"/>
      <c r="E201" s="34" t="n"/>
      <c r="F201" s="35" t="n"/>
      <c r="G201" s="36">
        <f>IF(E201="","",E201*F201)</f>
        <v/>
      </c>
      <c r="H201" s="34" t="n"/>
      <c r="I201" s="36">
        <f>IF(H201="","",L200)</f>
        <v/>
      </c>
      <c r="J201" s="36">
        <f>IF(H201="","",H201*I201)</f>
        <v/>
      </c>
      <c r="K201" s="37">
        <f>IF(AND(E201="",H201=""),"",N(K200)+N(E201)-N(H201))</f>
        <v/>
      </c>
      <c r="L201" s="36">
        <f>IF(K201="","",IF(K201=0,0,M201/K201))</f>
        <v/>
      </c>
      <c r="M201" s="36">
        <f>IF(K201="","",N(M200)+N(G201)-N(J201))</f>
        <v/>
      </c>
    </row>
    <row r="202">
      <c r="A202" s="32" t="n">
        <v>194</v>
      </c>
      <c r="B202" s="33" t="n"/>
      <c r="C202" s="17" t="n"/>
      <c r="D202" s="17" t="n"/>
      <c r="E202" s="34" t="n"/>
      <c r="F202" s="35" t="n"/>
      <c r="G202" s="36">
        <f>IF(E202="","",E202*F202)</f>
        <v/>
      </c>
      <c r="H202" s="34" t="n"/>
      <c r="I202" s="36">
        <f>IF(H202="","",L201)</f>
        <v/>
      </c>
      <c r="J202" s="36">
        <f>IF(H202="","",H202*I202)</f>
        <v/>
      </c>
      <c r="K202" s="37">
        <f>IF(AND(E202="",H202=""),"",N(K201)+N(E202)-N(H202))</f>
        <v/>
      </c>
      <c r="L202" s="36">
        <f>IF(K202="","",IF(K202=0,0,M202/K202))</f>
        <v/>
      </c>
      <c r="M202" s="36">
        <f>IF(K202="","",N(M201)+N(G202)-N(J202))</f>
        <v/>
      </c>
    </row>
    <row r="203">
      <c r="A203" s="32" t="n">
        <v>195</v>
      </c>
      <c r="B203" s="33" t="n"/>
      <c r="C203" s="17" t="n"/>
      <c r="D203" s="17" t="n"/>
      <c r="E203" s="34" t="n"/>
      <c r="F203" s="35" t="n"/>
      <c r="G203" s="36">
        <f>IF(E203="","",E203*F203)</f>
        <v/>
      </c>
      <c r="H203" s="34" t="n"/>
      <c r="I203" s="36">
        <f>IF(H203="","",L202)</f>
        <v/>
      </c>
      <c r="J203" s="36">
        <f>IF(H203="","",H203*I203)</f>
        <v/>
      </c>
      <c r="K203" s="37">
        <f>IF(AND(E203="",H203=""),"",N(K202)+N(E203)-N(H203))</f>
        <v/>
      </c>
      <c r="L203" s="36">
        <f>IF(K203="","",IF(K203=0,0,M203/K203))</f>
        <v/>
      </c>
      <c r="M203" s="36">
        <f>IF(K203="","",N(M202)+N(G203)-N(J203))</f>
        <v/>
      </c>
    </row>
    <row r="204">
      <c r="A204" s="32" t="n">
        <v>196</v>
      </c>
      <c r="B204" s="33" t="n"/>
      <c r="C204" s="17" t="n"/>
      <c r="D204" s="17" t="n"/>
      <c r="E204" s="34" t="n"/>
      <c r="F204" s="35" t="n"/>
      <c r="G204" s="36">
        <f>IF(E204="","",E204*F204)</f>
        <v/>
      </c>
      <c r="H204" s="34" t="n"/>
      <c r="I204" s="36">
        <f>IF(H204="","",L203)</f>
        <v/>
      </c>
      <c r="J204" s="36">
        <f>IF(H204="","",H204*I204)</f>
        <v/>
      </c>
      <c r="K204" s="37">
        <f>IF(AND(E204="",H204=""),"",N(K203)+N(E204)-N(H204))</f>
        <v/>
      </c>
      <c r="L204" s="36">
        <f>IF(K204="","",IF(K204=0,0,M204/K204))</f>
        <v/>
      </c>
      <c r="M204" s="36">
        <f>IF(K204="","",N(M203)+N(G204)-N(J204))</f>
        <v/>
      </c>
    </row>
    <row r="205">
      <c r="A205" s="32" t="n">
        <v>197</v>
      </c>
      <c r="B205" s="33" t="n"/>
      <c r="C205" s="17" t="n"/>
      <c r="D205" s="17" t="n"/>
      <c r="E205" s="34" t="n"/>
      <c r="F205" s="35" t="n"/>
      <c r="G205" s="36">
        <f>IF(E205="","",E205*F205)</f>
        <v/>
      </c>
      <c r="H205" s="34" t="n"/>
      <c r="I205" s="36">
        <f>IF(H205="","",L204)</f>
        <v/>
      </c>
      <c r="J205" s="36">
        <f>IF(H205="","",H205*I205)</f>
        <v/>
      </c>
      <c r="K205" s="37">
        <f>IF(AND(E205="",H205=""),"",N(K204)+N(E205)-N(H205))</f>
        <v/>
      </c>
      <c r="L205" s="36">
        <f>IF(K205="","",IF(K205=0,0,M205/K205))</f>
        <v/>
      </c>
      <c r="M205" s="36">
        <f>IF(K205="","",N(M204)+N(G205)-N(J205))</f>
        <v/>
      </c>
    </row>
    <row r="206">
      <c r="A206" s="32" t="n">
        <v>198</v>
      </c>
      <c r="B206" s="33" t="n"/>
      <c r="C206" s="17" t="n"/>
      <c r="D206" s="17" t="n"/>
      <c r="E206" s="34" t="n"/>
      <c r="F206" s="35" t="n"/>
      <c r="G206" s="36">
        <f>IF(E206="","",E206*F206)</f>
        <v/>
      </c>
      <c r="H206" s="34" t="n"/>
      <c r="I206" s="36">
        <f>IF(H206="","",L205)</f>
        <v/>
      </c>
      <c r="J206" s="36">
        <f>IF(H206="","",H206*I206)</f>
        <v/>
      </c>
      <c r="K206" s="37">
        <f>IF(AND(E206="",H206=""),"",N(K205)+N(E206)-N(H206))</f>
        <v/>
      </c>
      <c r="L206" s="36">
        <f>IF(K206="","",IF(K206=0,0,M206/K206))</f>
        <v/>
      </c>
      <c r="M206" s="36">
        <f>IF(K206="","",N(M205)+N(G206)-N(J206))</f>
        <v/>
      </c>
    </row>
    <row r="207">
      <c r="A207" s="32" t="n">
        <v>199</v>
      </c>
      <c r="B207" s="33" t="n"/>
      <c r="C207" s="17" t="n"/>
      <c r="D207" s="17" t="n"/>
      <c r="E207" s="34" t="n"/>
      <c r="F207" s="35" t="n"/>
      <c r="G207" s="36">
        <f>IF(E207="","",E207*F207)</f>
        <v/>
      </c>
      <c r="H207" s="34" t="n"/>
      <c r="I207" s="36">
        <f>IF(H207="","",L206)</f>
        <v/>
      </c>
      <c r="J207" s="36">
        <f>IF(H207="","",H207*I207)</f>
        <v/>
      </c>
      <c r="K207" s="37">
        <f>IF(AND(E207="",H207=""),"",N(K206)+N(E207)-N(H207))</f>
        <v/>
      </c>
      <c r="L207" s="36">
        <f>IF(K207="","",IF(K207=0,0,M207/K207))</f>
        <v/>
      </c>
      <c r="M207" s="36">
        <f>IF(K207="","",N(M206)+N(G207)-N(J207))</f>
        <v/>
      </c>
    </row>
    <row r="208">
      <c r="A208" s="32" t="n">
        <v>200</v>
      </c>
      <c r="B208" s="33" t="n"/>
      <c r="C208" s="17" t="n"/>
      <c r="D208" s="17" t="n"/>
      <c r="E208" s="34" t="n"/>
      <c r="F208" s="35" t="n"/>
      <c r="G208" s="36">
        <f>IF(E208="","",E208*F208)</f>
        <v/>
      </c>
      <c r="H208" s="34" t="n"/>
      <c r="I208" s="36">
        <f>IF(H208="","",L207)</f>
        <v/>
      </c>
      <c r="J208" s="36">
        <f>IF(H208="","",H208*I208)</f>
        <v/>
      </c>
      <c r="K208" s="37">
        <f>IF(AND(E208="",H208=""),"",N(K207)+N(E208)-N(H208))</f>
        <v/>
      </c>
      <c r="L208" s="36">
        <f>IF(K208="","",IF(K208=0,0,M208/K208))</f>
        <v/>
      </c>
      <c r="M208" s="36">
        <f>IF(K208="","",N(M207)+N(G208)-N(J208))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0">
    <mergeCell ref="G4:H4"/>
    <mergeCell ref="B5:D5"/>
    <mergeCell ref="E7:G7"/>
    <mergeCell ref="B4:D4"/>
    <mergeCell ref="A2:K2"/>
    <mergeCell ref="L1:M2"/>
    <mergeCell ref="B7:D7"/>
    <mergeCell ref="A1:K1"/>
    <mergeCell ref="K7:M7"/>
    <mergeCell ref="H7:J7"/>
  </mergeCells>
  <printOptions horizontalCentered="1"/>
  <pageMargins left="0.75" right="0.75" top="1" bottom="1" header="0.5" footer="0.5"/>
  <pageSetup orientation="landscape" fitToHeight="0" fitToWidth="1" firstPageNumber="1" useFirstPageNumber="1"/>
  <headerFooter>
    <oddHeader/>
    <oddFooter>&amp;C&amp;8 Página &amp;P&amp;R&amp;8 Impreso: &amp;D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J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" customWidth="1" min="10" max="10"/>
  </cols>
  <sheetData>
    <row r="1" ht="44" customHeight="1">
      <c r="A1" s="22" t="inlineStr">
        <is>
          <t>RESUMEN DEL KARDEX</t>
        </is>
      </c>
      <c r="B1" s="1" t="n"/>
      <c r="C1" s="1" t="n"/>
      <c r="D1" s="1" t="n"/>
      <c r="E1" s="1" t="n"/>
      <c r="F1" s="1" t="n"/>
      <c r="G1" s="1" t="n"/>
      <c r="H1" s="23" t="inlineStr">
        <is>
          <t>INSERTE SU LOGO
(clic derecho &gt; Insertar imagen)</t>
        </is>
      </c>
      <c r="I1" s="38" t="n"/>
      <c r="J1" s="24" t="n"/>
    </row>
    <row r="2" ht="26" customHeight="1">
      <c r="A2" s="25" t="inlineStr">
        <is>
          <t>Existencia actual, costo promedio y movimientos</t>
        </is>
      </c>
      <c r="B2" s="26" t="n"/>
      <c r="C2" s="26" t="n"/>
      <c r="D2" s="26" t="n"/>
      <c r="E2" s="26" t="n"/>
      <c r="F2" s="26" t="n"/>
      <c r="G2" s="26" t="n"/>
      <c r="H2" s="27" t="n"/>
      <c r="I2" s="39" t="n"/>
      <c r="J2" s="28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 ht="20" customHeight="1">
      <c r="A4" s="4" t="n"/>
      <c r="B4" s="40" t="inlineStr">
        <is>
          <t>EXISTENCIA ACTUAL</t>
        </is>
      </c>
      <c r="C4" s="41" t="n"/>
      <c r="D4" s="40" t="inlineStr">
        <is>
          <t>COSTO PROMEDIO</t>
        </is>
      </c>
      <c r="E4" s="41" t="n"/>
      <c r="F4" s="40" t="inlineStr">
        <is>
          <t>VALOR DEL INVENTARIO</t>
        </is>
      </c>
      <c r="G4" s="41" t="n"/>
      <c r="H4" s="40" t="inlineStr">
        <is>
          <t>MOVIMIENTOS</t>
        </is>
      </c>
      <c r="I4" s="41" t="n"/>
      <c r="J4" s="4" t="n"/>
    </row>
    <row r="5" ht="36" customHeight="1">
      <c r="A5" s="4" t="n"/>
      <c r="B5" s="42">
        <f>IFERROR(LOOKUP(2,1/(FORMATO!K9:K208&lt;&gt;""),FORMATO!K9:K208),0)</f>
        <v/>
      </c>
      <c r="C5" s="43" t="n"/>
      <c r="D5" s="44">
        <f>IFERROR(LOOKUP(2,1/(FORMATO!L9:L208&lt;&gt;""),FORMATO!L9:L208),0)</f>
        <v/>
      </c>
      <c r="E5" s="43" t="n"/>
      <c r="F5" s="44">
        <f>IFERROR(LOOKUP(2,1/(FORMATO!M9:M208&lt;&gt;""),FORMATO!M9:M208),0)</f>
        <v/>
      </c>
      <c r="G5" s="43" t="n"/>
      <c r="H5" s="45">
        <f>COUNT(FORMATO!E9:E208)+COUNT(FORMATO!H9:H208)</f>
        <v/>
      </c>
      <c r="I5" s="43" t="n"/>
      <c r="J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 ht="32" customHeight="1">
      <c r="A25" s="4" t="n"/>
      <c r="B25" s="31" t="inlineStr">
        <is>
          <t>CONCEPTO</t>
        </is>
      </c>
      <c r="C25" s="31" t="inlineStr">
        <is>
          <t>UNIDADES</t>
        </is>
      </c>
      <c r="D25" s="31" t="inlineStr">
        <is>
          <t>IMPORTE</t>
        </is>
      </c>
      <c r="E25" s="4" t="n"/>
      <c r="F25" s="4" t="n"/>
      <c r="G25" s="4" t="n"/>
      <c r="H25" s="4" t="n"/>
      <c r="I25" s="4" t="n"/>
      <c r="J25" s="4" t="n"/>
    </row>
    <row r="26">
      <c r="A26" s="4" t="n"/>
      <c r="B26" s="46" t="inlineStr">
        <is>
          <t>ENTRADAS</t>
        </is>
      </c>
      <c r="C26" s="37">
        <f>SUM(FORMATO!E9:E208)</f>
        <v/>
      </c>
      <c r="D26" s="36">
        <f>SUM(FORMATO!G9:G208)</f>
        <v/>
      </c>
      <c r="E26" s="4" t="n"/>
      <c r="F26" s="4" t="n"/>
      <c r="G26" s="4" t="n"/>
      <c r="H26" s="4" t="n"/>
      <c r="I26" s="4" t="n"/>
      <c r="J26" s="4" t="n"/>
    </row>
    <row r="27">
      <c r="A27" s="4" t="n"/>
      <c r="B27" s="46" t="inlineStr">
        <is>
          <t>SALIDAS</t>
        </is>
      </c>
      <c r="C27" s="37">
        <f>SUM(FORMATO!H9:H208)</f>
        <v/>
      </c>
      <c r="D27" s="36">
        <f>SUM(FORMATO!J9:J208)</f>
        <v/>
      </c>
      <c r="E27" s="4" t="n"/>
      <c r="F27" s="4" t="n"/>
      <c r="G27" s="4" t="n"/>
      <c r="H27" s="4" t="n"/>
      <c r="I27" s="4" t="n"/>
      <c r="J27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1">
    <mergeCell ref="F4:G4"/>
    <mergeCell ref="H1:J2"/>
    <mergeCell ref="A1:G1"/>
    <mergeCell ref="B5:C5"/>
    <mergeCell ref="F5:G5"/>
    <mergeCell ref="D5:E5"/>
    <mergeCell ref="A2:G2"/>
    <mergeCell ref="D4:E4"/>
    <mergeCell ref="H5:I5"/>
    <mergeCell ref="H4:I4"/>
    <mergeCell ref="B4:C4"/>
  </mergeCells>
  <printOptions horizontalCentered="1"/>
  <pageMargins left="0.75" right="0.75" top="1" bottom="1" header="0.5" footer="0.5"/>
  <pageSetup orientation="landscape" fitToHeight="1" fitToWidth="1" firstPageNumber="1" useFirstPageNumber="1"/>
  <headerFooter>
    <oddHeader/>
    <oddFooter>&amp;C&amp;8 Página &amp;P&amp;R&amp;8 Impreso: &amp;D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0E7C8B"/>
    <outlinePr summaryBelow="1" summaryRight="1"/>
    <pageSetUpPr fitToPage="1"/>
  </sheetPr>
  <dimension ref="A1:E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8" customWidth="1" min="3" max="3"/>
    <col width="80" customWidth="1" min="4" max="4"/>
    <col width="3" customWidth="1" min="5" max="5"/>
  </cols>
  <sheetData>
    <row r="1" ht="30" customHeight="1">
      <c r="A1" s="1" t="n"/>
      <c r="B1" s="47" t="inlineStr">
        <is>
          <t>AYUDA Y PREGUNTAS FRECUENTES</t>
        </is>
      </c>
      <c r="C1" s="4" t="n"/>
      <c r="D1" s="4" t="n"/>
      <c r="E1" s="1" t="n"/>
    </row>
    <row r="2">
      <c r="A2" s="1" t="n"/>
      <c r="B2" s="48" t="inlineStr">
        <is>
          <t>KARDEX</t>
        </is>
      </c>
      <c r="C2" s="4" t="n"/>
      <c r="D2" s="4" t="n"/>
      <c r="E2" s="1" t="n"/>
    </row>
    <row r="3">
      <c r="A3" s="8" t="n"/>
      <c r="B3" s="8" t="n"/>
      <c r="C3" s="8" t="n"/>
      <c r="D3" s="8" t="n"/>
      <c r="E3" s="8" t="n"/>
    </row>
    <row r="4">
      <c r="A4" s="4" t="n"/>
      <c r="B4" s="4" t="n"/>
      <c r="C4" s="4" t="n"/>
      <c r="D4" s="4" t="n"/>
      <c r="E4" s="4" t="n"/>
    </row>
    <row r="5" ht="24" customHeight="1">
      <c r="A5" s="4" t="n"/>
      <c r="B5" s="9" t="inlineStr">
        <is>
          <t>PREGUNTAS FRECUENTES</t>
        </is>
      </c>
      <c r="C5" s="10" t="n"/>
      <c r="D5" s="10" t="n"/>
      <c r="E5" s="4" t="n"/>
    </row>
    <row r="6" ht="38" customHeight="1">
      <c r="A6" s="4" t="n"/>
      <c r="B6" s="4" t="n"/>
      <c r="C6" s="49" t="inlineStr">
        <is>
          <t>¿Qué es el costo promedio?</t>
        </is>
      </c>
      <c r="D6" s="50" t="inlineStr">
        <is>
          <t>Importe total del inventario dividido entre las unidades; se recalcula con cada entrada.</t>
        </is>
      </c>
      <c r="E6" s="4" t="n"/>
    </row>
    <row r="7" ht="30" customHeight="1">
      <c r="A7" s="4" t="n"/>
      <c r="B7" s="4" t="n"/>
      <c r="C7" s="49" t="inlineStr">
        <is>
          <t>¿Sirve para PEPS?</t>
        </is>
      </c>
      <c r="D7" s="50" t="inlineStr">
        <is>
          <t>No, este formato usa costo promedio ponderado.</t>
        </is>
      </c>
      <c r="E7" s="4" t="n"/>
    </row>
    <row r="8" ht="53" customHeight="1">
      <c r="A8" s="4" t="n"/>
      <c r="B8" s="4" t="n"/>
      <c r="C8" s="49" t="inlineStr">
        <is>
          <t>¿Por qué no puedo escribir en algunas celdas?</t>
        </is>
      </c>
      <c r="D8" s="50" t="inlineStr">
        <is>
          <t>La hoja está protegida para que no se borren fórmulas por accidente. Solo se editan las celdas de captura (color crema). Si necesitas modificar algo más: pestaña Revisar &gt; Desproteger hoja (no tiene contraseña).</t>
        </is>
      </c>
      <c r="E8" s="4" t="n"/>
    </row>
    <row r="9" ht="38" customHeight="1">
      <c r="A9" s="4" t="n"/>
      <c r="B9" s="4" t="n"/>
      <c r="C9" s="49" t="inlineStr">
        <is>
          <t>¿Cómo agrego mi logotipo?</t>
        </is>
      </c>
      <c r="D9" s="50" t="inlineStr">
        <is>
          <t>Haz clic en el recuadro punteado de la esquina superior derecha del formato y usa Insertar &gt; Imágenes. Ajusta el tamaño sin salirte del recuadro.</t>
        </is>
      </c>
      <c r="E9" s="4" t="n"/>
    </row>
    <row r="10" ht="38" customHeight="1">
      <c r="A10" s="4" t="n"/>
      <c r="B10" s="4" t="n"/>
      <c r="C10" s="49" t="inlineStr">
        <is>
          <t>¿Cómo lo imprimo o lo convierto a PDF?</t>
        </is>
      </c>
      <c r="D10" s="50" t="inlineStr">
        <is>
          <t>Archivo &gt; Imprimir (ya está ajustado a una hoja de ancho). Para PDF elige 'Microsoft Print to PDF' o Archivo &gt; Exportar &gt; PDF.</t>
        </is>
      </c>
      <c r="E10" s="4" t="n"/>
    </row>
    <row r="11" ht="38" customHeight="1">
      <c r="A11" s="4" t="n"/>
      <c r="B11" s="4" t="n"/>
      <c r="C11" s="49" t="inlineStr">
        <is>
          <t>¿Con qué versiones de Excel funciona?</t>
        </is>
      </c>
      <c r="D11" s="50" t="inlineStr">
        <is>
          <t>Excel 2016, 2019, 2021 y Microsoft 365 (Windows y Mac). Funciona en LibreOffice y Google Sheets, aunque algunas gráficas y formatos pueden verse distintos.</t>
        </is>
      </c>
      <c r="E11" s="4" t="n"/>
    </row>
    <row r="12" ht="38" customHeight="1">
      <c r="A12" s="4" t="n"/>
      <c r="B12" s="4" t="n"/>
      <c r="C12" s="49" t="inlineStr">
        <is>
          <t>¿Por qué la letra se ve diferente?</t>
        </is>
      </c>
      <c r="D12" s="50" t="inlineStr">
        <is>
          <t>El diseño usa la fuente Abadi, incluida en Microsoft 365. Si tu versión no la tiene, Excel la sustituye por otra; no afecta el funcionamiento.</t>
        </is>
      </c>
      <c r="E12" s="4" t="n"/>
    </row>
    <row r="13" ht="38" customHeight="1">
      <c r="A13" s="4" t="n"/>
      <c r="B13" s="4" t="n"/>
      <c r="C13" s="49" t="inlineStr">
        <is>
          <t>¿Puedo usarlo en varias empresas o por varios años?</t>
        </is>
      </c>
      <c r="D13" s="50" t="inlineStr">
        <is>
          <t>Sí. Guarda una copia del archivo por empresa o por periodo (Archivo &gt; Guardar como) y deja el original en blanco como plantilla maestra.</t>
        </is>
      </c>
      <c r="E13" s="4" t="n"/>
    </row>
    <row r="14">
      <c r="A14" s="4" t="n"/>
      <c r="B14" s="4" t="n"/>
      <c r="C14" s="4" t="n"/>
      <c r="D14" s="4" t="n"/>
      <c r="E14" s="4" t="n"/>
    </row>
    <row r="15" ht="24" customHeight="1">
      <c r="A15" s="4" t="n"/>
      <c r="B15" s="9" t="inlineStr">
        <is>
          <t>GLOSARIO</t>
        </is>
      </c>
      <c r="C15" s="10" t="n"/>
      <c r="D15" s="10" t="n"/>
      <c r="E15" s="4" t="n"/>
    </row>
    <row r="16" ht="21" customHeight="1">
      <c r="A16" s="4" t="n"/>
      <c r="B16" s="4" t="n"/>
      <c r="C16" s="51" t="inlineStr">
        <is>
          <t>COSTO PROMEDIO</t>
        </is>
      </c>
      <c r="D16" s="52" t="inlineStr">
        <is>
          <t>Valor total / unidades disponibles.</t>
        </is>
      </c>
      <c r="E16" s="4" t="n"/>
    </row>
    <row r="17" ht="21" customHeight="1">
      <c r="A17" s="4" t="n"/>
      <c r="B17" s="4" t="n"/>
      <c r="C17" s="51" t="inlineStr">
        <is>
          <t>ENTRADA</t>
        </is>
      </c>
      <c r="D17" s="52" t="inlineStr">
        <is>
          <t>Compra, devolución de cliente o ajuste positivo.</t>
        </is>
      </c>
      <c r="E17" s="4" t="n"/>
    </row>
    <row r="18" ht="21" customHeight="1">
      <c r="A18" s="4" t="n"/>
      <c r="B18" s="4" t="n"/>
      <c r="C18" s="51" t="inlineStr">
        <is>
          <t>SALIDA</t>
        </is>
      </c>
      <c r="D18" s="52" t="inlineStr">
        <is>
          <t>Venta, consumo, merma o ajuste negativo.</t>
        </is>
      </c>
      <c r="E18" s="4" t="n"/>
    </row>
    <row r="19">
      <c r="A19" s="4" t="n"/>
      <c r="B19" s="4" t="n"/>
      <c r="C19" s="4" t="n"/>
      <c r="D19" s="4" t="n"/>
      <c r="E19" s="4" t="n"/>
    </row>
    <row r="20" ht="24" customHeight="1">
      <c r="A20" s="4" t="n"/>
      <c r="B20" s="9" t="inlineStr">
        <is>
          <t>LISTA DE VERIFICACIÓN (marca ☑ al completar)</t>
        </is>
      </c>
      <c r="C20" s="10" t="n"/>
      <c r="D20" s="10" t="n"/>
      <c r="E20" s="4" t="n"/>
    </row>
    <row r="21" ht="20" customHeight="1">
      <c r="A21" s="4" t="n"/>
      <c r="B21" s="53" t="inlineStr">
        <is>
          <t>☐</t>
        </is>
      </c>
      <c r="C21" s="54" t="inlineStr">
        <is>
          <t>Documentos de entrada y salida capturados</t>
        </is>
      </c>
      <c r="D21" s="4" t="n"/>
      <c r="E21" s="4" t="n"/>
    </row>
    <row r="22" ht="20" customHeight="1">
      <c r="A22" s="4" t="n"/>
      <c r="B22" s="53" t="inlineStr">
        <is>
          <t>☐</t>
        </is>
      </c>
      <c r="C22" s="54" t="inlineStr">
        <is>
          <t>Saldos coinciden con conteo físico</t>
        </is>
      </c>
      <c r="D22" s="4" t="n"/>
      <c r="E22" s="4" t="n"/>
    </row>
    <row r="23" ht="20" customHeight="1">
      <c r="A23" s="4" t="n"/>
      <c r="B23" s="53" t="inlineStr">
        <is>
          <t>☐</t>
        </is>
      </c>
      <c r="C23" s="54" t="inlineStr">
        <is>
          <t>Ajustes autorizados</t>
        </is>
      </c>
      <c r="D23" s="4" t="n"/>
      <c r="E23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5">
    <mergeCell ref="C21:D21"/>
    <mergeCell ref="B1:D1"/>
    <mergeCell ref="C22:D22"/>
    <mergeCell ref="C23:D23"/>
    <mergeCell ref="B2:D2"/>
  </mergeCells>
  <dataValidations count="1">
    <dataValidation sqref="B21 B22 B23" showDropDown="0" showInputMessage="0" showErrorMessage="0" allowBlank="0" type="list">
      <formula1>"☐,☑"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2026-10-07T21:52:20Z</dcterms:created>
  <dcterms:modified xmlns:dcterms="http://purl.org/dc/terms/" xmlns:xsi="http://www.w3.org/2001/XMLSchema-instance" xsi:type="dcterms:W3CDTF">2026-10-07T21:52:20Z</dcterms:modified>
</cp:coreProperties>
</file>