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" sheetId="1" state="visible" r:id="rId1"/>
    <sheet xmlns:r="http://schemas.openxmlformats.org/officeDocument/2006/relationships" name="Tasa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595959"/>
    </font>
    <font>
      <i val="1"/>
      <color rgb="00A6A6A6"/>
      <sz val="8"/>
    </font>
    <font>
      <b val="1"/>
    </font>
    <font>
      <b val="1"/>
      <color rgb="00FFFFFF"/>
    </font>
    <font>
      <b val="1"/>
      <color rgb="001F4E78"/>
      <sz val="16"/>
    </font>
    <font>
      <b val="1"/>
      <color rgb="001F4E78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9E5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3" borderId="5" pivotButton="0" quotePrefix="0" xfId="0"/>
    <xf numFmtId="0" fontId="0" fillId="4" borderId="5" pivotButton="0" quotePrefix="0" xfId="0"/>
    <xf numFmtId="164" fontId="0" fillId="4" borderId="5" pivotButton="0" quotePrefix="0" xfId="0"/>
    <xf numFmtId="0" fontId="5" fillId="2" borderId="5" applyAlignment="1" pivotButton="0" quotePrefix="0" xfId="0">
      <alignment horizontal="center" vertical="center" wrapText="1"/>
    </xf>
    <xf numFmtId="0" fontId="0" fillId="5" borderId="5" pivotButton="0" quotePrefix="0" xfId="0"/>
    <xf numFmtId="165" fontId="0" fillId="4" borderId="5" pivotButton="0" quotePrefix="0" xfId="0"/>
    <xf numFmtId="9" fontId="0" fillId="5" borderId="5" pivotButton="0" quotePrefix="0" xfId="0"/>
    <xf numFmtId="165" fontId="0" fillId="5" borderId="5" pivotButton="0" quotePrefix="0" xfId="0"/>
    <xf numFmtId="2" fontId="0" fillId="5" borderId="5" pivotButton="0" quotePrefix="0" xfId="0"/>
    <xf numFmtId="0" fontId="4" fillId="0" borderId="0" applyAlignment="1" pivotButton="0" quotePrefix="0" xfId="0">
      <alignment horizontal="right"/>
    </xf>
    <xf numFmtId="165" fontId="4" fillId="3" borderId="5" pivotButton="0" quotePrefix="0" xfId="0"/>
    <xf numFmtId="0" fontId="4" fillId="0" borderId="0" pivotButton="0" quotePrefix="0" xfId="0"/>
    <xf numFmtId="9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.05" customWidth="1" min="1" max="1"/>
    <col width="12" customWidth="1" min="2" max="2"/>
    <col width="30" customWidth="1" min="3" max="3"/>
    <col width="18" customWidth="1" min="4" max="4"/>
    <col width="13" customWidth="1" min="5" max="5"/>
    <col width="18.1" customWidth="1" min="6" max="6"/>
    <col width="10" customWidth="1" min="7" max="7"/>
    <col width="14" customWidth="1" min="8" max="8"/>
    <col width="12" customWidth="1" min="9" max="9"/>
    <col width="15" customWidth="1" min="10" max="10"/>
    <col width="15" customWidth="1" min="11" max="11"/>
    <col width="16" customWidth="1" min="12" max="12"/>
  </cols>
  <sheetData>
    <row r="1" ht="38" customHeight="1">
      <c r="A1" s="1" t="inlineStr">
        <is>
          <t>CONTROL DE ACTIVOS FIJOS Y DEPRECIACIÓN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inlineStr">
        <is>
          <t>INSERTE SU LOGO
(clic derecho &gt; Insertar imagen)</t>
        </is>
      </c>
      <c r="L1" s="4" t="n"/>
    </row>
    <row r="2" ht="24" customHeight="1">
      <c r="A2" s="5" t="inlineStr">
        <is>
          <t>Depreciación en línea recta con tasas máximas de la LISR como referencia</t>
        </is>
      </c>
      <c r="K2" s="6" t="n"/>
      <c r="L2" s="7" t="n"/>
    </row>
    <row r="4">
      <c r="A4" s="8" t="inlineStr">
        <is>
          <t>Empresa</t>
        </is>
      </c>
      <c r="B4" s="9" t="n"/>
      <c r="C4" s="9" t="n"/>
      <c r="D4" s="9" t="n"/>
      <c r="F4" s="8" t="inlineStr">
        <is>
          <t>Fecha de corte</t>
        </is>
      </c>
      <c r="G4" s="10">
        <f>TODAY()</f>
        <v/>
      </c>
      <c r="H4" s="9" t="n"/>
    </row>
    <row r="6" ht="32" customHeight="1">
      <c r="A6" s="11" t="inlineStr">
        <is>
          <t>No.</t>
        </is>
      </c>
      <c r="B6" s="11" t="inlineStr">
        <is>
          <t>Código</t>
        </is>
      </c>
      <c r="C6" s="11" t="inlineStr">
        <is>
          <t>Descripción</t>
        </is>
      </c>
      <c r="D6" s="11" t="inlineStr">
        <is>
          <t>Categoría</t>
        </is>
      </c>
      <c r="E6" s="11" t="inlineStr">
        <is>
          <t>Fecha adquisición</t>
        </is>
      </c>
      <c r="F6" s="11" t="inlineStr">
        <is>
          <t>Costo (MOI)</t>
        </is>
      </c>
      <c r="G6" s="11" t="inlineStr">
        <is>
          <t>Tasa anual</t>
        </is>
      </c>
      <c r="H6" s="11" t="inlineStr">
        <is>
          <t>Dep. anual</t>
        </is>
      </c>
      <c r="I6" s="11" t="inlineStr">
        <is>
          <t>Años en uso</t>
        </is>
      </c>
      <c r="J6" s="11" t="inlineStr">
        <is>
          <t>Dep. acumulada</t>
        </is>
      </c>
      <c r="K6" s="11" t="inlineStr">
        <is>
          <t>Valor en libros</t>
        </is>
      </c>
      <c r="L6" s="11" t="inlineStr">
        <is>
          <t>Ubicación / Responsable</t>
        </is>
      </c>
    </row>
    <row r="7">
      <c r="A7" s="12" t="n">
        <v>1</v>
      </c>
      <c r="B7" s="9" t="n"/>
      <c r="C7" s="9" t="n"/>
      <c r="D7" s="9" t="n"/>
      <c r="E7" s="10" t="n"/>
      <c r="F7" s="13" t="n"/>
      <c r="G7" s="14">
        <f>IF(D7="","",IFERROR(VLOOKUP(D7,Tasas!$A$2:$B$10,2,FALSE),0))</f>
        <v/>
      </c>
      <c r="H7" s="15">
        <f>IF(F7="","",F7*G7)</f>
        <v/>
      </c>
      <c r="I7" s="16">
        <f>IF(E7="","",MAX(0,($G$4-E7)/365))</f>
        <v/>
      </c>
      <c r="J7" s="15">
        <f>IF(F7="","",MIN(F7,H7*I7))</f>
        <v/>
      </c>
      <c r="K7" s="15">
        <f>IF(F7="","",F7-J7)</f>
        <v/>
      </c>
      <c r="L7" s="9" t="n"/>
    </row>
    <row r="8">
      <c r="A8" s="12" t="n">
        <v>2</v>
      </c>
      <c r="B8" s="9" t="n"/>
      <c r="C8" s="9" t="n"/>
      <c r="D8" s="9" t="n"/>
      <c r="E8" s="10" t="n"/>
      <c r="F8" s="13" t="n"/>
      <c r="G8" s="14">
        <f>IF(D8="","",IFERROR(VLOOKUP(D8,Tasas!$A$2:$B$10,2,FALSE),0))</f>
        <v/>
      </c>
      <c r="H8" s="15">
        <f>IF(F8="","",F8*G8)</f>
        <v/>
      </c>
      <c r="I8" s="16">
        <f>IF(E8="","",MAX(0,($G$4-E8)/365))</f>
        <v/>
      </c>
      <c r="J8" s="15">
        <f>IF(F8="","",MIN(F8,H8*I8))</f>
        <v/>
      </c>
      <c r="K8" s="15">
        <f>IF(F8="","",F8-J8)</f>
        <v/>
      </c>
      <c r="L8" s="9" t="n"/>
    </row>
    <row r="9">
      <c r="A9" s="12" t="n">
        <v>3</v>
      </c>
      <c r="B9" s="9" t="n"/>
      <c r="C9" s="9" t="n"/>
      <c r="D9" s="9" t="n"/>
      <c r="E9" s="10" t="n"/>
      <c r="F9" s="13" t="n"/>
      <c r="G9" s="14">
        <f>IF(D9="","",IFERROR(VLOOKUP(D9,Tasas!$A$2:$B$10,2,FALSE),0))</f>
        <v/>
      </c>
      <c r="H9" s="15">
        <f>IF(F9="","",F9*G9)</f>
        <v/>
      </c>
      <c r="I9" s="16">
        <f>IF(E9="","",MAX(0,($G$4-E9)/365))</f>
        <v/>
      </c>
      <c r="J9" s="15">
        <f>IF(F9="","",MIN(F9,H9*I9))</f>
        <v/>
      </c>
      <c r="K9" s="15">
        <f>IF(F9="","",F9-J9)</f>
        <v/>
      </c>
      <c r="L9" s="9" t="n"/>
    </row>
    <row r="10">
      <c r="A10" s="12" t="n">
        <v>4</v>
      </c>
      <c r="B10" s="9" t="n"/>
      <c r="C10" s="9" t="n"/>
      <c r="D10" s="9" t="n"/>
      <c r="E10" s="10" t="n"/>
      <c r="F10" s="13" t="n"/>
      <c r="G10" s="14">
        <f>IF(D10="","",IFERROR(VLOOKUP(D10,Tasas!$A$2:$B$10,2,FALSE),0))</f>
        <v/>
      </c>
      <c r="H10" s="15">
        <f>IF(F10="","",F10*G10)</f>
        <v/>
      </c>
      <c r="I10" s="16">
        <f>IF(E10="","",MAX(0,($G$4-E10)/365))</f>
        <v/>
      </c>
      <c r="J10" s="15">
        <f>IF(F10="","",MIN(F10,H10*I10))</f>
        <v/>
      </c>
      <c r="K10" s="15">
        <f>IF(F10="","",F10-J10)</f>
        <v/>
      </c>
      <c r="L10" s="9" t="n"/>
    </row>
    <row r="11">
      <c r="A11" s="12" t="n">
        <v>5</v>
      </c>
      <c r="B11" s="9" t="n"/>
      <c r="C11" s="9" t="n"/>
      <c r="D11" s="9" t="n"/>
      <c r="E11" s="10" t="n"/>
      <c r="F11" s="13" t="n"/>
      <c r="G11" s="14">
        <f>IF(D11="","",IFERROR(VLOOKUP(D11,Tasas!$A$2:$B$10,2,FALSE),0))</f>
        <v/>
      </c>
      <c r="H11" s="15">
        <f>IF(F11="","",F11*G11)</f>
        <v/>
      </c>
      <c r="I11" s="16">
        <f>IF(E11="","",MAX(0,($G$4-E11)/365))</f>
        <v/>
      </c>
      <c r="J11" s="15">
        <f>IF(F11="","",MIN(F11,H11*I11))</f>
        <v/>
      </c>
      <c r="K11" s="15">
        <f>IF(F11="","",F11-J11)</f>
        <v/>
      </c>
      <c r="L11" s="9" t="n"/>
    </row>
    <row r="12">
      <c r="A12" s="12" t="n">
        <v>6</v>
      </c>
      <c r="B12" s="9" t="n"/>
      <c r="C12" s="9" t="n"/>
      <c r="D12" s="9" t="n"/>
      <c r="E12" s="10" t="n"/>
      <c r="F12" s="13" t="n"/>
      <c r="G12" s="14">
        <f>IF(D12="","",IFERROR(VLOOKUP(D12,Tasas!$A$2:$B$10,2,FALSE),0))</f>
        <v/>
      </c>
      <c r="H12" s="15">
        <f>IF(F12="","",F12*G12)</f>
        <v/>
      </c>
      <c r="I12" s="16">
        <f>IF(E12="","",MAX(0,($G$4-E12)/365))</f>
        <v/>
      </c>
      <c r="J12" s="15">
        <f>IF(F12="","",MIN(F12,H12*I12))</f>
        <v/>
      </c>
      <c r="K12" s="15">
        <f>IF(F12="","",F12-J12)</f>
        <v/>
      </c>
      <c r="L12" s="9" t="n"/>
    </row>
    <row r="13">
      <c r="A13" s="12" t="n">
        <v>7</v>
      </c>
      <c r="B13" s="9" t="n"/>
      <c r="C13" s="9" t="n"/>
      <c r="D13" s="9" t="n"/>
      <c r="E13" s="10" t="n"/>
      <c r="F13" s="13" t="n"/>
      <c r="G13" s="14">
        <f>IF(D13="","",IFERROR(VLOOKUP(D13,Tasas!$A$2:$B$10,2,FALSE),0))</f>
        <v/>
      </c>
      <c r="H13" s="15">
        <f>IF(F13="","",F13*G13)</f>
        <v/>
      </c>
      <c r="I13" s="16">
        <f>IF(E13="","",MAX(0,($G$4-E13)/365))</f>
        <v/>
      </c>
      <c r="J13" s="15">
        <f>IF(F13="","",MIN(F13,H13*I13))</f>
        <v/>
      </c>
      <c r="K13" s="15">
        <f>IF(F13="","",F13-J13)</f>
        <v/>
      </c>
      <c r="L13" s="9" t="n"/>
    </row>
    <row r="14">
      <c r="A14" s="12" t="n">
        <v>8</v>
      </c>
      <c r="B14" s="9" t="n"/>
      <c r="C14" s="9" t="n"/>
      <c r="D14" s="9" t="n"/>
      <c r="E14" s="10" t="n"/>
      <c r="F14" s="13" t="n"/>
      <c r="G14" s="14">
        <f>IF(D14="","",IFERROR(VLOOKUP(D14,Tasas!$A$2:$B$10,2,FALSE),0))</f>
        <v/>
      </c>
      <c r="H14" s="15">
        <f>IF(F14="","",F14*G14)</f>
        <v/>
      </c>
      <c r="I14" s="16">
        <f>IF(E14="","",MAX(0,($G$4-E14)/365))</f>
        <v/>
      </c>
      <c r="J14" s="15">
        <f>IF(F14="","",MIN(F14,H14*I14))</f>
        <v/>
      </c>
      <c r="K14" s="15">
        <f>IF(F14="","",F14-J14)</f>
        <v/>
      </c>
      <c r="L14" s="9" t="n"/>
    </row>
    <row r="15">
      <c r="A15" s="12" t="n">
        <v>9</v>
      </c>
      <c r="B15" s="9" t="n"/>
      <c r="C15" s="9" t="n"/>
      <c r="D15" s="9" t="n"/>
      <c r="E15" s="10" t="n"/>
      <c r="F15" s="13" t="n"/>
      <c r="G15" s="14">
        <f>IF(D15="","",IFERROR(VLOOKUP(D15,Tasas!$A$2:$B$10,2,FALSE),0))</f>
        <v/>
      </c>
      <c r="H15" s="15">
        <f>IF(F15="","",F15*G15)</f>
        <v/>
      </c>
      <c r="I15" s="16">
        <f>IF(E15="","",MAX(0,($G$4-E15)/365))</f>
        <v/>
      </c>
      <c r="J15" s="15">
        <f>IF(F15="","",MIN(F15,H15*I15))</f>
        <v/>
      </c>
      <c r="K15" s="15">
        <f>IF(F15="","",F15-J15)</f>
        <v/>
      </c>
      <c r="L15" s="9" t="n"/>
    </row>
    <row r="16">
      <c r="A16" s="12" t="n">
        <v>10</v>
      </c>
      <c r="B16" s="9" t="n"/>
      <c r="C16" s="9" t="n"/>
      <c r="D16" s="9" t="n"/>
      <c r="E16" s="10" t="n"/>
      <c r="F16" s="13" t="n"/>
      <c r="G16" s="14">
        <f>IF(D16="","",IFERROR(VLOOKUP(D16,Tasas!$A$2:$B$10,2,FALSE),0))</f>
        <v/>
      </c>
      <c r="H16" s="15">
        <f>IF(F16="","",F16*G16)</f>
        <v/>
      </c>
      <c r="I16" s="16">
        <f>IF(E16="","",MAX(0,($G$4-E16)/365))</f>
        <v/>
      </c>
      <c r="J16" s="15">
        <f>IF(F16="","",MIN(F16,H16*I16))</f>
        <v/>
      </c>
      <c r="K16" s="15">
        <f>IF(F16="","",F16-J16)</f>
        <v/>
      </c>
      <c r="L16" s="9" t="n"/>
    </row>
    <row r="17">
      <c r="A17" s="12" t="n">
        <v>11</v>
      </c>
      <c r="B17" s="9" t="n"/>
      <c r="C17" s="9" t="n"/>
      <c r="D17" s="9" t="n"/>
      <c r="E17" s="10" t="n"/>
      <c r="F17" s="13" t="n"/>
      <c r="G17" s="14">
        <f>IF(D17="","",IFERROR(VLOOKUP(D17,Tasas!$A$2:$B$10,2,FALSE),0))</f>
        <v/>
      </c>
      <c r="H17" s="15">
        <f>IF(F17="","",F17*G17)</f>
        <v/>
      </c>
      <c r="I17" s="16">
        <f>IF(E17="","",MAX(0,($G$4-E17)/365))</f>
        <v/>
      </c>
      <c r="J17" s="15">
        <f>IF(F17="","",MIN(F17,H17*I17))</f>
        <v/>
      </c>
      <c r="K17" s="15">
        <f>IF(F17="","",F17-J17)</f>
        <v/>
      </c>
      <c r="L17" s="9" t="n"/>
    </row>
    <row r="18">
      <c r="A18" s="12" t="n">
        <v>12</v>
      </c>
      <c r="B18" s="9" t="n"/>
      <c r="C18" s="9" t="n"/>
      <c r="D18" s="9" t="n"/>
      <c r="E18" s="10" t="n"/>
      <c r="F18" s="13" t="n"/>
      <c r="G18" s="14">
        <f>IF(D18="","",IFERROR(VLOOKUP(D18,Tasas!$A$2:$B$10,2,FALSE),0))</f>
        <v/>
      </c>
      <c r="H18" s="15">
        <f>IF(F18="","",F18*G18)</f>
        <v/>
      </c>
      <c r="I18" s="16">
        <f>IF(E18="","",MAX(0,($G$4-E18)/365))</f>
        <v/>
      </c>
      <c r="J18" s="15">
        <f>IF(F18="","",MIN(F18,H18*I18))</f>
        <v/>
      </c>
      <c r="K18" s="15">
        <f>IF(F18="","",F18-J18)</f>
        <v/>
      </c>
      <c r="L18" s="9" t="n"/>
    </row>
    <row r="19">
      <c r="A19" s="12" t="n">
        <v>13</v>
      </c>
      <c r="B19" s="9" t="n"/>
      <c r="C19" s="9" t="n"/>
      <c r="D19" s="9" t="n"/>
      <c r="E19" s="10" t="n"/>
      <c r="F19" s="13" t="n"/>
      <c r="G19" s="14">
        <f>IF(D19="","",IFERROR(VLOOKUP(D19,Tasas!$A$2:$B$10,2,FALSE),0))</f>
        <v/>
      </c>
      <c r="H19" s="15">
        <f>IF(F19="","",F19*G19)</f>
        <v/>
      </c>
      <c r="I19" s="16">
        <f>IF(E19="","",MAX(0,($G$4-E19)/365))</f>
        <v/>
      </c>
      <c r="J19" s="15">
        <f>IF(F19="","",MIN(F19,H19*I19))</f>
        <v/>
      </c>
      <c r="K19" s="15">
        <f>IF(F19="","",F19-J19)</f>
        <v/>
      </c>
      <c r="L19" s="9" t="n"/>
    </row>
    <row r="20">
      <c r="A20" s="12" t="n">
        <v>14</v>
      </c>
      <c r="B20" s="9" t="n"/>
      <c r="C20" s="9" t="n"/>
      <c r="D20" s="9" t="n"/>
      <c r="E20" s="10" t="n"/>
      <c r="F20" s="13" t="n"/>
      <c r="G20" s="14">
        <f>IF(D20="","",IFERROR(VLOOKUP(D20,Tasas!$A$2:$B$10,2,FALSE),0))</f>
        <v/>
      </c>
      <c r="H20" s="15">
        <f>IF(F20="","",F20*G20)</f>
        <v/>
      </c>
      <c r="I20" s="16">
        <f>IF(E20="","",MAX(0,($G$4-E20)/365))</f>
        <v/>
      </c>
      <c r="J20" s="15">
        <f>IF(F20="","",MIN(F20,H20*I20))</f>
        <v/>
      </c>
      <c r="K20" s="15">
        <f>IF(F20="","",F20-J20)</f>
        <v/>
      </c>
      <c r="L20" s="9" t="n"/>
    </row>
    <row r="21">
      <c r="A21" s="12" t="n">
        <v>15</v>
      </c>
      <c r="B21" s="9" t="n"/>
      <c r="C21" s="9" t="n"/>
      <c r="D21" s="9" t="n"/>
      <c r="E21" s="10" t="n"/>
      <c r="F21" s="13" t="n"/>
      <c r="G21" s="14">
        <f>IF(D21="","",IFERROR(VLOOKUP(D21,Tasas!$A$2:$B$10,2,FALSE),0))</f>
        <v/>
      </c>
      <c r="H21" s="15">
        <f>IF(F21="","",F21*G21)</f>
        <v/>
      </c>
      <c r="I21" s="16">
        <f>IF(E21="","",MAX(0,($G$4-E21)/365))</f>
        <v/>
      </c>
      <c r="J21" s="15">
        <f>IF(F21="","",MIN(F21,H21*I21))</f>
        <v/>
      </c>
      <c r="K21" s="15">
        <f>IF(F21="","",F21-J21)</f>
        <v/>
      </c>
      <c r="L21" s="9" t="n"/>
    </row>
    <row r="22">
      <c r="A22" s="12" t="n">
        <v>16</v>
      </c>
      <c r="B22" s="9" t="n"/>
      <c r="C22" s="9" t="n"/>
      <c r="D22" s="9" t="n"/>
      <c r="E22" s="10" t="n"/>
      <c r="F22" s="13" t="n"/>
      <c r="G22" s="14">
        <f>IF(D22="","",IFERROR(VLOOKUP(D22,Tasas!$A$2:$B$10,2,FALSE),0))</f>
        <v/>
      </c>
      <c r="H22" s="15">
        <f>IF(F22="","",F22*G22)</f>
        <v/>
      </c>
      <c r="I22" s="16">
        <f>IF(E22="","",MAX(0,($G$4-E22)/365))</f>
        <v/>
      </c>
      <c r="J22" s="15">
        <f>IF(F22="","",MIN(F22,H22*I22))</f>
        <v/>
      </c>
      <c r="K22" s="15">
        <f>IF(F22="","",F22-J22)</f>
        <v/>
      </c>
      <c r="L22" s="9" t="n"/>
    </row>
    <row r="23">
      <c r="A23" s="12" t="n">
        <v>17</v>
      </c>
      <c r="B23" s="9" t="n"/>
      <c r="C23" s="9" t="n"/>
      <c r="D23" s="9" t="n"/>
      <c r="E23" s="10" t="n"/>
      <c r="F23" s="13" t="n"/>
      <c r="G23" s="14">
        <f>IF(D23="","",IFERROR(VLOOKUP(D23,Tasas!$A$2:$B$10,2,FALSE),0))</f>
        <v/>
      </c>
      <c r="H23" s="15">
        <f>IF(F23="","",F23*G23)</f>
        <v/>
      </c>
      <c r="I23" s="16">
        <f>IF(E23="","",MAX(0,($G$4-E23)/365))</f>
        <v/>
      </c>
      <c r="J23" s="15">
        <f>IF(F23="","",MIN(F23,H23*I23))</f>
        <v/>
      </c>
      <c r="K23" s="15">
        <f>IF(F23="","",F23-J23)</f>
        <v/>
      </c>
      <c r="L23" s="9" t="n"/>
    </row>
    <row r="24">
      <c r="A24" s="12" t="n">
        <v>18</v>
      </c>
      <c r="B24" s="9" t="n"/>
      <c r="C24" s="9" t="n"/>
      <c r="D24" s="9" t="n"/>
      <c r="E24" s="10" t="n"/>
      <c r="F24" s="13" t="n"/>
      <c r="G24" s="14">
        <f>IF(D24="","",IFERROR(VLOOKUP(D24,Tasas!$A$2:$B$10,2,FALSE),0))</f>
        <v/>
      </c>
      <c r="H24" s="15">
        <f>IF(F24="","",F24*G24)</f>
        <v/>
      </c>
      <c r="I24" s="16">
        <f>IF(E24="","",MAX(0,($G$4-E24)/365))</f>
        <v/>
      </c>
      <c r="J24" s="15">
        <f>IF(F24="","",MIN(F24,H24*I24))</f>
        <v/>
      </c>
      <c r="K24" s="15">
        <f>IF(F24="","",F24-J24)</f>
        <v/>
      </c>
      <c r="L24" s="9" t="n"/>
    </row>
    <row r="25">
      <c r="A25" s="12" t="n">
        <v>19</v>
      </c>
      <c r="B25" s="9" t="n"/>
      <c r="C25" s="9" t="n"/>
      <c r="D25" s="9" t="n"/>
      <c r="E25" s="10" t="n"/>
      <c r="F25" s="13" t="n"/>
      <c r="G25" s="14">
        <f>IF(D25="","",IFERROR(VLOOKUP(D25,Tasas!$A$2:$B$10,2,FALSE),0))</f>
        <v/>
      </c>
      <c r="H25" s="15">
        <f>IF(F25="","",F25*G25)</f>
        <v/>
      </c>
      <c r="I25" s="16">
        <f>IF(E25="","",MAX(0,($G$4-E25)/365))</f>
        <v/>
      </c>
      <c r="J25" s="15">
        <f>IF(F25="","",MIN(F25,H25*I25))</f>
        <v/>
      </c>
      <c r="K25" s="15">
        <f>IF(F25="","",F25-J25)</f>
        <v/>
      </c>
      <c r="L25" s="9" t="n"/>
    </row>
    <row r="26">
      <c r="A26" s="12" t="n">
        <v>20</v>
      </c>
      <c r="B26" s="9" t="n"/>
      <c r="C26" s="9" t="n"/>
      <c r="D26" s="9" t="n"/>
      <c r="E26" s="10" t="n"/>
      <c r="F26" s="13" t="n"/>
      <c r="G26" s="14">
        <f>IF(D26="","",IFERROR(VLOOKUP(D26,Tasas!$A$2:$B$10,2,FALSE),0))</f>
        <v/>
      </c>
      <c r="H26" s="15">
        <f>IF(F26="","",F26*G26)</f>
        <v/>
      </c>
      <c r="I26" s="16">
        <f>IF(E26="","",MAX(0,($G$4-E26)/365))</f>
        <v/>
      </c>
      <c r="J26" s="15">
        <f>IF(F26="","",MIN(F26,H26*I26))</f>
        <v/>
      </c>
      <c r="K26" s="15">
        <f>IF(F26="","",F26-J26)</f>
        <v/>
      </c>
      <c r="L26" s="9" t="n"/>
    </row>
    <row r="27">
      <c r="A27" s="12" t="n">
        <v>21</v>
      </c>
      <c r="B27" s="9" t="n"/>
      <c r="C27" s="9" t="n"/>
      <c r="D27" s="9" t="n"/>
      <c r="E27" s="10" t="n"/>
      <c r="F27" s="13" t="n"/>
      <c r="G27" s="14">
        <f>IF(D27="","",IFERROR(VLOOKUP(D27,Tasas!$A$2:$B$10,2,FALSE),0))</f>
        <v/>
      </c>
      <c r="H27" s="15">
        <f>IF(F27="","",F27*G27)</f>
        <v/>
      </c>
      <c r="I27" s="16">
        <f>IF(E27="","",MAX(0,($G$4-E27)/365))</f>
        <v/>
      </c>
      <c r="J27" s="15">
        <f>IF(F27="","",MIN(F27,H27*I27))</f>
        <v/>
      </c>
      <c r="K27" s="15">
        <f>IF(F27="","",F27-J27)</f>
        <v/>
      </c>
      <c r="L27" s="9" t="n"/>
    </row>
    <row r="28">
      <c r="A28" s="12" t="n">
        <v>22</v>
      </c>
      <c r="B28" s="9" t="n"/>
      <c r="C28" s="9" t="n"/>
      <c r="D28" s="9" t="n"/>
      <c r="E28" s="10" t="n"/>
      <c r="F28" s="13" t="n"/>
      <c r="G28" s="14">
        <f>IF(D28="","",IFERROR(VLOOKUP(D28,Tasas!$A$2:$B$10,2,FALSE),0))</f>
        <v/>
      </c>
      <c r="H28" s="15">
        <f>IF(F28="","",F28*G28)</f>
        <v/>
      </c>
      <c r="I28" s="16">
        <f>IF(E28="","",MAX(0,($G$4-E28)/365))</f>
        <v/>
      </c>
      <c r="J28" s="15">
        <f>IF(F28="","",MIN(F28,H28*I28))</f>
        <v/>
      </c>
      <c r="K28" s="15">
        <f>IF(F28="","",F28-J28)</f>
        <v/>
      </c>
      <c r="L28" s="9" t="n"/>
    </row>
    <row r="29">
      <c r="A29" s="12" t="n">
        <v>23</v>
      </c>
      <c r="B29" s="9" t="n"/>
      <c r="C29" s="9" t="n"/>
      <c r="D29" s="9" t="n"/>
      <c r="E29" s="10" t="n"/>
      <c r="F29" s="13" t="n"/>
      <c r="G29" s="14">
        <f>IF(D29="","",IFERROR(VLOOKUP(D29,Tasas!$A$2:$B$10,2,FALSE),0))</f>
        <v/>
      </c>
      <c r="H29" s="15">
        <f>IF(F29="","",F29*G29)</f>
        <v/>
      </c>
      <c r="I29" s="16">
        <f>IF(E29="","",MAX(0,($G$4-E29)/365))</f>
        <v/>
      </c>
      <c r="J29" s="15">
        <f>IF(F29="","",MIN(F29,H29*I29))</f>
        <v/>
      </c>
      <c r="K29" s="15">
        <f>IF(F29="","",F29-J29)</f>
        <v/>
      </c>
      <c r="L29" s="9" t="n"/>
    </row>
    <row r="30">
      <c r="A30" s="12" t="n">
        <v>24</v>
      </c>
      <c r="B30" s="9" t="n"/>
      <c r="C30" s="9" t="n"/>
      <c r="D30" s="9" t="n"/>
      <c r="E30" s="10" t="n"/>
      <c r="F30" s="13" t="n"/>
      <c r="G30" s="14">
        <f>IF(D30="","",IFERROR(VLOOKUP(D30,Tasas!$A$2:$B$10,2,FALSE),0))</f>
        <v/>
      </c>
      <c r="H30" s="15">
        <f>IF(F30="","",F30*G30)</f>
        <v/>
      </c>
      <c r="I30" s="16">
        <f>IF(E30="","",MAX(0,($G$4-E30)/365))</f>
        <v/>
      </c>
      <c r="J30" s="15">
        <f>IF(F30="","",MIN(F30,H30*I30))</f>
        <v/>
      </c>
      <c r="K30" s="15">
        <f>IF(F30="","",F30-J30)</f>
        <v/>
      </c>
      <c r="L30" s="9" t="n"/>
    </row>
    <row r="31">
      <c r="A31" s="12" t="n">
        <v>25</v>
      </c>
      <c r="B31" s="9" t="n"/>
      <c r="C31" s="9" t="n"/>
      <c r="D31" s="9" t="n"/>
      <c r="E31" s="10" t="n"/>
      <c r="F31" s="13" t="n"/>
      <c r="G31" s="14">
        <f>IF(D31="","",IFERROR(VLOOKUP(D31,Tasas!$A$2:$B$10,2,FALSE),0))</f>
        <v/>
      </c>
      <c r="H31" s="15">
        <f>IF(F31="","",F31*G31)</f>
        <v/>
      </c>
      <c r="I31" s="16">
        <f>IF(E31="","",MAX(0,($G$4-E31)/365))</f>
        <v/>
      </c>
      <c r="J31" s="15">
        <f>IF(F31="","",MIN(F31,H31*I31))</f>
        <v/>
      </c>
      <c r="K31" s="15">
        <f>IF(F31="","",F31-J31)</f>
        <v/>
      </c>
      <c r="L31" s="9" t="n"/>
    </row>
    <row r="32">
      <c r="A32" s="12" t="n">
        <v>26</v>
      </c>
      <c r="B32" s="9" t="n"/>
      <c r="C32" s="9" t="n"/>
      <c r="D32" s="9" t="n"/>
      <c r="E32" s="10" t="n"/>
      <c r="F32" s="13" t="n"/>
      <c r="G32" s="14">
        <f>IF(D32="","",IFERROR(VLOOKUP(D32,Tasas!$A$2:$B$10,2,FALSE),0))</f>
        <v/>
      </c>
      <c r="H32" s="15">
        <f>IF(F32="","",F32*G32)</f>
        <v/>
      </c>
      <c r="I32" s="16">
        <f>IF(E32="","",MAX(0,($G$4-E32)/365))</f>
        <v/>
      </c>
      <c r="J32" s="15">
        <f>IF(F32="","",MIN(F32,H32*I32))</f>
        <v/>
      </c>
      <c r="K32" s="15">
        <f>IF(F32="","",F32-J32)</f>
        <v/>
      </c>
      <c r="L32" s="9" t="n"/>
    </row>
    <row r="33">
      <c r="A33" s="12" t="n">
        <v>27</v>
      </c>
      <c r="B33" s="9" t="n"/>
      <c r="C33" s="9" t="n"/>
      <c r="D33" s="9" t="n"/>
      <c r="E33" s="10" t="n"/>
      <c r="F33" s="13" t="n"/>
      <c r="G33" s="14">
        <f>IF(D33="","",IFERROR(VLOOKUP(D33,Tasas!$A$2:$B$10,2,FALSE),0))</f>
        <v/>
      </c>
      <c r="H33" s="15">
        <f>IF(F33="","",F33*G33)</f>
        <v/>
      </c>
      <c r="I33" s="16">
        <f>IF(E33="","",MAX(0,($G$4-E33)/365))</f>
        <v/>
      </c>
      <c r="J33" s="15">
        <f>IF(F33="","",MIN(F33,H33*I33))</f>
        <v/>
      </c>
      <c r="K33" s="15">
        <f>IF(F33="","",F33-J33)</f>
        <v/>
      </c>
      <c r="L33" s="9" t="n"/>
    </row>
    <row r="34">
      <c r="A34" s="12" t="n">
        <v>28</v>
      </c>
      <c r="B34" s="9" t="n"/>
      <c r="C34" s="9" t="n"/>
      <c r="D34" s="9" t="n"/>
      <c r="E34" s="10" t="n"/>
      <c r="F34" s="13" t="n"/>
      <c r="G34" s="14">
        <f>IF(D34="","",IFERROR(VLOOKUP(D34,Tasas!$A$2:$B$10,2,FALSE),0))</f>
        <v/>
      </c>
      <c r="H34" s="15">
        <f>IF(F34="","",F34*G34)</f>
        <v/>
      </c>
      <c r="I34" s="16">
        <f>IF(E34="","",MAX(0,($G$4-E34)/365))</f>
        <v/>
      </c>
      <c r="J34" s="15">
        <f>IF(F34="","",MIN(F34,H34*I34))</f>
        <v/>
      </c>
      <c r="K34" s="15">
        <f>IF(F34="","",F34-J34)</f>
        <v/>
      </c>
      <c r="L34" s="9" t="n"/>
    </row>
    <row r="35">
      <c r="A35" s="12" t="n">
        <v>29</v>
      </c>
      <c r="B35" s="9" t="n"/>
      <c r="C35" s="9" t="n"/>
      <c r="D35" s="9" t="n"/>
      <c r="E35" s="10" t="n"/>
      <c r="F35" s="13" t="n"/>
      <c r="G35" s="14">
        <f>IF(D35="","",IFERROR(VLOOKUP(D35,Tasas!$A$2:$B$10,2,FALSE),0))</f>
        <v/>
      </c>
      <c r="H35" s="15">
        <f>IF(F35="","",F35*G35)</f>
        <v/>
      </c>
      <c r="I35" s="16">
        <f>IF(E35="","",MAX(0,($G$4-E35)/365))</f>
        <v/>
      </c>
      <c r="J35" s="15">
        <f>IF(F35="","",MIN(F35,H35*I35))</f>
        <v/>
      </c>
      <c r="K35" s="15">
        <f>IF(F35="","",F35-J35)</f>
        <v/>
      </c>
      <c r="L35" s="9" t="n"/>
    </row>
    <row r="36">
      <c r="A36" s="12" t="n">
        <v>30</v>
      </c>
      <c r="B36" s="9" t="n"/>
      <c r="C36" s="9" t="n"/>
      <c r="D36" s="9" t="n"/>
      <c r="E36" s="10" t="n"/>
      <c r="F36" s="13" t="n"/>
      <c r="G36" s="14">
        <f>IF(D36="","",IFERROR(VLOOKUP(D36,Tasas!$A$2:$B$10,2,FALSE),0))</f>
        <v/>
      </c>
      <c r="H36" s="15">
        <f>IF(F36="","",F36*G36)</f>
        <v/>
      </c>
      <c r="I36" s="16">
        <f>IF(E36="","",MAX(0,($G$4-E36)/365))</f>
        <v/>
      </c>
      <c r="J36" s="15">
        <f>IF(F36="","",MIN(F36,H36*I36))</f>
        <v/>
      </c>
      <c r="K36" s="15">
        <f>IF(F36="","",F36-J36)</f>
        <v/>
      </c>
      <c r="L36" s="9" t="n"/>
    </row>
    <row r="37">
      <c r="A37" s="12" t="n">
        <v>31</v>
      </c>
      <c r="B37" s="9" t="n"/>
      <c r="C37" s="9" t="n"/>
      <c r="D37" s="9" t="n"/>
      <c r="E37" s="10" t="n"/>
      <c r="F37" s="13" t="n"/>
      <c r="G37" s="14">
        <f>IF(D37="","",IFERROR(VLOOKUP(D37,Tasas!$A$2:$B$10,2,FALSE),0))</f>
        <v/>
      </c>
      <c r="H37" s="15">
        <f>IF(F37="","",F37*G37)</f>
        <v/>
      </c>
      <c r="I37" s="16">
        <f>IF(E37="","",MAX(0,($G$4-E37)/365))</f>
        <v/>
      </c>
      <c r="J37" s="15">
        <f>IF(F37="","",MIN(F37,H37*I37))</f>
        <v/>
      </c>
      <c r="K37" s="15">
        <f>IF(F37="","",F37-J37)</f>
        <v/>
      </c>
      <c r="L37" s="9" t="n"/>
    </row>
    <row r="38">
      <c r="A38" s="12" t="n">
        <v>32</v>
      </c>
      <c r="B38" s="9" t="n"/>
      <c r="C38" s="9" t="n"/>
      <c r="D38" s="9" t="n"/>
      <c r="E38" s="10" t="n"/>
      <c r="F38" s="13" t="n"/>
      <c r="G38" s="14">
        <f>IF(D38="","",IFERROR(VLOOKUP(D38,Tasas!$A$2:$B$10,2,FALSE),0))</f>
        <v/>
      </c>
      <c r="H38" s="15">
        <f>IF(F38="","",F38*G38)</f>
        <v/>
      </c>
      <c r="I38" s="16">
        <f>IF(E38="","",MAX(0,($G$4-E38)/365))</f>
        <v/>
      </c>
      <c r="J38" s="15">
        <f>IF(F38="","",MIN(F38,H38*I38))</f>
        <v/>
      </c>
      <c r="K38" s="15">
        <f>IF(F38="","",F38-J38)</f>
        <v/>
      </c>
      <c r="L38" s="9" t="n"/>
    </row>
    <row r="39">
      <c r="A39" s="12" t="n">
        <v>33</v>
      </c>
      <c r="B39" s="9" t="n"/>
      <c r="C39" s="9" t="n"/>
      <c r="D39" s="9" t="n"/>
      <c r="E39" s="10" t="n"/>
      <c r="F39" s="13" t="n"/>
      <c r="G39" s="14">
        <f>IF(D39="","",IFERROR(VLOOKUP(D39,Tasas!$A$2:$B$10,2,FALSE),0))</f>
        <v/>
      </c>
      <c r="H39" s="15">
        <f>IF(F39="","",F39*G39)</f>
        <v/>
      </c>
      <c r="I39" s="16">
        <f>IF(E39="","",MAX(0,($G$4-E39)/365))</f>
        <v/>
      </c>
      <c r="J39" s="15">
        <f>IF(F39="","",MIN(F39,H39*I39))</f>
        <v/>
      </c>
      <c r="K39" s="15">
        <f>IF(F39="","",F39-J39)</f>
        <v/>
      </c>
      <c r="L39" s="9" t="n"/>
    </row>
    <row r="40">
      <c r="A40" s="12" t="n">
        <v>34</v>
      </c>
      <c r="B40" s="9" t="n"/>
      <c r="C40" s="9" t="n"/>
      <c r="D40" s="9" t="n"/>
      <c r="E40" s="10" t="n"/>
      <c r="F40" s="13" t="n"/>
      <c r="G40" s="14">
        <f>IF(D40="","",IFERROR(VLOOKUP(D40,Tasas!$A$2:$B$10,2,FALSE),0))</f>
        <v/>
      </c>
      <c r="H40" s="15">
        <f>IF(F40="","",F40*G40)</f>
        <v/>
      </c>
      <c r="I40" s="16">
        <f>IF(E40="","",MAX(0,($G$4-E40)/365))</f>
        <v/>
      </c>
      <c r="J40" s="15">
        <f>IF(F40="","",MIN(F40,H40*I40))</f>
        <v/>
      </c>
      <c r="K40" s="15">
        <f>IF(F40="","",F40-J40)</f>
        <v/>
      </c>
      <c r="L40" s="9" t="n"/>
    </row>
    <row r="41">
      <c r="A41" s="12" t="n">
        <v>35</v>
      </c>
      <c r="B41" s="9" t="n"/>
      <c r="C41" s="9" t="n"/>
      <c r="D41" s="9" t="n"/>
      <c r="E41" s="10" t="n"/>
      <c r="F41" s="13" t="n"/>
      <c r="G41" s="14">
        <f>IF(D41="","",IFERROR(VLOOKUP(D41,Tasas!$A$2:$B$10,2,FALSE),0))</f>
        <v/>
      </c>
      <c r="H41" s="15">
        <f>IF(F41="","",F41*G41)</f>
        <v/>
      </c>
      <c r="I41" s="16">
        <f>IF(E41="","",MAX(0,($G$4-E41)/365))</f>
        <v/>
      </c>
      <c r="J41" s="15">
        <f>IF(F41="","",MIN(F41,H41*I41))</f>
        <v/>
      </c>
      <c r="K41" s="15">
        <f>IF(F41="","",F41-J41)</f>
        <v/>
      </c>
      <c r="L41" s="9" t="n"/>
    </row>
    <row r="42">
      <c r="A42" s="12" t="n">
        <v>36</v>
      </c>
      <c r="B42" s="9" t="n"/>
      <c r="C42" s="9" t="n"/>
      <c r="D42" s="9" t="n"/>
      <c r="E42" s="10" t="n"/>
      <c r="F42" s="13" t="n"/>
      <c r="G42" s="14">
        <f>IF(D42="","",IFERROR(VLOOKUP(D42,Tasas!$A$2:$B$10,2,FALSE),0))</f>
        <v/>
      </c>
      <c r="H42" s="15">
        <f>IF(F42="","",F42*G42)</f>
        <v/>
      </c>
      <c r="I42" s="16">
        <f>IF(E42="","",MAX(0,($G$4-E42)/365))</f>
        <v/>
      </c>
      <c r="J42" s="15">
        <f>IF(F42="","",MIN(F42,H42*I42))</f>
        <v/>
      </c>
      <c r="K42" s="15">
        <f>IF(F42="","",F42-J42)</f>
        <v/>
      </c>
      <c r="L42" s="9" t="n"/>
    </row>
    <row r="43">
      <c r="A43" s="12" t="n">
        <v>37</v>
      </c>
      <c r="B43" s="9" t="n"/>
      <c r="C43" s="9" t="n"/>
      <c r="D43" s="9" t="n"/>
      <c r="E43" s="10" t="n"/>
      <c r="F43" s="13" t="n"/>
      <c r="G43" s="14">
        <f>IF(D43="","",IFERROR(VLOOKUP(D43,Tasas!$A$2:$B$10,2,FALSE),0))</f>
        <v/>
      </c>
      <c r="H43" s="15">
        <f>IF(F43="","",F43*G43)</f>
        <v/>
      </c>
      <c r="I43" s="16">
        <f>IF(E43="","",MAX(0,($G$4-E43)/365))</f>
        <v/>
      </c>
      <c r="J43" s="15">
        <f>IF(F43="","",MIN(F43,H43*I43))</f>
        <v/>
      </c>
      <c r="K43" s="15">
        <f>IF(F43="","",F43-J43)</f>
        <v/>
      </c>
      <c r="L43" s="9" t="n"/>
    </row>
    <row r="44">
      <c r="A44" s="12" t="n">
        <v>38</v>
      </c>
      <c r="B44" s="9" t="n"/>
      <c r="C44" s="9" t="n"/>
      <c r="D44" s="9" t="n"/>
      <c r="E44" s="10" t="n"/>
      <c r="F44" s="13" t="n"/>
      <c r="G44" s="14">
        <f>IF(D44="","",IFERROR(VLOOKUP(D44,Tasas!$A$2:$B$10,2,FALSE),0))</f>
        <v/>
      </c>
      <c r="H44" s="15">
        <f>IF(F44="","",F44*G44)</f>
        <v/>
      </c>
      <c r="I44" s="16">
        <f>IF(E44="","",MAX(0,($G$4-E44)/365))</f>
        <v/>
      </c>
      <c r="J44" s="15">
        <f>IF(F44="","",MIN(F44,H44*I44))</f>
        <v/>
      </c>
      <c r="K44" s="15">
        <f>IF(F44="","",F44-J44)</f>
        <v/>
      </c>
      <c r="L44" s="9" t="n"/>
    </row>
    <row r="45">
      <c r="A45" s="12" t="n">
        <v>39</v>
      </c>
      <c r="B45" s="9" t="n"/>
      <c r="C45" s="9" t="n"/>
      <c r="D45" s="9" t="n"/>
      <c r="E45" s="10" t="n"/>
      <c r="F45" s="13" t="n"/>
      <c r="G45" s="14">
        <f>IF(D45="","",IFERROR(VLOOKUP(D45,Tasas!$A$2:$B$10,2,FALSE),0))</f>
        <v/>
      </c>
      <c r="H45" s="15">
        <f>IF(F45="","",F45*G45)</f>
        <v/>
      </c>
      <c r="I45" s="16">
        <f>IF(E45="","",MAX(0,($G$4-E45)/365))</f>
        <v/>
      </c>
      <c r="J45" s="15">
        <f>IF(F45="","",MIN(F45,H45*I45))</f>
        <v/>
      </c>
      <c r="K45" s="15">
        <f>IF(F45="","",F45-J45)</f>
        <v/>
      </c>
      <c r="L45" s="9" t="n"/>
    </row>
    <row r="46">
      <c r="A46" s="12" t="n">
        <v>40</v>
      </c>
      <c r="B46" s="9" t="n"/>
      <c r="C46" s="9" t="n"/>
      <c r="D46" s="9" t="n"/>
      <c r="E46" s="10" t="n"/>
      <c r="F46" s="13" t="n"/>
      <c r="G46" s="14">
        <f>IF(D46="","",IFERROR(VLOOKUP(D46,Tasas!$A$2:$B$10,2,FALSE),0))</f>
        <v/>
      </c>
      <c r="H46" s="15">
        <f>IF(F46="","",F46*G46)</f>
        <v/>
      </c>
      <c r="I46" s="16">
        <f>IF(E46="","",MAX(0,($G$4-E46)/365))</f>
        <v/>
      </c>
      <c r="J46" s="15">
        <f>IF(F46="","",MIN(F46,H46*I46))</f>
        <v/>
      </c>
      <c r="K46" s="15">
        <f>IF(F46="","",F46-J46)</f>
        <v/>
      </c>
      <c r="L46" s="9" t="n"/>
    </row>
    <row r="47">
      <c r="A47" s="12" t="n">
        <v>41</v>
      </c>
      <c r="B47" s="9" t="n"/>
      <c r="C47" s="9" t="n"/>
      <c r="D47" s="9" t="n"/>
      <c r="E47" s="10" t="n"/>
      <c r="F47" s="13" t="n"/>
      <c r="G47" s="14">
        <f>IF(D47="","",IFERROR(VLOOKUP(D47,Tasas!$A$2:$B$10,2,FALSE),0))</f>
        <v/>
      </c>
      <c r="H47" s="15">
        <f>IF(F47="","",F47*G47)</f>
        <v/>
      </c>
      <c r="I47" s="16">
        <f>IF(E47="","",MAX(0,($G$4-E47)/365))</f>
        <v/>
      </c>
      <c r="J47" s="15">
        <f>IF(F47="","",MIN(F47,H47*I47))</f>
        <v/>
      </c>
      <c r="K47" s="15">
        <f>IF(F47="","",F47-J47)</f>
        <v/>
      </c>
      <c r="L47" s="9" t="n"/>
    </row>
    <row r="48">
      <c r="A48" s="12" t="n">
        <v>42</v>
      </c>
      <c r="B48" s="9" t="n"/>
      <c r="C48" s="9" t="n"/>
      <c r="D48" s="9" t="n"/>
      <c r="E48" s="10" t="n"/>
      <c r="F48" s="13" t="n"/>
      <c r="G48" s="14">
        <f>IF(D48="","",IFERROR(VLOOKUP(D48,Tasas!$A$2:$B$10,2,FALSE),0))</f>
        <v/>
      </c>
      <c r="H48" s="15">
        <f>IF(F48="","",F48*G48)</f>
        <v/>
      </c>
      <c r="I48" s="16">
        <f>IF(E48="","",MAX(0,($G$4-E48)/365))</f>
        <v/>
      </c>
      <c r="J48" s="15">
        <f>IF(F48="","",MIN(F48,H48*I48))</f>
        <v/>
      </c>
      <c r="K48" s="15">
        <f>IF(F48="","",F48-J48)</f>
        <v/>
      </c>
      <c r="L48" s="9" t="n"/>
    </row>
    <row r="49">
      <c r="A49" s="12" t="n">
        <v>43</v>
      </c>
      <c r="B49" s="9" t="n"/>
      <c r="C49" s="9" t="n"/>
      <c r="D49" s="9" t="n"/>
      <c r="E49" s="10" t="n"/>
      <c r="F49" s="13" t="n"/>
      <c r="G49" s="14">
        <f>IF(D49="","",IFERROR(VLOOKUP(D49,Tasas!$A$2:$B$10,2,FALSE),0))</f>
        <v/>
      </c>
      <c r="H49" s="15">
        <f>IF(F49="","",F49*G49)</f>
        <v/>
      </c>
      <c r="I49" s="16">
        <f>IF(E49="","",MAX(0,($G$4-E49)/365))</f>
        <v/>
      </c>
      <c r="J49" s="15">
        <f>IF(F49="","",MIN(F49,H49*I49))</f>
        <v/>
      </c>
      <c r="K49" s="15">
        <f>IF(F49="","",F49-J49)</f>
        <v/>
      </c>
      <c r="L49" s="9" t="n"/>
    </row>
    <row r="50">
      <c r="A50" s="12" t="n">
        <v>44</v>
      </c>
      <c r="B50" s="9" t="n"/>
      <c r="C50" s="9" t="n"/>
      <c r="D50" s="9" t="n"/>
      <c r="E50" s="10" t="n"/>
      <c r="F50" s="13" t="n"/>
      <c r="G50" s="14">
        <f>IF(D50="","",IFERROR(VLOOKUP(D50,Tasas!$A$2:$B$10,2,FALSE),0))</f>
        <v/>
      </c>
      <c r="H50" s="15">
        <f>IF(F50="","",F50*G50)</f>
        <v/>
      </c>
      <c r="I50" s="16">
        <f>IF(E50="","",MAX(0,($G$4-E50)/365))</f>
        <v/>
      </c>
      <c r="J50" s="15">
        <f>IF(F50="","",MIN(F50,H50*I50))</f>
        <v/>
      </c>
      <c r="K50" s="15">
        <f>IF(F50="","",F50-J50)</f>
        <v/>
      </c>
      <c r="L50" s="9" t="n"/>
    </row>
    <row r="51">
      <c r="A51" s="12" t="n">
        <v>45</v>
      </c>
      <c r="B51" s="9" t="n"/>
      <c r="C51" s="9" t="n"/>
      <c r="D51" s="9" t="n"/>
      <c r="E51" s="10" t="n"/>
      <c r="F51" s="13" t="n"/>
      <c r="G51" s="14">
        <f>IF(D51="","",IFERROR(VLOOKUP(D51,Tasas!$A$2:$B$10,2,FALSE),0))</f>
        <v/>
      </c>
      <c r="H51" s="15">
        <f>IF(F51="","",F51*G51)</f>
        <v/>
      </c>
      <c r="I51" s="16">
        <f>IF(E51="","",MAX(0,($G$4-E51)/365))</f>
        <v/>
      </c>
      <c r="J51" s="15">
        <f>IF(F51="","",MIN(F51,H51*I51))</f>
        <v/>
      </c>
      <c r="K51" s="15">
        <f>IF(F51="","",F51-J51)</f>
        <v/>
      </c>
      <c r="L51" s="9" t="n"/>
    </row>
    <row r="52">
      <c r="A52" s="12" t="n">
        <v>46</v>
      </c>
      <c r="B52" s="9" t="n"/>
      <c r="C52" s="9" t="n"/>
      <c r="D52" s="9" t="n"/>
      <c r="E52" s="10" t="n"/>
      <c r="F52" s="13" t="n"/>
      <c r="G52" s="14">
        <f>IF(D52="","",IFERROR(VLOOKUP(D52,Tasas!$A$2:$B$10,2,FALSE),0))</f>
        <v/>
      </c>
      <c r="H52" s="15">
        <f>IF(F52="","",F52*G52)</f>
        <v/>
      </c>
      <c r="I52" s="16">
        <f>IF(E52="","",MAX(0,($G$4-E52)/365))</f>
        <v/>
      </c>
      <c r="J52" s="15">
        <f>IF(F52="","",MIN(F52,H52*I52))</f>
        <v/>
      </c>
      <c r="K52" s="15">
        <f>IF(F52="","",F52-J52)</f>
        <v/>
      </c>
      <c r="L52" s="9" t="n"/>
    </row>
    <row r="53">
      <c r="A53" s="12" t="n">
        <v>47</v>
      </c>
      <c r="B53" s="9" t="n"/>
      <c r="C53" s="9" t="n"/>
      <c r="D53" s="9" t="n"/>
      <c r="E53" s="10" t="n"/>
      <c r="F53" s="13" t="n"/>
      <c r="G53" s="14">
        <f>IF(D53="","",IFERROR(VLOOKUP(D53,Tasas!$A$2:$B$10,2,FALSE),0))</f>
        <v/>
      </c>
      <c r="H53" s="15">
        <f>IF(F53="","",F53*G53)</f>
        <v/>
      </c>
      <c r="I53" s="16">
        <f>IF(E53="","",MAX(0,($G$4-E53)/365))</f>
        <v/>
      </c>
      <c r="J53" s="15">
        <f>IF(F53="","",MIN(F53,H53*I53))</f>
        <v/>
      </c>
      <c r="K53" s="15">
        <f>IF(F53="","",F53-J53)</f>
        <v/>
      </c>
      <c r="L53" s="9" t="n"/>
    </row>
    <row r="54">
      <c r="A54" s="12" t="n">
        <v>48</v>
      </c>
      <c r="B54" s="9" t="n"/>
      <c r="C54" s="9" t="n"/>
      <c r="D54" s="9" t="n"/>
      <c r="E54" s="10" t="n"/>
      <c r="F54" s="13" t="n"/>
      <c r="G54" s="14">
        <f>IF(D54="","",IFERROR(VLOOKUP(D54,Tasas!$A$2:$B$10,2,FALSE),0))</f>
        <v/>
      </c>
      <c r="H54" s="15">
        <f>IF(F54="","",F54*G54)</f>
        <v/>
      </c>
      <c r="I54" s="16">
        <f>IF(E54="","",MAX(0,($G$4-E54)/365))</f>
        <v/>
      </c>
      <c r="J54" s="15">
        <f>IF(F54="","",MIN(F54,H54*I54))</f>
        <v/>
      </c>
      <c r="K54" s="15">
        <f>IF(F54="","",F54-J54)</f>
        <v/>
      </c>
      <c r="L54" s="9" t="n"/>
    </row>
    <row r="55">
      <c r="A55" s="12" t="n">
        <v>49</v>
      </c>
      <c r="B55" s="9" t="n"/>
      <c r="C55" s="9" t="n"/>
      <c r="D55" s="9" t="n"/>
      <c r="E55" s="10" t="n"/>
      <c r="F55" s="13" t="n"/>
      <c r="G55" s="14">
        <f>IF(D55="","",IFERROR(VLOOKUP(D55,Tasas!$A$2:$B$10,2,FALSE),0))</f>
        <v/>
      </c>
      <c r="H55" s="15">
        <f>IF(F55="","",F55*G55)</f>
        <v/>
      </c>
      <c r="I55" s="16">
        <f>IF(E55="","",MAX(0,($G$4-E55)/365))</f>
        <v/>
      </c>
      <c r="J55" s="15">
        <f>IF(F55="","",MIN(F55,H55*I55))</f>
        <v/>
      </c>
      <c r="K55" s="15">
        <f>IF(F55="","",F55-J55)</f>
        <v/>
      </c>
      <c r="L55" s="9" t="n"/>
    </row>
    <row r="56">
      <c r="A56" s="12" t="n">
        <v>50</v>
      </c>
      <c r="B56" s="9" t="n"/>
      <c r="C56" s="9" t="n"/>
      <c r="D56" s="9" t="n"/>
      <c r="E56" s="10" t="n"/>
      <c r="F56" s="13" t="n"/>
      <c r="G56" s="14">
        <f>IF(D56="","",IFERROR(VLOOKUP(D56,Tasas!$A$2:$B$10,2,FALSE),0))</f>
        <v/>
      </c>
      <c r="H56" s="15">
        <f>IF(F56="","",F56*G56)</f>
        <v/>
      </c>
      <c r="I56" s="16">
        <f>IF(E56="","",MAX(0,($G$4-E56)/365))</f>
        <v/>
      </c>
      <c r="J56" s="15">
        <f>IF(F56="","",MIN(F56,H56*I56))</f>
        <v/>
      </c>
      <c r="K56" s="15">
        <f>IF(F56="","",F56-J56)</f>
        <v/>
      </c>
      <c r="L56" s="9" t="n"/>
    </row>
    <row r="57">
      <c r="E57" s="17" t="inlineStr">
        <is>
          <t>TOTAL</t>
        </is>
      </c>
      <c r="F57" s="18">
        <f>SUM(F7:F56)</f>
        <v/>
      </c>
      <c r="H57" s="18">
        <f>SUM(H7:H56)</f>
        <v/>
      </c>
      <c r="J57" s="18">
        <f>SUM(J7:J56)</f>
        <v/>
      </c>
      <c r="K57" s="18">
        <f>SUM(K7:K56)</f>
        <v/>
      </c>
    </row>
  </sheetData>
  <mergeCells count="5">
    <mergeCell ref="G4:H4"/>
    <mergeCell ref="A1:J1"/>
    <mergeCell ref="B4:D4"/>
    <mergeCell ref="K1:L2"/>
    <mergeCell ref="A2:J2"/>
  </mergeCells>
  <dataValidations count="1">
    <dataValidation sqref="D7:D56" showDropDown="0" showInputMessage="0" showErrorMessage="0" allowBlank="1" type="list">
      <formula1>"Mobiliario y equipo de oficina,Equipo de cómputo,Automóviles,Maquinaria y equipo,Equipo de comunicación,Edificios,Herramientas,Otros"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9" t="inlineStr">
        <is>
          <t>Categoría</t>
        </is>
      </c>
      <c r="B1" s="19" t="inlineStr">
        <is>
          <t>Tasa anual (ref.)</t>
        </is>
      </c>
    </row>
    <row r="2">
      <c r="A2" t="inlineStr">
        <is>
          <t>Mobiliario y equipo de oficina</t>
        </is>
      </c>
      <c r="B2" s="20" t="n">
        <v>0.1</v>
      </c>
    </row>
    <row r="3">
      <c r="A3" t="inlineStr">
        <is>
          <t>Equipo de cómputo</t>
        </is>
      </c>
      <c r="B3" s="20" t="n">
        <v>0.3</v>
      </c>
    </row>
    <row r="4">
      <c r="A4" t="inlineStr">
        <is>
          <t>Automóviles</t>
        </is>
      </c>
      <c r="B4" s="20" t="n">
        <v>0.25</v>
      </c>
    </row>
    <row r="5">
      <c r="A5" t="inlineStr">
        <is>
          <t>Maquinaria y equipo</t>
        </is>
      </c>
      <c r="B5" s="20" t="n">
        <v>0.1</v>
      </c>
    </row>
    <row r="6">
      <c r="A6" t="inlineStr">
        <is>
          <t>Equipo de comunicación</t>
        </is>
      </c>
      <c r="B6" s="20" t="n">
        <v>0.1</v>
      </c>
    </row>
    <row r="7">
      <c r="A7" t="inlineStr">
        <is>
          <t>Edificios</t>
        </is>
      </c>
      <c r="B7" s="20" t="n">
        <v>0.05</v>
      </c>
    </row>
    <row r="8">
      <c r="A8" t="inlineStr">
        <is>
          <t>Herramientas</t>
        </is>
      </c>
      <c r="B8" s="20" t="n">
        <v>0.35</v>
      </c>
    </row>
    <row r="9">
      <c r="A9" t="inlineStr">
        <is>
          <t>Otros</t>
        </is>
      </c>
      <c r="B9" s="20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1">
      <c r="B1" s="21" t="inlineStr">
        <is>
          <t>Activos fijos</t>
        </is>
      </c>
    </row>
    <row r="2">
      <c r="B2" s="22" t="inlineStr">
        <is>
          <t>Guía de uso</t>
        </is>
      </c>
    </row>
    <row r="4">
      <c r="A4" s="23" t="n">
        <v>1</v>
      </c>
      <c r="B4" s="24" t="inlineStr">
        <is>
          <t>Registra cada activo con fecha de adquisición, costo (sin IVA) y categoría.</t>
        </is>
      </c>
    </row>
    <row r="5">
      <c r="A5" s="23" t="n">
        <v>2</v>
      </c>
      <c r="B5" s="24" t="inlineStr">
        <is>
          <t>La tasa se toma de la hoja 'Tasas' (referencia de porcentajes máximos de la LISR); edítala según tu criterio contable.</t>
        </is>
      </c>
    </row>
    <row r="6">
      <c r="A6" s="23" t="n">
        <v>3</v>
      </c>
      <c r="B6" s="24" t="inlineStr">
        <is>
          <t>Depreciación acumulada = depreciación anual x años en uso, sin exceder el costo.</t>
        </is>
      </c>
    </row>
    <row r="7">
      <c r="A7" s="23" t="n">
        <v>4</v>
      </c>
      <c r="B7" s="24" t="inlineStr">
        <is>
          <t>Es una herramienta de control administrativo; consulta a tu contador para efectos fiscales.</t>
        </is>
      </c>
    </row>
    <row r="8">
      <c r="A8" s="23" t="n">
        <v>5</v>
      </c>
      <c r="B8" s="24" t="inlineStr">
        <is>
          <t>Personaliza: en el recuadro punteado de la esquina superior derecha inserta tu logo (Insertar &gt; Imágenes) y captura los datos de tu empresa en las celdas amarillas.</t>
        </is>
      </c>
    </row>
    <row r="10">
      <c r="B10" s="25" t="inlineStr">
        <is>
          <t>Celdas amarillas = captura · Celdas grises = cálculo automático (no modificar).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2026-10-07T17:49:16Z</dcterms:created>
  <dcterms:modified xmlns:dcterms="http://purl.org/dc/terms/" xmlns:xsi="http://www.w3.org/2001/XMLSchema-instance" xsi:type="dcterms:W3CDTF">2026-10-07T17:49:16Z</dcterms:modified>
</cp:coreProperties>
</file>