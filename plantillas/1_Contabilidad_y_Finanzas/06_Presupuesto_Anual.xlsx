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6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1B6B73"/>
    </font>
    <font>
      <name val="Abadi"/>
      <b val="1"/>
      <color rgb="00FFFFFF"/>
    </font>
    <font>
      <name val="Abadi"/>
      <b val="1"/>
    </font>
    <font>
      <name val="Abadi"/>
      <b val="1"/>
      <color rgb="001B6B73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1B6B73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1B6B73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1B6B73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17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25" fillId="2" borderId="0" pivotButton="0" quotePrefix="0" xfId="0"/>
    <xf numFmtId="0" fontId="9" fillId="2" borderId="0" pivotButton="0" quotePrefix="0" xfId="0"/>
    <xf numFmtId="0" fontId="10" fillId="2" borderId="0" applyAlignment="1" pivotButton="0" quotePrefix="0" xfId="0">
      <alignment horizontal="right" vertical="center"/>
    </xf>
    <xf numFmtId="0" fontId="25" fillId="0" borderId="0" pivotButton="0" quotePrefix="0" xfId="0"/>
    <xf numFmtId="0" fontId="11" fillId="2" borderId="0" applyAlignment="1" pivotButton="0" quotePrefix="0" xfId="0">
      <alignment vertical="center" wrapText="1"/>
    </xf>
    <xf numFmtId="0" fontId="12" fillId="2" borderId="0" pivotButton="0" quotePrefix="0" xfId="0"/>
    <xf numFmtId="0" fontId="13" fillId="2" borderId="14" applyAlignment="1" pivotButton="0" quotePrefix="0" xfId="0">
      <alignment horizontal="center" vertical="center"/>
    </xf>
    <xf numFmtId="0" fontId="25" fillId="0" borderId="15" pivotButton="0" quotePrefix="0" xfId="0"/>
    <xf numFmtId="0" fontId="14" fillId="0" borderId="1" pivotButton="0" quotePrefix="0" xfId="0"/>
    <xf numFmtId="0" fontId="25" fillId="0" borderId="1" pivotButton="0" quotePrefix="0" xfId="0"/>
    <xf numFmtId="0" fontId="9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5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5" fillId="4" borderId="7" applyProtection="1" pivotButton="0" quotePrefix="0" xfId="0">
      <protection locked="0" hidden="0"/>
    </xf>
    <xf numFmtId="0" fontId="19" fillId="0" borderId="0" pivotButton="0" quotePrefix="0" xfId="0"/>
    <xf numFmtId="0" fontId="25" fillId="5" borderId="7" pivotButton="0" quotePrefix="0" xfId="0"/>
    <xf numFmtId="0" fontId="25" fillId="2" borderId="7" pivotButton="0" quotePrefix="0" xfId="0"/>
    <xf numFmtId="0" fontId="2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5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5" fillId="0" borderId="2" pivotButton="0" quotePrefix="0" xfId="0"/>
    <xf numFmtId="0" fontId="25" fillId="0" borderId="5" pivotButton="0" quotePrefix="0" xfId="0"/>
    <xf numFmtId="0" fontId="25" fillId="0" borderId="6" pivotButton="0" quotePrefix="0" xfId="0"/>
    <xf numFmtId="0" fontId="4" fillId="3" borderId="7" pivotButton="0" quotePrefix="0" xfId="0"/>
    <xf numFmtId="0" fontId="5" fillId="2" borderId="7" applyAlignment="1" pivotButton="0" quotePrefix="0" xfId="0">
      <alignment horizontal="center" vertical="center" wrapText="1"/>
    </xf>
    <xf numFmtId="0" fontId="6" fillId="0" borderId="7" pivotButton="0" quotePrefix="0" xfId="0"/>
    <xf numFmtId="164" fontId="25" fillId="4" borderId="7" applyProtection="1" pivotButton="0" quotePrefix="0" xfId="0">
      <protection locked="0" hidden="0"/>
    </xf>
    <xf numFmtId="164" fontId="25" fillId="5" borderId="7" pivotButton="0" quotePrefix="0" xfId="0"/>
    <xf numFmtId="9" fontId="25" fillId="5" borderId="7" pivotButton="0" quotePrefix="0" xfId="0"/>
    <xf numFmtId="0" fontId="25" fillId="0" borderId="7" pivotButton="0" quotePrefix="0" xfId="0"/>
    <xf numFmtId="0" fontId="25" fillId="0" borderId="8" pivotButton="0" quotePrefix="0" xfId="0"/>
    <xf numFmtId="0" fontId="25" fillId="0" borderId="9" pivotButton="0" quotePrefix="0" xfId="0"/>
    <xf numFmtId="0" fontId="7" fillId="3" borderId="10" applyAlignment="1" pivotButton="0" quotePrefix="0" xfId="0">
      <alignment horizontal="center" vertical="center"/>
    </xf>
    <xf numFmtId="0" fontId="25" fillId="3" borderId="11" pivotButton="0" quotePrefix="0" xfId="0"/>
    <xf numFmtId="164" fontId="8" fillId="6" borderId="12" applyAlignment="1" pivotButton="0" quotePrefix="0" xfId="0">
      <alignment horizontal="center" vertical="center"/>
    </xf>
    <xf numFmtId="0" fontId="25" fillId="6" borderId="13" pivotButton="0" quotePrefix="0" xfId="0"/>
    <xf numFmtId="0" fontId="21" fillId="2" borderId="0" applyAlignment="1" pivotButton="0" quotePrefix="0" xfId="0">
      <alignment vertical="center"/>
    </xf>
    <xf numFmtId="0" fontId="22" fillId="2" borderId="0" pivotButton="0" quotePrefix="0" xfId="0"/>
    <xf numFmtId="0" fontId="15" fillId="0" borderId="16" applyAlignment="1" pivotButton="0" quotePrefix="0" xfId="0">
      <alignment vertical="top" wrapText="1"/>
    </xf>
    <xf numFmtId="0" fontId="16" fillId="0" borderId="16" applyAlignment="1" pivotButton="0" quotePrefix="0" xfId="0">
      <alignment vertical="top" wrapText="1"/>
    </xf>
    <xf numFmtId="0" fontId="23" fillId="0" borderId="16" pivotButton="0" quotePrefix="0" xfId="0"/>
    <xf numFmtId="0" fontId="16" fillId="0" borderId="16" applyAlignment="1" pivotButton="0" quotePrefix="0" xfId="0">
      <alignment vertical="center" wrapText="1"/>
    </xf>
    <xf numFmtId="0" fontId="24" fillId="4" borderId="7" applyAlignment="1" applyProtection="1" pivotButton="0" quotePrefix="0" xfId="0">
      <alignment horizontal="center"/>
      <protection locked="0" hidden="0"/>
    </xf>
    <xf numFmtId="0" fontId="16" fillId="0" borderId="0" pivotButton="0" quotePrefix="0" xfId="0"/>
  </cellXfs>
  <cellStyles count="1">
    <cellStyle name="Normal" xfId="0" builtinId="0" hidden="0"/>
  </cellStyles>
  <dxfs count="1">
    <dxf>
      <font>
        <name val="Abadi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vs. real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'RESUMEN'!C8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'RESUMEN'!$B$9:$B$18</f>
            </numRef>
          </cat>
          <val>
            <numRef>
              <f>'RESUMEN'!$C$9:$C$18</f>
            </numRef>
          </val>
        </ser>
        <ser>
          <idx val="1"/>
          <order val="1"/>
          <tx>
            <strRef>
              <f>'RESUMEN'!D8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solidFill>
                <a:srgbClr val="C9A227"/>
              </a:solidFill>
              <a:prstDash val="solid"/>
            </a:ln>
          </spPr>
          <cat>
            <numRef>
              <f>'RESUMEN'!$B$9:$B$18</f>
            </numRef>
          </cat>
          <val>
            <numRef>
              <f>'RESUMEN'!$D$9:$D$18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84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GRUPO CANVILLE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PRESUPUESTO ANUAL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E16" s="4" t="n"/>
      <c r="F16" s="4" t="n"/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E17" s="4" t="n"/>
      <c r="F17" s="4" t="n"/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CÓMO USARLO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15" t="n">
        <v>1</v>
      </c>
      <c r="C21" s="13" t="inlineStr">
        <is>
          <t>Por cada concepto hay dos renglones: Presup. (lo planeado) y Real (lo ejercido).</t>
        </is>
      </c>
      <c r="D21" s="4" t="n"/>
      <c r="E21" s="4" t="n"/>
      <c r="F21" s="4" t="n"/>
      <c r="G21" s="4" t="n"/>
    </row>
    <row r="22" ht="21" customHeight="1">
      <c r="A22" s="4" t="n"/>
      <c r="B22" s="15" t="n">
        <v>2</v>
      </c>
      <c r="C22" s="13" t="inlineStr">
        <is>
          <t>Captura mes a mes. La columna Variación muestra Real - Presupuesto del primer renglón de cada concepto.</t>
        </is>
      </c>
      <c r="D22" s="4" t="n"/>
      <c r="E22" s="4" t="n"/>
      <c r="F22" s="4" t="n"/>
      <c r="G22" s="4" t="n"/>
    </row>
    <row r="23" ht="36" customHeight="1">
      <c r="A23" s="4" t="n"/>
      <c r="B23" s="15" t="n">
        <v>3</v>
      </c>
      <c r="C23" s="13" t="inlineStr">
        <is>
          <t>En gastos, una variación positiva (rojo) significa que te pasaste del presupuesto; en ventas, positiva es favorable.</t>
        </is>
      </c>
      <c r="D23" s="4" t="n"/>
      <c r="E23" s="4" t="n"/>
      <c r="F23" s="4" t="n"/>
      <c r="G23" s="4" t="n"/>
    </row>
    <row r="24" ht="21" customHeight="1">
      <c r="A24" s="4" t="n"/>
      <c r="B24" s="15" t="n">
        <v>4</v>
      </c>
      <c r="C24" s="13" t="inlineStr">
        <is>
          <t>El % de ejecución indica qué parte del presupuesto anual ya se ejerció.</t>
        </is>
      </c>
      <c r="D24" s="4" t="n"/>
      <c r="E24" s="4" t="n"/>
      <c r="F24" s="4" t="n"/>
      <c r="G24" s="4" t="n"/>
    </row>
    <row r="25" ht="36" customHeight="1">
      <c r="A25" s="4" t="n"/>
      <c r="B25" s="15" t="n">
        <v>5</v>
      </c>
      <c r="C25" s="13" t="inlineStr">
        <is>
          <t>Personaliza: inserta tu logotipo en el recuadro punteado de la esquina superior derecha (Insertar &gt; Imágenes) y captura los datos de tu empresa en las celdas de captura.</t>
        </is>
      </c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RECOMENDACIONES DE USO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Parte de los resultados del año anterior y ajusta por inflación y metas de ventas.</t>
        </is>
      </c>
      <c r="D28" s="4" t="n"/>
      <c r="E28" s="4" t="n"/>
      <c r="F28" s="4" t="n"/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Revisa la variación cada mes y toma acciones si pasa del 10%.</t>
        </is>
      </c>
      <c r="D29" s="4" t="n"/>
      <c r="E29" s="4" t="n"/>
      <c r="F29" s="4" t="n"/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Separa gastos fijos y variables para identificar dónde puedes ahorrar.</t>
        </is>
      </c>
      <c r="D30" s="4" t="n"/>
      <c r="E30" s="4" t="n"/>
      <c r="F30" s="4" t="n"/>
      <c r="G30" s="4" t="n"/>
    </row>
    <row r="31" ht="21" customHeight="1">
      <c r="A31" s="4" t="n"/>
      <c r="B31" s="16" t="inlineStr">
        <is>
          <t>✓</t>
        </is>
      </c>
      <c r="C31" s="13" t="inlineStr">
        <is>
          <t>Actualiza la proyección trimestralmente (reforecast).</t>
        </is>
      </c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 ht="24" customHeight="1">
      <c r="A33" s="4" t="n"/>
      <c r="B33" s="9" t="inlineStr">
        <is>
          <t>LEYENDA DE COLORES</t>
        </is>
      </c>
      <c r="C33" s="10" t="n"/>
      <c r="D33" s="10" t="n"/>
      <c r="E33" s="10" t="n"/>
      <c r="F33" s="10" t="n"/>
      <c r="G33" s="4" t="n"/>
    </row>
    <row r="34">
      <c r="A34" s="4" t="n"/>
      <c r="B34" s="17" t="inlineStr"/>
      <c r="C34" s="18" t="inlineStr">
        <is>
          <t>CELDA DE CAPTURA: escribe aquí.</t>
        </is>
      </c>
      <c r="D34" s="4" t="n"/>
      <c r="E34" s="4" t="n"/>
      <c r="F34" s="4" t="n"/>
      <c r="G34" s="4" t="n"/>
    </row>
    <row r="35">
      <c r="A35" s="4" t="n"/>
      <c r="B35" s="19" t="inlineStr"/>
      <c r="C35" s="18" t="inlineStr">
        <is>
          <t>CÁLCULO AUTOMÁTICO: no la modifiques.</t>
        </is>
      </c>
      <c r="D35" s="4" t="n"/>
      <c r="E35" s="4" t="n"/>
      <c r="F35" s="4" t="n"/>
      <c r="G35" s="4" t="n"/>
    </row>
    <row r="36">
      <c r="A36" s="4" t="n"/>
      <c r="B36" s="20" t="inlineStr"/>
      <c r="C36" s="18" t="inlineStr">
        <is>
          <t>ENCABEZADOS Y TÍTULOS.</t>
        </is>
      </c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 ht="26" customHeight="1">
      <c r="A38" s="1" t="n"/>
      <c r="B38" s="21" t="inlineStr">
        <is>
          <t>GRUPO CANVILLE  ·  Formatos administrativos  ·  Para uso interno de tu empresa</t>
        </is>
      </c>
      <c r="C38" s="4" t="n"/>
      <c r="D38" s="4" t="n"/>
      <c r="E38" s="4" t="n"/>
      <c r="F38" s="4" t="n"/>
      <c r="G3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C22:F22"/>
    <mergeCell ref="C31:F31"/>
    <mergeCell ref="C23:F23"/>
    <mergeCell ref="B6:F6"/>
    <mergeCell ref="B38:F38"/>
    <mergeCell ref="E2:F2"/>
    <mergeCell ref="D18:F18"/>
    <mergeCell ref="C21:F21"/>
    <mergeCell ref="C29:F29"/>
    <mergeCell ref="D17:F17"/>
    <mergeCell ref="C30:F30"/>
    <mergeCell ref="D16:F16"/>
    <mergeCell ref="C25:F25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Q2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1" customWidth="1" min="17" max="17"/>
  </cols>
  <sheetData>
    <row r="1" ht="44" customHeight="1">
      <c r="A1" s="22" t="inlineStr">
        <is>
          <t>PRESUPUESTO ANUAL: PRESUPUESTADO VS REAL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23" t="inlineStr">
        <is>
          <t>INSERTE SU LOGO
(clic derecho &gt; Insertar imagen)</t>
        </is>
      </c>
      <c r="Q1" s="24" t="n"/>
    </row>
    <row r="2" ht="26" customHeight="1">
      <c r="A2" s="25" t="inlineStr">
        <is>
          <t>Captura presupuesto y gasto real por mes; la variación se calcula sola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7" t="n"/>
      <c r="Q2" s="28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29" t="inlineStr">
        <is>
          <t>EMPRESA / ÁREA</t>
        </is>
      </c>
      <c r="B4" s="17" t="n"/>
      <c r="C4" s="17" t="n"/>
      <c r="D4" s="17" t="n"/>
      <c r="E4" s="4" t="n"/>
      <c r="F4" s="29" t="inlineStr">
        <is>
          <t>AÑO</t>
        </is>
      </c>
      <c r="G4" s="17" t="n">
        <v>2026</v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 ht="32" customHeight="1">
      <c r="A7" s="30" t="inlineStr">
        <is>
          <t>CONCEPTO</t>
        </is>
      </c>
      <c r="B7" s="30" t="inlineStr">
        <is>
          <t>ENE</t>
        </is>
      </c>
      <c r="C7" s="30" t="inlineStr">
        <is>
          <t>FEB</t>
        </is>
      </c>
      <c r="D7" s="30" t="inlineStr">
        <is>
          <t>MAR</t>
        </is>
      </c>
      <c r="E7" s="30" t="inlineStr">
        <is>
          <t>ABR</t>
        </is>
      </c>
      <c r="F7" s="30" t="inlineStr">
        <is>
          <t>MAY</t>
        </is>
      </c>
      <c r="G7" s="30" t="inlineStr">
        <is>
          <t>JUN</t>
        </is>
      </c>
      <c r="H7" s="30" t="inlineStr">
        <is>
          <t>JUL</t>
        </is>
      </c>
      <c r="I7" s="30" t="inlineStr">
        <is>
          <t>AGO</t>
        </is>
      </c>
      <c r="J7" s="30" t="inlineStr">
        <is>
          <t>SEP</t>
        </is>
      </c>
      <c r="K7" s="30" t="inlineStr">
        <is>
          <t>OCT</t>
        </is>
      </c>
      <c r="L7" s="30" t="inlineStr">
        <is>
          <t>NOV</t>
        </is>
      </c>
      <c r="M7" s="30" t="inlineStr">
        <is>
          <t>DIC</t>
        </is>
      </c>
      <c r="N7" s="30" t="inlineStr">
        <is>
          <t>PRESUP. ANUAL</t>
        </is>
      </c>
      <c r="O7" s="30" t="inlineStr">
        <is>
          <t>REAL ANUAL</t>
        </is>
      </c>
      <c r="P7" s="30" t="inlineStr">
        <is>
          <t>VARIACIÓN</t>
        </is>
      </c>
      <c r="Q7" s="30" t="inlineStr">
        <is>
          <t>% EJEC.</t>
        </is>
      </c>
    </row>
    <row r="8">
      <c r="A8" s="31" t="inlineStr">
        <is>
          <t>VENTAS - PRESUP.</t>
        </is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3">
        <f>SUM(B8:M8)</f>
        <v/>
      </c>
      <c r="O8" s="33">
        <f>SUM(B9:M9)</f>
        <v/>
      </c>
      <c r="P8" s="33">
        <f>O8-N8</f>
        <v/>
      </c>
      <c r="Q8" s="34">
        <f>IF(N8=0,"",O8/N8)</f>
        <v/>
      </c>
    </row>
    <row r="9">
      <c r="A9" s="35" t="inlineStr">
        <is>
          <t>VENTAS - REAL</t>
        </is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4" t="n"/>
      <c r="O9" s="4" t="n"/>
      <c r="P9" s="4" t="n"/>
      <c r="Q9" s="4" t="n"/>
    </row>
    <row r="10">
      <c r="A10" s="31" t="inlineStr">
        <is>
          <t>COSTO DE VENTAS - PRESUP.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3">
        <f>SUM(B10:M10)</f>
        <v/>
      </c>
      <c r="O10" s="33">
        <f>SUM(B11:M11)</f>
        <v/>
      </c>
      <c r="P10" s="33">
        <f>O10-N10</f>
        <v/>
      </c>
      <c r="Q10" s="34">
        <f>IF(N10=0,"",O10/N10)</f>
        <v/>
      </c>
    </row>
    <row r="11">
      <c r="A11" s="35" t="inlineStr">
        <is>
          <t>COSTO DE VENTAS - REAL</t>
        </is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4" t="n"/>
      <c r="O11" s="4" t="n"/>
      <c r="P11" s="4" t="n"/>
      <c r="Q11" s="4" t="n"/>
    </row>
    <row r="12">
      <c r="A12" s="31" t="inlineStr">
        <is>
          <t>SUELDOS Y SALARIOS - PRESUP.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3">
        <f>SUM(B12:M12)</f>
        <v/>
      </c>
      <c r="O12" s="33">
        <f>SUM(B13:M13)</f>
        <v/>
      </c>
      <c r="P12" s="33">
        <f>O12-N12</f>
        <v/>
      </c>
      <c r="Q12" s="34">
        <f>IF(N12=0,"",O12/N12)</f>
        <v/>
      </c>
    </row>
    <row r="13">
      <c r="A13" s="35" t="inlineStr">
        <is>
          <t>SUELDOS Y SALARIOS - REAL</t>
        </is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4" t="n"/>
      <c r="O13" s="4" t="n"/>
      <c r="P13" s="4" t="n"/>
      <c r="Q13" s="4" t="n"/>
    </row>
    <row r="14">
      <c r="A14" s="31" t="inlineStr">
        <is>
          <t>RENTA - PRESUP.</t>
        </is>
      </c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3">
        <f>SUM(B14:M14)</f>
        <v/>
      </c>
      <c r="O14" s="33">
        <f>SUM(B15:M15)</f>
        <v/>
      </c>
      <c r="P14" s="33">
        <f>O14-N14</f>
        <v/>
      </c>
      <c r="Q14" s="34">
        <f>IF(N14=0,"",O14/N14)</f>
        <v/>
      </c>
    </row>
    <row r="15">
      <c r="A15" s="35" t="inlineStr">
        <is>
          <t>RENTA - REAL</t>
        </is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4" t="n"/>
      <c r="O15" s="4" t="n"/>
      <c r="P15" s="4" t="n"/>
      <c r="Q15" s="4" t="n"/>
    </row>
    <row r="16">
      <c r="A16" s="31" t="inlineStr">
        <is>
          <t>SERVICIOS - PRESUP.</t>
        </is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3">
        <f>SUM(B16:M16)</f>
        <v/>
      </c>
      <c r="O16" s="33">
        <f>SUM(B17:M17)</f>
        <v/>
      </c>
      <c r="P16" s="33">
        <f>O16-N16</f>
        <v/>
      </c>
      <c r="Q16" s="34">
        <f>IF(N16=0,"",O16/N16)</f>
        <v/>
      </c>
    </row>
    <row r="17">
      <c r="A17" s="35" t="inlineStr">
        <is>
          <t>SERVICIOS - REAL</t>
        </is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4" t="n"/>
      <c r="O17" s="4" t="n"/>
      <c r="P17" s="4" t="n"/>
      <c r="Q17" s="4" t="n"/>
    </row>
    <row r="18">
      <c r="A18" s="31" t="inlineStr">
        <is>
          <t>PUBLICIDAD Y MERCADOTECNIA - PRESUP.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3">
        <f>SUM(B18:M18)</f>
        <v/>
      </c>
      <c r="O18" s="33">
        <f>SUM(B19:M19)</f>
        <v/>
      </c>
      <c r="P18" s="33">
        <f>O18-N18</f>
        <v/>
      </c>
      <c r="Q18" s="34">
        <f>IF(N18=0,"",O18/N18)</f>
        <v/>
      </c>
    </row>
    <row r="19">
      <c r="A19" s="35" t="inlineStr">
        <is>
          <t>PUBLICIDAD Y MERCADOTECNIA - REAL</t>
        </is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4" t="n"/>
      <c r="O19" s="4" t="n"/>
      <c r="P19" s="4" t="n"/>
      <c r="Q19" s="4" t="n"/>
    </row>
    <row r="20">
      <c r="A20" s="31" t="inlineStr">
        <is>
          <t>MANTENIMIENTO - PRESUP.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3">
        <f>SUM(B20:M20)</f>
        <v/>
      </c>
      <c r="O20" s="33">
        <f>SUM(B21:M21)</f>
        <v/>
      </c>
      <c r="P20" s="33">
        <f>O20-N20</f>
        <v/>
      </c>
      <c r="Q20" s="34">
        <f>IF(N20=0,"",O20/N20)</f>
        <v/>
      </c>
    </row>
    <row r="21">
      <c r="A21" s="35" t="inlineStr">
        <is>
          <t>MANTENIMIENTO - REAL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4" t="n"/>
      <c r="O21" s="4" t="n"/>
      <c r="P21" s="4" t="n"/>
      <c r="Q21" s="4" t="n"/>
    </row>
    <row r="22">
      <c r="A22" s="31" t="inlineStr">
        <is>
          <t>PAPELERÍA Y OFICINA - PRESUP.</t>
        </is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3">
        <f>SUM(B22:M22)</f>
        <v/>
      </c>
      <c r="O22" s="33">
        <f>SUM(B23:M23)</f>
        <v/>
      </c>
      <c r="P22" s="33">
        <f>O22-N22</f>
        <v/>
      </c>
      <c r="Q22" s="34">
        <f>IF(N22=0,"",O22/N22)</f>
        <v/>
      </c>
    </row>
    <row r="23">
      <c r="A23" s="35" t="inlineStr">
        <is>
          <t>PAPELERÍA Y OFICINA - REAL</t>
        </is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4" t="n"/>
      <c r="O23" s="4" t="n"/>
      <c r="P23" s="4" t="n"/>
      <c r="Q23" s="4" t="n"/>
    </row>
    <row r="24">
      <c r="A24" s="31" t="inlineStr">
        <is>
          <t>IMPUESTOS Y DERECHOS - PRESUP.</t>
        </is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3">
        <f>SUM(B24:M24)</f>
        <v/>
      </c>
      <c r="O24" s="33">
        <f>SUM(B25:M25)</f>
        <v/>
      </c>
      <c r="P24" s="33">
        <f>O24-N24</f>
        <v/>
      </c>
      <c r="Q24" s="34">
        <f>IF(N24=0,"",O24/N24)</f>
        <v/>
      </c>
    </row>
    <row r="25">
      <c r="A25" s="35" t="inlineStr">
        <is>
          <t>IMPUESTOS Y DERECHOS - REAL</t>
        </is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4" t="n"/>
      <c r="O25" s="4" t="n"/>
      <c r="P25" s="4" t="n"/>
      <c r="Q25" s="4" t="n"/>
    </row>
    <row r="26">
      <c r="A26" s="31" t="inlineStr">
        <is>
          <t>OTROS GASTOS - PRESUP.</t>
        </is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3">
        <f>SUM(B26:M26)</f>
        <v/>
      </c>
      <c r="O26" s="33">
        <f>SUM(B27:M27)</f>
        <v/>
      </c>
      <c r="P26" s="33">
        <f>O26-N26</f>
        <v/>
      </c>
      <c r="Q26" s="34">
        <f>IF(N26=0,"",O26/N26)</f>
        <v/>
      </c>
    </row>
    <row r="27">
      <c r="A27" s="35" t="inlineStr">
        <is>
          <t>OTROS GASTOS - REAL</t>
        </is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4" t="n"/>
      <c r="O27" s="4" t="n"/>
      <c r="P27" s="4" t="n"/>
      <c r="Q2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1:O1"/>
    <mergeCell ref="B4:D4"/>
    <mergeCell ref="P1:Q2"/>
    <mergeCell ref="A2:O2"/>
  </mergeCells>
  <conditionalFormatting sqref="P8:P28">
    <cfRule type="cellIs" priority="1" operator="greaterThan" dxfId="0">
      <formula>0</formula>
    </cfRule>
  </conditionalFormatting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DEL PRESUPUESTO</t>
        </is>
      </c>
      <c r="B1" s="1" t="n"/>
      <c r="C1" s="1" t="n"/>
      <c r="D1" s="1" t="n"/>
      <c r="E1" s="1" t="n"/>
      <c r="F1" s="1" t="n"/>
      <c r="G1" s="1" t="n"/>
      <c r="H1" s="23" t="inlineStr">
        <is>
          <t>INSERTE SU LOGO
(clic derecho &gt; Insertar imagen)</t>
        </is>
      </c>
      <c r="I1" s="36" t="n"/>
      <c r="J1" s="24" t="n"/>
    </row>
    <row r="2" ht="26" customHeight="1">
      <c r="A2" s="25" t="inlineStr">
        <is>
          <t>Presupuestado vs. real por concepto</t>
        </is>
      </c>
      <c r="B2" s="26" t="n"/>
      <c r="C2" s="26" t="n"/>
      <c r="D2" s="26" t="n"/>
      <c r="E2" s="26" t="n"/>
      <c r="F2" s="26" t="n"/>
      <c r="G2" s="26" t="n"/>
      <c r="H2" s="27" t="n"/>
      <c r="I2" s="37" t="n"/>
      <c r="J2" s="28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38" t="inlineStr">
        <is>
          <t>VENTAS PRESUPUESTADAS</t>
        </is>
      </c>
      <c r="C4" s="39" t="n"/>
      <c r="D4" s="38" t="inlineStr">
        <is>
          <t>VENTAS REALES</t>
        </is>
      </c>
      <c r="E4" s="39" t="n"/>
      <c r="F4" s="38" t="inlineStr">
        <is>
          <t>GASTO PRESUPUESTADO</t>
        </is>
      </c>
      <c r="G4" s="39" t="n"/>
      <c r="H4" s="38" t="inlineStr">
        <is>
          <t>GASTO REAL</t>
        </is>
      </c>
      <c r="I4" s="39" t="n"/>
      <c r="J4" s="4" t="n"/>
    </row>
    <row r="5" ht="36" customHeight="1">
      <c r="A5" s="4" t="n"/>
      <c r="B5" s="40">
        <f>C9</f>
        <v/>
      </c>
      <c r="C5" s="41" t="n"/>
      <c r="D5" s="40">
        <f>D9</f>
        <v/>
      </c>
      <c r="E5" s="41" t="n"/>
      <c r="F5" s="40">
        <f>SUM(C10:C18)</f>
        <v/>
      </c>
      <c r="G5" s="41" t="n"/>
      <c r="H5" s="40">
        <f>SUM(D10:D18)</f>
        <v/>
      </c>
      <c r="I5" s="41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32" customHeight="1">
      <c r="A8" s="4" t="n"/>
      <c r="B8" s="30" t="inlineStr">
        <is>
          <t>CONCEPTO</t>
        </is>
      </c>
      <c r="C8" s="30" t="inlineStr">
        <is>
          <t>PRESUPUESTO</t>
        </is>
      </c>
      <c r="D8" s="30" t="inlineStr">
        <is>
          <t>REAL</t>
        </is>
      </c>
      <c r="E8" s="30" t="inlineStr">
        <is>
          <t>VARIACIÓN</t>
        </is>
      </c>
      <c r="F8" s="30" t="inlineStr">
        <is>
          <t>% EJEC.</t>
        </is>
      </c>
      <c r="G8" s="4" t="n"/>
      <c r="H8" s="4" t="n"/>
      <c r="I8" s="4" t="n"/>
      <c r="J8" s="4" t="n"/>
    </row>
    <row r="9">
      <c r="A9" s="4" t="n"/>
      <c r="B9" s="35" t="inlineStr">
        <is>
          <t>VENTAS</t>
        </is>
      </c>
      <c r="C9" s="33">
        <f>FORMATO!N8</f>
        <v/>
      </c>
      <c r="D9" s="33">
        <f>FORMATO!O8</f>
        <v/>
      </c>
      <c r="E9" s="33">
        <f>D9-C9</f>
        <v/>
      </c>
      <c r="F9" s="34">
        <f>IF(C9=0,"",D9/C9)</f>
        <v/>
      </c>
      <c r="G9" s="4" t="n"/>
      <c r="H9" s="4" t="n"/>
      <c r="I9" s="4" t="n"/>
      <c r="J9" s="4" t="n"/>
    </row>
    <row r="10">
      <c r="A10" s="4" t="n"/>
      <c r="B10" s="35" t="inlineStr">
        <is>
          <t>COSTO DE VENTAS</t>
        </is>
      </c>
      <c r="C10" s="33">
        <f>FORMATO!N10</f>
        <v/>
      </c>
      <c r="D10" s="33">
        <f>FORMATO!O10</f>
        <v/>
      </c>
      <c r="E10" s="33">
        <f>D10-C10</f>
        <v/>
      </c>
      <c r="F10" s="34">
        <f>IF(C10=0,"",D10/C10)</f>
        <v/>
      </c>
      <c r="G10" s="4" t="n"/>
      <c r="H10" s="4" t="n"/>
      <c r="I10" s="4" t="n"/>
      <c r="J10" s="4" t="n"/>
    </row>
    <row r="11">
      <c r="A11" s="4" t="n"/>
      <c r="B11" s="35" t="inlineStr">
        <is>
          <t>SUELDOS Y SALARIOS</t>
        </is>
      </c>
      <c r="C11" s="33">
        <f>FORMATO!N12</f>
        <v/>
      </c>
      <c r="D11" s="33">
        <f>FORMATO!O12</f>
        <v/>
      </c>
      <c r="E11" s="33">
        <f>D11-C11</f>
        <v/>
      </c>
      <c r="F11" s="34">
        <f>IF(C11=0,"",D11/C11)</f>
        <v/>
      </c>
      <c r="G11" s="4" t="n"/>
      <c r="H11" s="4" t="n"/>
      <c r="I11" s="4" t="n"/>
      <c r="J11" s="4" t="n"/>
    </row>
    <row r="12">
      <c r="A12" s="4" t="n"/>
      <c r="B12" s="35" t="inlineStr">
        <is>
          <t>RENTA</t>
        </is>
      </c>
      <c r="C12" s="33">
        <f>FORMATO!N14</f>
        <v/>
      </c>
      <c r="D12" s="33">
        <f>FORMATO!O14</f>
        <v/>
      </c>
      <c r="E12" s="33">
        <f>D12-C12</f>
        <v/>
      </c>
      <c r="F12" s="34">
        <f>IF(C12=0,"",D12/C12)</f>
        <v/>
      </c>
      <c r="G12" s="4" t="n"/>
      <c r="H12" s="4" t="n"/>
      <c r="I12" s="4" t="n"/>
      <c r="J12" s="4" t="n"/>
    </row>
    <row r="13">
      <c r="A13" s="4" t="n"/>
      <c r="B13" s="35" t="inlineStr">
        <is>
          <t>SERVICIOS</t>
        </is>
      </c>
      <c r="C13" s="33">
        <f>FORMATO!N16</f>
        <v/>
      </c>
      <c r="D13" s="33">
        <f>FORMATO!O16</f>
        <v/>
      </c>
      <c r="E13" s="33">
        <f>D13-C13</f>
        <v/>
      </c>
      <c r="F13" s="34">
        <f>IF(C13=0,"",D13/C13)</f>
        <v/>
      </c>
      <c r="G13" s="4" t="n"/>
      <c r="H13" s="4" t="n"/>
      <c r="I13" s="4" t="n"/>
      <c r="J13" s="4" t="n"/>
    </row>
    <row r="14">
      <c r="A14" s="4" t="n"/>
      <c r="B14" s="35" t="inlineStr">
        <is>
          <t>PUBLICIDAD Y MERCADOTECNIA</t>
        </is>
      </c>
      <c r="C14" s="33">
        <f>FORMATO!N18</f>
        <v/>
      </c>
      <c r="D14" s="33">
        <f>FORMATO!O18</f>
        <v/>
      </c>
      <c r="E14" s="33">
        <f>D14-C14</f>
        <v/>
      </c>
      <c r="F14" s="34">
        <f>IF(C14=0,"",D14/C14)</f>
        <v/>
      </c>
      <c r="G14" s="4" t="n"/>
      <c r="H14" s="4" t="n"/>
      <c r="I14" s="4" t="n"/>
      <c r="J14" s="4" t="n"/>
    </row>
    <row r="15">
      <c r="A15" s="4" t="n"/>
      <c r="B15" s="35" t="inlineStr">
        <is>
          <t>MANTENIMIENTO</t>
        </is>
      </c>
      <c r="C15" s="33">
        <f>FORMATO!N20</f>
        <v/>
      </c>
      <c r="D15" s="33">
        <f>FORMATO!O20</f>
        <v/>
      </c>
      <c r="E15" s="33">
        <f>D15-C15</f>
        <v/>
      </c>
      <c r="F15" s="34">
        <f>IF(C15=0,"",D15/C15)</f>
        <v/>
      </c>
      <c r="G15" s="4" t="n"/>
      <c r="H15" s="4" t="n"/>
      <c r="I15" s="4" t="n"/>
      <c r="J15" s="4" t="n"/>
    </row>
    <row r="16">
      <c r="A16" s="4" t="n"/>
      <c r="B16" s="35" t="inlineStr">
        <is>
          <t>PAPELERÍA Y OFICINA</t>
        </is>
      </c>
      <c r="C16" s="33">
        <f>FORMATO!N22</f>
        <v/>
      </c>
      <c r="D16" s="33">
        <f>FORMATO!O22</f>
        <v/>
      </c>
      <c r="E16" s="33">
        <f>D16-C16</f>
        <v/>
      </c>
      <c r="F16" s="34">
        <f>IF(C16=0,"",D16/C16)</f>
        <v/>
      </c>
      <c r="G16" s="4" t="n"/>
      <c r="H16" s="4" t="n"/>
      <c r="I16" s="4" t="n"/>
      <c r="J16" s="4" t="n"/>
    </row>
    <row r="17">
      <c r="A17" s="4" t="n"/>
      <c r="B17" s="35" t="inlineStr">
        <is>
          <t>IMPUESTOS Y DERECHOS</t>
        </is>
      </c>
      <c r="C17" s="33">
        <f>FORMATO!N24</f>
        <v/>
      </c>
      <c r="D17" s="33">
        <f>FORMATO!O24</f>
        <v/>
      </c>
      <c r="E17" s="33">
        <f>D17-C17</f>
        <v/>
      </c>
      <c r="F17" s="34">
        <f>IF(C17=0,"",D17/C17)</f>
        <v/>
      </c>
      <c r="G17" s="4" t="n"/>
      <c r="H17" s="4" t="n"/>
      <c r="I17" s="4" t="n"/>
      <c r="J17" s="4" t="n"/>
    </row>
    <row r="18">
      <c r="A18" s="4" t="n"/>
      <c r="B18" s="35" t="inlineStr">
        <is>
          <t>OTROS GASTOS</t>
        </is>
      </c>
      <c r="C18" s="33">
        <f>FORMATO!N26</f>
        <v/>
      </c>
      <c r="D18" s="33">
        <f>FORMATO!O26</f>
        <v/>
      </c>
      <c r="E18" s="33">
        <f>D18-C18</f>
        <v/>
      </c>
      <c r="F18" s="34">
        <f>IF(C18=0,"",D18/C18)</f>
        <v/>
      </c>
      <c r="G18" s="4" t="n"/>
      <c r="H18" s="4" t="n"/>
      <c r="I18" s="4" t="n"/>
      <c r="J18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B6B73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2" t="inlineStr">
        <is>
          <t>AYUDA Y PREGUNTAS FRECUENTES</t>
        </is>
      </c>
      <c r="C1" s="4" t="n"/>
      <c r="D1" s="4" t="n"/>
      <c r="E1" s="1" t="n"/>
    </row>
    <row r="2">
      <c r="A2" s="1" t="n"/>
      <c r="B2" s="43" t="inlineStr">
        <is>
          <t>PRESUPUESTO ANUAL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44" t="inlineStr">
        <is>
          <t>¿Cómo leo la variación?</t>
        </is>
      </c>
      <c r="D6" s="45" t="inlineStr">
        <is>
          <t>Real - Presupuesto. En gastos, positiva significa que te pasaste; en ventas, positiva es favorable.</t>
        </is>
      </c>
      <c r="E6" s="4" t="n"/>
    </row>
    <row r="7" ht="30" customHeight="1">
      <c r="A7" s="4" t="n"/>
      <c r="B7" s="4" t="n"/>
      <c r="C7" s="44" t="inlineStr">
        <is>
          <t>¿Puedo agregar conceptos?</t>
        </is>
      </c>
      <c r="D7" s="45" t="inlineStr">
        <is>
          <t>Cambia el nombre de uno de los 10 conceptos disponibles.</t>
        </is>
      </c>
      <c r="E7" s="4" t="n"/>
    </row>
    <row r="8" ht="53" customHeight="1">
      <c r="A8" s="4" t="n"/>
      <c r="B8" s="4" t="n"/>
      <c r="C8" s="44" t="inlineStr">
        <is>
          <t>¿Por qué no puedo escribir en algunas celdas?</t>
        </is>
      </c>
      <c r="D8" s="45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44" t="inlineStr">
        <is>
          <t>¿Cómo agrego mi logotipo?</t>
        </is>
      </c>
      <c r="D9" s="45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44" t="inlineStr">
        <is>
          <t>¿Cómo lo imprimo o lo convierto a PDF?</t>
        </is>
      </c>
      <c r="D10" s="45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44" t="inlineStr">
        <is>
          <t>¿Con qué versiones de Excel funciona?</t>
        </is>
      </c>
      <c r="D11" s="45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44" t="inlineStr">
        <is>
          <t>¿Por qué la letra se ve diferente?</t>
        </is>
      </c>
      <c r="D12" s="45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44" t="inlineStr">
        <is>
          <t>¿Puedo usarlo en varias empresas o por varios años?</t>
        </is>
      </c>
      <c r="D13" s="45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46" t="inlineStr">
        <is>
          <t>PRESUPUESTO</t>
        </is>
      </c>
      <c r="D16" s="47" t="inlineStr">
        <is>
          <t>Plan de ingresos y gastos.</t>
        </is>
      </c>
      <c r="E16" s="4" t="n"/>
    </row>
    <row r="17" ht="21" customHeight="1">
      <c r="A17" s="4" t="n"/>
      <c r="B17" s="4" t="n"/>
      <c r="C17" s="46" t="inlineStr">
        <is>
          <t>VARIACIÓN</t>
        </is>
      </c>
      <c r="D17" s="47" t="inlineStr">
        <is>
          <t>Diferencia entre lo real y lo presupuestado.</t>
        </is>
      </c>
      <c r="E17" s="4" t="n"/>
    </row>
    <row r="18" ht="21" customHeight="1">
      <c r="A18" s="4" t="n"/>
      <c r="B18" s="4" t="n"/>
      <c r="C18" s="46" t="inlineStr">
        <is>
          <t>% DE EJECUCIÓN</t>
        </is>
      </c>
      <c r="D18" s="47" t="inlineStr">
        <is>
          <t>Real / presupuesto.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48" t="inlineStr">
        <is>
          <t>☐</t>
        </is>
      </c>
      <c r="C21" s="49" t="inlineStr">
        <is>
          <t>Presupuesto aprobado</t>
        </is>
      </c>
      <c r="D21" s="4" t="n"/>
      <c r="E21" s="4" t="n"/>
    </row>
    <row r="22" ht="20" customHeight="1">
      <c r="A22" s="4" t="n"/>
      <c r="B22" s="48" t="inlineStr">
        <is>
          <t>☐</t>
        </is>
      </c>
      <c r="C22" s="49" t="inlineStr">
        <is>
          <t>Real capturado al cierre de cada mes</t>
        </is>
      </c>
      <c r="D22" s="4" t="n"/>
      <c r="E22" s="4" t="n"/>
    </row>
    <row r="23" ht="20" customHeight="1">
      <c r="A23" s="4" t="n"/>
      <c r="B23" s="48" t="inlineStr">
        <is>
          <t>☐</t>
        </is>
      </c>
      <c r="C23" s="49" t="inlineStr">
        <is>
          <t>Variaciones &gt;10% explicadas</t>
        </is>
      </c>
      <c r="D23" s="4" t="n"/>
      <c r="E23" s="4" t="n"/>
    </row>
    <row r="24" ht="20" customHeight="1">
      <c r="A24" s="4" t="n"/>
      <c r="B24" s="48" t="inlineStr">
        <is>
          <t>☐</t>
        </is>
      </c>
      <c r="C24" s="49" t="inlineStr">
        <is>
          <t>Reforecast trimestral</t>
        </is>
      </c>
      <c r="D24" s="4" t="n"/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2026-10-07T21:40:28Z</dcterms:created>
  <dcterms:modified xmlns:dcterms="http://purl.org/dc/terms/" xmlns:xsi="http://www.w3.org/2001/XMLSchema-instance" xsi:type="dcterms:W3CDTF">2026-10-07T21:40:28Z</dcterms:modified>
</cp:coreProperties>
</file>