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8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5" applyAlignment="1" pivotButton="0" quotePrefix="0" xfId="0">
      <alignment horizontal="center" vertical="center"/>
    </xf>
    <xf numFmtId="0" fontId="26" fillId="0" borderId="16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165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5" fontId="26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4" fillId="3" borderId="7" applyAlignment="1" pivotButton="0" quotePrefix="0" xfId="0">
      <alignment wrapText="1"/>
    </xf>
    <xf numFmtId="0" fontId="26" fillId="0" borderId="8" pivotButton="0" quotePrefix="0" xfId="0"/>
    <xf numFmtId="0" fontId="6" fillId="0" borderId="0" applyAlignment="1" pivotButton="0" quotePrefix="0" xfId="0">
      <alignment horizontal="center"/>
    </xf>
    <xf numFmtId="0" fontId="26" fillId="0" borderId="9" pivotButton="0" quotePrefix="0" xfId="0"/>
    <xf numFmtId="0" fontId="26" fillId="0" borderId="10" pivotButton="0" quotePrefix="0" xfId="0"/>
    <xf numFmtId="0" fontId="8" fillId="3" borderId="11" applyAlignment="1" pivotButton="0" quotePrefix="0" xfId="0">
      <alignment horizontal="center" vertical="center"/>
    </xf>
    <xf numFmtId="0" fontId="26" fillId="3" borderId="12" pivotButton="0" quotePrefix="0" xfId="0"/>
    <xf numFmtId="165" fontId="9" fillId="6" borderId="13" applyAlignment="1" pivotButton="0" quotePrefix="0" xfId="0">
      <alignment horizontal="center" vertical="center"/>
    </xf>
    <xf numFmtId="0" fontId="26" fillId="6" borderId="14" pivotButton="0" quotePrefix="0" xfId="0"/>
    <xf numFmtId="9" fontId="9" fillId="6" borderId="13" applyAlignment="1" pivotButton="0" quotePrefix="0" xfId="0">
      <alignment horizontal="center" vertical="center"/>
    </xf>
    <xf numFmtId="0" fontId="26" fillId="0" borderId="7" pivotButton="0" quotePrefix="0" xfId="0"/>
    <xf numFmtId="1" fontId="9" fillId="6" borderId="13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7" applyAlignment="1" pivotButton="0" quotePrefix="0" xfId="0">
      <alignment vertical="top" wrapText="1"/>
    </xf>
    <xf numFmtId="0" fontId="17" fillId="0" borderId="17" applyAlignment="1" pivotButton="0" quotePrefix="0" xfId="0">
      <alignment vertical="top" wrapText="1"/>
    </xf>
    <xf numFmtId="0" fontId="24" fillId="0" borderId="17" pivotButton="0" quotePrefix="0" xfId="0"/>
    <xf numFmtId="0" fontId="17" fillId="0" borderId="17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Uso del fondo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E7C8B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'RESUMEN'!$B$26:$B$27</f>
            </numRef>
          </cat>
          <val>
            <numRef>
              <f>'RESUMEN'!$C$26:$C$27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CAJA CHICA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Define el fondo fijo asignado.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Registra cada vale con importe SIN IVA; el IVA (16%) y el total se calculan.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Al hacer el arqueo captura el efectivo físico en caja: la diferencia debe ser 0.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Si el IVA no aplica (ej. propinas o estacionamiento sin factura), sobrescribe la celda de IVA con 0.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Define un fondo fijo y un responsable único; nunca mezcles dinero personal.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Todo gasto debe tener vale firmado y comprobante; sin comprobante no se reembolsa.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Haz arqueo sorpresa al menos una vez al mes; la diferencia debe ser cero.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Reembolsa el fondo cuando llegue al 30% o menos del monto original.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C38" s="4" t="n"/>
      <c r="D38" s="4" t="n"/>
      <c r="E38" s="4" t="n"/>
      <c r="F38" s="4" t="n"/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H117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13" customWidth="1" min="2" max="2"/>
    <col width="14" customWidth="1" min="3" max="3"/>
    <col width="3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1" ht="44" customHeight="1">
      <c r="A1" s="22" t="inlineStr">
        <is>
          <t>CONTROL DE CAJA CHICA</t>
        </is>
      </c>
      <c r="B1" s="1" t="n"/>
      <c r="C1" s="1" t="n"/>
      <c r="D1" s="1" t="n"/>
      <c r="E1" s="1" t="n"/>
      <c r="F1" s="1" t="n"/>
      <c r="G1" s="23" t="inlineStr">
        <is>
          <t>INSERTE SU LOGO
(clic derecho &gt; Insertar imagen)</t>
        </is>
      </c>
      <c r="H1" s="24" t="n"/>
    </row>
    <row r="2" ht="26" customHeight="1">
      <c r="A2" s="25" t="inlineStr">
        <is>
          <t>Fondo fijo: vales, reembolsos y arqueo</t>
        </is>
      </c>
      <c r="B2" s="26" t="n"/>
      <c r="C2" s="26" t="n"/>
      <c r="D2" s="26" t="n"/>
      <c r="E2" s="26" t="n"/>
      <c r="F2" s="26" t="n"/>
      <c r="G2" s="27" t="n"/>
      <c r="H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29" t="inlineStr">
        <is>
          <t>RESPONSABLE</t>
        </is>
      </c>
      <c r="B4" s="17" t="n"/>
      <c r="C4" s="17" t="n"/>
      <c r="D4" s="17" t="n"/>
      <c r="E4" s="29" t="inlineStr">
        <is>
          <t>FECHA DE APERTURA</t>
        </is>
      </c>
      <c r="F4" s="30" t="n"/>
      <c r="G4" s="17" t="n"/>
      <c r="H4" s="4" t="n"/>
    </row>
    <row r="5">
      <c r="A5" s="29" t="inlineStr">
        <is>
          <t>FONDO FIJO</t>
        </is>
      </c>
      <c r="B5" s="31" t="n">
        <v>2000</v>
      </c>
      <c r="C5" s="17" t="n"/>
      <c r="D5" s="17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 ht="32" customHeight="1">
      <c r="A7" s="32" t="inlineStr">
        <is>
          <t>FOLIO</t>
        </is>
      </c>
      <c r="B7" s="32" t="inlineStr">
        <is>
          <t>FECHA</t>
        </is>
      </c>
      <c r="C7" s="32" t="inlineStr">
        <is>
          <t>NO. VALE</t>
        </is>
      </c>
      <c r="D7" s="32" t="inlineStr">
        <is>
          <t>CONCEPTO</t>
        </is>
      </c>
      <c r="E7" s="32" t="inlineStr">
        <is>
          <t>BENEFICIARIO / PROVEEDOR</t>
        </is>
      </c>
      <c r="F7" s="32" t="inlineStr">
        <is>
          <t>IMPORTE</t>
        </is>
      </c>
      <c r="G7" s="32" t="inlineStr">
        <is>
          <t>IVA 16%</t>
        </is>
      </c>
      <c r="H7" s="32" t="inlineStr">
        <is>
          <t>TOTAL</t>
        </is>
      </c>
    </row>
    <row r="8">
      <c r="A8" s="33" t="n">
        <v>1</v>
      </c>
      <c r="B8" s="30" t="n"/>
      <c r="C8" s="17" t="n"/>
      <c r="D8" s="17" t="n"/>
      <c r="E8" s="17" t="n"/>
      <c r="F8" s="31" t="n"/>
      <c r="G8" s="34">
        <f>IF(F8="","",ROUND(F8*0.16,2))</f>
        <v/>
      </c>
      <c r="H8" s="34">
        <f>IF(F8="","",F8+G8)</f>
        <v/>
      </c>
    </row>
    <row r="9">
      <c r="A9" s="33" t="n">
        <v>2</v>
      </c>
      <c r="B9" s="30" t="n"/>
      <c r="C9" s="17" t="n"/>
      <c r="D9" s="17" t="n"/>
      <c r="E9" s="17" t="n"/>
      <c r="F9" s="31" t="n"/>
      <c r="G9" s="34">
        <f>IF(F9="","",ROUND(F9*0.16,2))</f>
        <v/>
      </c>
      <c r="H9" s="34">
        <f>IF(F9="","",F9+G9)</f>
        <v/>
      </c>
    </row>
    <row r="10">
      <c r="A10" s="33" t="n">
        <v>3</v>
      </c>
      <c r="B10" s="30" t="n"/>
      <c r="C10" s="17" t="n"/>
      <c r="D10" s="17" t="n"/>
      <c r="E10" s="17" t="n"/>
      <c r="F10" s="31" t="n"/>
      <c r="G10" s="34">
        <f>IF(F10="","",ROUND(F10*0.16,2))</f>
        <v/>
      </c>
      <c r="H10" s="34">
        <f>IF(F10="","",F10+G10)</f>
        <v/>
      </c>
    </row>
    <row r="11">
      <c r="A11" s="33" t="n">
        <v>4</v>
      </c>
      <c r="B11" s="30" t="n"/>
      <c r="C11" s="17" t="n"/>
      <c r="D11" s="17" t="n"/>
      <c r="E11" s="17" t="n"/>
      <c r="F11" s="31" t="n"/>
      <c r="G11" s="34">
        <f>IF(F11="","",ROUND(F11*0.16,2))</f>
        <v/>
      </c>
      <c r="H11" s="34">
        <f>IF(F11="","",F11+G11)</f>
        <v/>
      </c>
    </row>
    <row r="12">
      <c r="A12" s="33" t="n">
        <v>5</v>
      </c>
      <c r="B12" s="30" t="n"/>
      <c r="C12" s="17" t="n"/>
      <c r="D12" s="17" t="n"/>
      <c r="E12" s="17" t="n"/>
      <c r="F12" s="31" t="n"/>
      <c r="G12" s="34">
        <f>IF(F12="","",ROUND(F12*0.16,2))</f>
        <v/>
      </c>
      <c r="H12" s="34">
        <f>IF(F12="","",F12+G12)</f>
        <v/>
      </c>
    </row>
    <row r="13">
      <c r="A13" s="33" t="n">
        <v>6</v>
      </c>
      <c r="B13" s="30" t="n"/>
      <c r="C13" s="17" t="n"/>
      <c r="D13" s="17" t="n"/>
      <c r="E13" s="17" t="n"/>
      <c r="F13" s="31" t="n"/>
      <c r="G13" s="34">
        <f>IF(F13="","",ROUND(F13*0.16,2))</f>
        <v/>
      </c>
      <c r="H13" s="34">
        <f>IF(F13="","",F13+G13)</f>
        <v/>
      </c>
    </row>
    <row r="14">
      <c r="A14" s="33" t="n">
        <v>7</v>
      </c>
      <c r="B14" s="30" t="n"/>
      <c r="C14" s="17" t="n"/>
      <c r="D14" s="17" t="n"/>
      <c r="E14" s="17" t="n"/>
      <c r="F14" s="31" t="n"/>
      <c r="G14" s="34">
        <f>IF(F14="","",ROUND(F14*0.16,2))</f>
        <v/>
      </c>
      <c r="H14" s="34">
        <f>IF(F14="","",F14+G14)</f>
        <v/>
      </c>
    </row>
    <row r="15">
      <c r="A15" s="33" t="n">
        <v>8</v>
      </c>
      <c r="B15" s="30" t="n"/>
      <c r="C15" s="17" t="n"/>
      <c r="D15" s="17" t="n"/>
      <c r="E15" s="17" t="n"/>
      <c r="F15" s="31" t="n"/>
      <c r="G15" s="34">
        <f>IF(F15="","",ROUND(F15*0.16,2))</f>
        <v/>
      </c>
      <c r="H15" s="34">
        <f>IF(F15="","",F15+G15)</f>
        <v/>
      </c>
    </row>
    <row r="16">
      <c r="A16" s="33" t="n">
        <v>9</v>
      </c>
      <c r="B16" s="30" t="n"/>
      <c r="C16" s="17" t="n"/>
      <c r="D16" s="17" t="n"/>
      <c r="E16" s="17" t="n"/>
      <c r="F16" s="31" t="n"/>
      <c r="G16" s="34">
        <f>IF(F16="","",ROUND(F16*0.16,2))</f>
        <v/>
      </c>
      <c r="H16" s="34">
        <f>IF(F16="","",F16+G16)</f>
        <v/>
      </c>
    </row>
    <row r="17">
      <c r="A17" s="33" t="n">
        <v>10</v>
      </c>
      <c r="B17" s="30" t="n"/>
      <c r="C17" s="17" t="n"/>
      <c r="D17" s="17" t="n"/>
      <c r="E17" s="17" t="n"/>
      <c r="F17" s="31" t="n"/>
      <c r="G17" s="34">
        <f>IF(F17="","",ROUND(F17*0.16,2))</f>
        <v/>
      </c>
      <c r="H17" s="34">
        <f>IF(F17="","",F17+G17)</f>
        <v/>
      </c>
    </row>
    <row r="18">
      <c r="A18" s="33" t="n">
        <v>11</v>
      </c>
      <c r="B18" s="30" t="n"/>
      <c r="C18" s="17" t="n"/>
      <c r="D18" s="17" t="n"/>
      <c r="E18" s="17" t="n"/>
      <c r="F18" s="31" t="n"/>
      <c r="G18" s="34">
        <f>IF(F18="","",ROUND(F18*0.16,2))</f>
        <v/>
      </c>
      <c r="H18" s="34">
        <f>IF(F18="","",F18+G18)</f>
        <v/>
      </c>
    </row>
    <row r="19">
      <c r="A19" s="33" t="n">
        <v>12</v>
      </c>
      <c r="B19" s="30" t="n"/>
      <c r="C19" s="17" t="n"/>
      <c r="D19" s="17" t="n"/>
      <c r="E19" s="17" t="n"/>
      <c r="F19" s="31" t="n"/>
      <c r="G19" s="34">
        <f>IF(F19="","",ROUND(F19*0.16,2))</f>
        <v/>
      </c>
      <c r="H19" s="34">
        <f>IF(F19="","",F19+G19)</f>
        <v/>
      </c>
    </row>
    <row r="20">
      <c r="A20" s="33" t="n">
        <v>13</v>
      </c>
      <c r="B20" s="30" t="n"/>
      <c r="C20" s="17" t="n"/>
      <c r="D20" s="17" t="n"/>
      <c r="E20" s="17" t="n"/>
      <c r="F20" s="31" t="n"/>
      <c r="G20" s="34">
        <f>IF(F20="","",ROUND(F20*0.16,2))</f>
        <v/>
      </c>
      <c r="H20" s="34">
        <f>IF(F20="","",F20+G20)</f>
        <v/>
      </c>
    </row>
    <row r="21">
      <c r="A21" s="33" t="n">
        <v>14</v>
      </c>
      <c r="B21" s="30" t="n"/>
      <c r="C21" s="17" t="n"/>
      <c r="D21" s="17" t="n"/>
      <c r="E21" s="17" t="n"/>
      <c r="F21" s="31" t="n"/>
      <c r="G21" s="34">
        <f>IF(F21="","",ROUND(F21*0.16,2))</f>
        <v/>
      </c>
      <c r="H21" s="34">
        <f>IF(F21="","",F21+G21)</f>
        <v/>
      </c>
    </row>
    <row r="22">
      <c r="A22" s="33" t="n">
        <v>15</v>
      </c>
      <c r="B22" s="30" t="n"/>
      <c r="C22" s="17" t="n"/>
      <c r="D22" s="17" t="n"/>
      <c r="E22" s="17" t="n"/>
      <c r="F22" s="31" t="n"/>
      <c r="G22" s="34">
        <f>IF(F22="","",ROUND(F22*0.16,2))</f>
        <v/>
      </c>
      <c r="H22" s="34">
        <f>IF(F22="","",F22+G22)</f>
        <v/>
      </c>
    </row>
    <row r="23">
      <c r="A23" s="33" t="n">
        <v>16</v>
      </c>
      <c r="B23" s="30" t="n"/>
      <c r="C23" s="17" t="n"/>
      <c r="D23" s="17" t="n"/>
      <c r="E23" s="17" t="n"/>
      <c r="F23" s="31" t="n"/>
      <c r="G23" s="34">
        <f>IF(F23="","",ROUND(F23*0.16,2))</f>
        <v/>
      </c>
      <c r="H23" s="34">
        <f>IF(F23="","",F23+G23)</f>
        <v/>
      </c>
    </row>
    <row r="24">
      <c r="A24" s="33" t="n">
        <v>17</v>
      </c>
      <c r="B24" s="30" t="n"/>
      <c r="C24" s="17" t="n"/>
      <c r="D24" s="17" t="n"/>
      <c r="E24" s="17" t="n"/>
      <c r="F24" s="31" t="n"/>
      <c r="G24" s="34">
        <f>IF(F24="","",ROUND(F24*0.16,2))</f>
        <v/>
      </c>
      <c r="H24" s="34">
        <f>IF(F24="","",F24+G24)</f>
        <v/>
      </c>
    </row>
    <row r="25">
      <c r="A25" s="33" t="n">
        <v>18</v>
      </c>
      <c r="B25" s="30" t="n"/>
      <c r="C25" s="17" t="n"/>
      <c r="D25" s="17" t="n"/>
      <c r="E25" s="17" t="n"/>
      <c r="F25" s="31" t="n"/>
      <c r="G25" s="34">
        <f>IF(F25="","",ROUND(F25*0.16,2))</f>
        <v/>
      </c>
      <c r="H25" s="34">
        <f>IF(F25="","",F25+G25)</f>
        <v/>
      </c>
    </row>
    <row r="26">
      <c r="A26" s="33" t="n">
        <v>19</v>
      </c>
      <c r="B26" s="30" t="n"/>
      <c r="C26" s="17" t="n"/>
      <c r="D26" s="17" t="n"/>
      <c r="E26" s="17" t="n"/>
      <c r="F26" s="31" t="n"/>
      <c r="G26" s="34">
        <f>IF(F26="","",ROUND(F26*0.16,2))</f>
        <v/>
      </c>
      <c r="H26" s="34">
        <f>IF(F26="","",F26+G26)</f>
        <v/>
      </c>
    </row>
    <row r="27">
      <c r="A27" s="33" t="n">
        <v>20</v>
      </c>
      <c r="B27" s="30" t="n"/>
      <c r="C27" s="17" t="n"/>
      <c r="D27" s="17" t="n"/>
      <c r="E27" s="17" t="n"/>
      <c r="F27" s="31" t="n"/>
      <c r="G27" s="34">
        <f>IF(F27="","",ROUND(F27*0.16,2))</f>
        <v/>
      </c>
      <c r="H27" s="34">
        <f>IF(F27="","",F27+G27)</f>
        <v/>
      </c>
    </row>
    <row r="28">
      <c r="A28" s="33" t="n">
        <v>21</v>
      </c>
      <c r="B28" s="30" t="n"/>
      <c r="C28" s="17" t="n"/>
      <c r="D28" s="17" t="n"/>
      <c r="E28" s="17" t="n"/>
      <c r="F28" s="31" t="n"/>
      <c r="G28" s="34">
        <f>IF(F28="","",ROUND(F28*0.16,2))</f>
        <v/>
      </c>
      <c r="H28" s="34">
        <f>IF(F28="","",F28+G28)</f>
        <v/>
      </c>
    </row>
    <row r="29">
      <c r="A29" s="33" t="n">
        <v>22</v>
      </c>
      <c r="B29" s="30" t="n"/>
      <c r="C29" s="17" t="n"/>
      <c r="D29" s="17" t="n"/>
      <c r="E29" s="17" t="n"/>
      <c r="F29" s="31" t="n"/>
      <c r="G29" s="34">
        <f>IF(F29="","",ROUND(F29*0.16,2))</f>
        <v/>
      </c>
      <c r="H29" s="34">
        <f>IF(F29="","",F29+G29)</f>
        <v/>
      </c>
    </row>
    <row r="30">
      <c r="A30" s="33" t="n">
        <v>23</v>
      </c>
      <c r="B30" s="30" t="n"/>
      <c r="C30" s="17" t="n"/>
      <c r="D30" s="17" t="n"/>
      <c r="E30" s="17" t="n"/>
      <c r="F30" s="31" t="n"/>
      <c r="G30" s="34">
        <f>IF(F30="","",ROUND(F30*0.16,2))</f>
        <v/>
      </c>
      <c r="H30" s="34">
        <f>IF(F30="","",F30+G30)</f>
        <v/>
      </c>
    </row>
    <row r="31">
      <c r="A31" s="33" t="n">
        <v>24</v>
      </c>
      <c r="B31" s="30" t="n"/>
      <c r="C31" s="17" t="n"/>
      <c r="D31" s="17" t="n"/>
      <c r="E31" s="17" t="n"/>
      <c r="F31" s="31" t="n"/>
      <c r="G31" s="34">
        <f>IF(F31="","",ROUND(F31*0.16,2))</f>
        <v/>
      </c>
      <c r="H31" s="34">
        <f>IF(F31="","",F31+G31)</f>
        <v/>
      </c>
    </row>
    <row r="32">
      <c r="A32" s="33" t="n">
        <v>25</v>
      </c>
      <c r="B32" s="30" t="n"/>
      <c r="C32" s="17" t="n"/>
      <c r="D32" s="17" t="n"/>
      <c r="E32" s="17" t="n"/>
      <c r="F32" s="31" t="n"/>
      <c r="G32" s="34">
        <f>IF(F32="","",ROUND(F32*0.16,2))</f>
        <v/>
      </c>
      <c r="H32" s="34">
        <f>IF(F32="","",F32+G32)</f>
        <v/>
      </c>
    </row>
    <row r="33">
      <c r="A33" s="33" t="n">
        <v>26</v>
      </c>
      <c r="B33" s="30" t="n"/>
      <c r="C33" s="17" t="n"/>
      <c r="D33" s="17" t="n"/>
      <c r="E33" s="17" t="n"/>
      <c r="F33" s="31" t="n"/>
      <c r="G33" s="34">
        <f>IF(F33="","",ROUND(F33*0.16,2))</f>
        <v/>
      </c>
      <c r="H33" s="34">
        <f>IF(F33="","",F33+G33)</f>
        <v/>
      </c>
    </row>
    <row r="34">
      <c r="A34" s="33" t="n">
        <v>27</v>
      </c>
      <c r="B34" s="30" t="n"/>
      <c r="C34" s="17" t="n"/>
      <c r="D34" s="17" t="n"/>
      <c r="E34" s="17" t="n"/>
      <c r="F34" s="31" t="n"/>
      <c r="G34" s="34">
        <f>IF(F34="","",ROUND(F34*0.16,2))</f>
        <v/>
      </c>
      <c r="H34" s="34">
        <f>IF(F34="","",F34+G34)</f>
        <v/>
      </c>
    </row>
    <row r="35">
      <c r="A35" s="33" t="n">
        <v>28</v>
      </c>
      <c r="B35" s="30" t="n"/>
      <c r="C35" s="17" t="n"/>
      <c r="D35" s="17" t="n"/>
      <c r="E35" s="17" t="n"/>
      <c r="F35" s="31" t="n"/>
      <c r="G35" s="34">
        <f>IF(F35="","",ROUND(F35*0.16,2))</f>
        <v/>
      </c>
      <c r="H35" s="34">
        <f>IF(F35="","",F35+G35)</f>
        <v/>
      </c>
    </row>
    <row r="36">
      <c r="A36" s="33" t="n">
        <v>29</v>
      </c>
      <c r="B36" s="30" t="n"/>
      <c r="C36" s="17" t="n"/>
      <c r="D36" s="17" t="n"/>
      <c r="E36" s="17" t="n"/>
      <c r="F36" s="31" t="n"/>
      <c r="G36" s="34">
        <f>IF(F36="","",ROUND(F36*0.16,2))</f>
        <v/>
      </c>
      <c r="H36" s="34">
        <f>IF(F36="","",F36+G36)</f>
        <v/>
      </c>
    </row>
    <row r="37">
      <c r="A37" s="33" t="n">
        <v>30</v>
      </c>
      <c r="B37" s="30" t="n"/>
      <c r="C37" s="17" t="n"/>
      <c r="D37" s="17" t="n"/>
      <c r="E37" s="17" t="n"/>
      <c r="F37" s="31" t="n"/>
      <c r="G37" s="34">
        <f>IF(F37="","",ROUND(F37*0.16,2))</f>
        <v/>
      </c>
      <c r="H37" s="34">
        <f>IF(F37="","",F37+G37)</f>
        <v/>
      </c>
    </row>
    <row r="38">
      <c r="A38" s="33" t="n">
        <v>31</v>
      </c>
      <c r="B38" s="30" t="n"/>
      <c r="C38" s="17" t="n"/>
      <c r="D38" s="17" t="n"/>
      <c r="E38" s="17" t="n"/>
      <c r="F38" s="31" t="n"/>
      <c r="G38" s="34">
        <f>IF(F38="","",ROUND(F38*0.16,2))</f>
        <v/>
      </c>
      <c r="H38" s="34">
        <f>IF(F38="","",F38+G38)</f>
        <v/>
      </c>
    </row>
    <row r="39">
      <c r="A39" s="33" t="n">
        <v>32</v>
      </c>
      <c r="B39" s="30" t="n"/>
      <c r="C39" s="17" t="n"/>
      <c r="D39" s="17" t="n"/>
      <c r="E39" s="17" t="n"/>
      <c r="F39" s="31" t="n"/>
      <c r="G39" s="34">
        <f>IF(F39="","",ROUND(F39*0.16,2))</f>
        <v/>
      </c>
      <c r="H39" s="34">
        <f>IF(F39="","",F39+G39)</f>
        <v/>
      </c>
    </row>
    <row r="40">
      <c r="A40" s="33" t="n">
        <v>33</v>
      </c>
      <c r="B40" s="30" t="n"/>
      <c r="C40" s="17" t="n"/>
      <c r="D40" s="17" t="n"/>
      <c r="E40" s="17" t="n"/>
      <c r="F40" s="31" t="n"/>
      <c r="G40" s="34">
        <f>IF(F40="","",ROUND(F40*0.16,2))</f>
        <v/>
      </c>
      <c r="H40" s="34">
        <f>IF(F40="","",F40+G40)</f>
        <v/>
      </c>
    </row>
    <row r="41">
      <c r="A41" s="33" t="n">
        <v>34</v>
      </c>
      <c r="B41" s="30" t="n"/>
      <c r="C41" s="17" t="n"/>
      <c r="D41" s="17" t="n"/>
      <c r="E41" s="17" t="n"/>
      <c r="F41" s="31" t="n"/>
      <c r="G41" s="34">
        <f>IF(F41="","",ROUND(F41*0.16,2))</f>
        <v/>
      </c>
      <c r="H41" s="34">
        <f>IF(F41="","",F41+G41)</f>
        <v/>
      </c>
    </row>
    <row r="42">
      <c r="A42" s="33" t="n">
        <v>35</v>
      </c>
      <c r="B42" s="30" t="n"/>
      <c r="C42" s="17" t="n"/>
      <c r="D42" s="17" t="n"/>
      <c r="E42" s="17" t="n"/>
      <c r="F42" s="31" t="n"/>
      <c r="G42" s="34">
        <f>IF(F42="","",ROUND(F42*0.16,2))</f>
        <v/>
      </c>
      <c r="H42" s="34">
        <f>IF(F42="","",F42+G42)</f>
        <v/>
      </c>
    </row>
    <row r="43">
      <c r="A43" s="33" t="n">
        <v>36</v>
      </c>
      <c r="B43" s="30" t="n"/>
      <c r="C43" s="17" t="n"/>
      <c r="D43" s="17" t="n"/>
      <c r="E43" s="17" t="n"/>
      <c r="F43" s="31" t="n"/>
      <c r="G43" s="34">
        <f>IF(F43="","",ROUND(F43*0.16,2))</f>
        <v/>
      </c>
      <c r="H43" s="34">
        <f>IF(F43="","",F43+G43)</f>
        <v/>
      </c>
    </row>
    <row r="44">
      <c r="A44" s="33" t="n">
        <v>37</v>
      </c>
      <c r="B44" s="30" t="n"/>
      <c r="C44" s="17" t="n"/>
      <c r="D44" s="17" t="n"/>
      <c r="E44" s="17" t="n"/>
      <c r="F44" s="31" t="n"/>
      <c r="G44" s="34">
        <f>IF(F44="","",ROUND(F44*0.16,2))</f>
        <v/>
      </c>
      <c r="H44" s="34">
        <f>IF(F44="","",F44+G44)</f>
        <v/>
      </c>
    </row>
    <row r="45">
      <c r="A45" s="33" t="n">
        <v>38</v>
      </c>
      <c r="B45" s="30" t="n"/>
      <c r="C45" s="17" t="n"/>
      <c r="D45" s="17" t="n"/>
      <c r="E45" s="17" t="n"/>
      <c r="F45" s="31" t="n"/>
      <c r="G45" s="34">
        <f>IF(F45="","",ROUND(F45*0.16,2))</f>
        <v/>
      </c>
      <c r="H45" s="34">
        <f>IF(F45="","",F45+G45)</f>
        <v/>
      </c>
    </row>
    <row r="46">
      <c r="A46" s="33" t="n">
        <v>39</v>
      </c>
      <c r="B46" s="30" t="n"/>
      <c r="C46" s="17" t="n"/>
      <c r="D46" s="17" t="n"/>
      <c r="E46" s="17" t="n"/>
      <c r="F46" s="31" t="n"/>
      <c r="G46" s="34">
        <f>IF(F46="","",ROUND(F46*0.16,2))</f>
        <v/>
      </c>
      <c r="H46" s="34">
        <f>IF(F46="","",F46+G46)</f>
        <v/>
      </c>
    </row>
    <row r="47">
      <c r="A47" s="33" t="n">
        <v>40</v>
      </c>
      <c r="B47" s="30" t="n"/>
      <c r="C47" s="17" t="n"/>
      <c r="D47" s="17" t="n"/>
      <c r="E47" s="17" t="n"/>
      <c r="F47" s="31" t="n"/>
      <c r="G47" s="34">
        <f>IF(F47="","",ROUND(F47*0.16,2))</f>
        <v/>
      </c>
      <c r="H47" s="34">
        <f>IF(F47="","",F47+G47)</f>
        <v/>
      </c>
    </row>
    <row r="48">
      <c r="A48" s="33" t="n">
        <v>41</v>
      </c>
      <c r="B48" s="30" t="n"/>
      <c r="C48" s="17" t="n"/>
      <c r="D48" s="17" t="n"/>
      <c r="E48" s="17" t="n"/>
      <c r="F48" s="31" t="n"/>
      <c r="G48" s="34">
        <f>IF(F48="","",ROUND(F48*0.16,2))</f>
        <v/>
      </c>
      <c r="H48" s="34">
        <f>IF(F48="","",F48+G48)</f>
        <v/>
      </c>
    </row>
    <row r="49">
      <c r="A49" s="33" t="n">
        <v>42</v>
      </c>
      <c r="B49" s="30" t="n"/>
      <c r="C49" s="17" t="n"/>
      <c r="D49" s="17" t="n"/>
      <c r="E49" s="17" t="n"/>
      <c r="F49" s="31" t="n"/>
      <c r="G49" s="34">
        <f>IF(F49="","",ROUND(F49*0.16,2))</f>
        <v/>
      </c>
      <c r="H49" s="34">
        <f>IF(F49="","",F49+G49)</f>
        <v/>
      </c>
    </row>
    <row r="50">
      <c r="A50" s="33" t="n">
        <v>43</v>
      </c>
      <c r="B50" s="30" t="n"/>
      <c r="C50" s="17" t="n"/>
      <c r="D50" s="17" t="n"/>
      <c r="E50" s="17" t="n"/>
      <c r="F50" s="31" t="n"/>
      <c r="G50" s="34">
        <f>IF(F50="","",ROUND(F50*0.16,2))</f>
        <v/>
      </c>
      <c r="H50" s="34">
        <f>IF(F50="","",F50+G50)</f>
        <v/>
      </c>
    </row>
    <row r="51">
      <c r="A51" s="33" t="n">
        <v>44</v>
      </c>
      <c r="B51" s="30" t="n"/>
      <c r="C51" s="17" t="n"/>
      <c r="D51" s="17" t="n"/>
      <c r="E51" s="17" t="n"/>
      <c r="F51" s="31" t="n"/>
      <c r="G51" s="34">
        <f>IF(F51="","",ROUND(F51*0.16,2))</f>
        <v/>
      </c>
      <c r="H51" s="34">
        <f>IF(F51="","",F51+G51)</f>
        <v/>
      </c>
    </row>
    <row r="52">
      <c r="A52" s="33" t="n">
        <v>45</v>
      </c>
      <c r="B52" s="30" t="n"/>
      <c r="C52" s="17" t="n"/>
      <c r="D52" s="17" t="n"/>
      <c r="E52" s="17" t="n"/>
      <c r="F52" s="31" t="n"/>
      <c r="G52" s="34">
        <f>IF(F52="","",ROUND(F52*0.16,2))</f>
        <v/>
      </c>
      <c r="H52" s="34">
        <f>IF(F52="","",F52+G52)</f>
        <v/>
      </c>
    </row>
    <row r="53">
      <c r="A53" s="33" t="n">
        <v>46</v>
      </c>
      <c r="B53" s="30" t="n"/>
      <c r="C53" s="17" t="n"/>
      <c r="D53" s="17" t="n"/>
      <c r="E53" s="17" t="n"/>
      <c r="F53" s="31" t="n"/>
      <c r="G53" s="34">
        <f>IF(F53="","",ROUND(F53*0.16,2))</f>
        <v/>
      </c>
      <c r="H53" s="34">
        <f>IF(F53="","",F53+G53)</f>
        <v/>
      </c>
    </row>
    <row r="54">
      <c r="A54" s="33" t="n">
        <v>47</v>
      </c>
      <c r="B54" s="30" t="n"/>
      <c r="C54" s="17" t="n"/>
      <c r="D54" s="17" t="n"/>
      <c r="E54" s="17" t="n"/>
      <c r="F54" s="31" t="n"/>
      <c r="G54" s="34">
        <f>IF(F54="","",ROUND(F54*0.16,2))</f>
        <v/>
      </c>
      <c r="H54" s="34">
        <f>IF(F54="","",F54+G54)</f>
        <v/>
      </c>
    </row>
    <row r="55">
      <c r="A55" s="33" t="n">
        <v>48</v>
      </c>
      <c r="B55" s="30" t="n"/>
      <c r="C55" s="17" t="n"/>
      <c r="D55" s="17" t="n"/>
      <c r="E55" s="17" t="n"/>
      <c r="F55" s="31" t="n"/>
      <c r="G55" s="34">
        <f>IF(F55="","",ROUND(F55*0.16,2))</f>
        <v/>
      </c>
      <c r="H55" s="34">
        <f>IF(F55="","",F55+G55)</f>
        <v/>
      </c>
    </row>
    <row r="56">
      <c r="A56" s="33" t="n">
        <v>49</v>
      </c>
      <c r="B56" s="30" t="n"/>
      <c r="C56" s="17" t="n"/>
      <c r="D56" s="17" t="n"/>
      <c r="E56" s="17" t="n"/>
      <c r="F56" s="31" t="n"/>
      <c r="G56" s="34">
        <f>IF(F56="","",ROUND(F56*0.16,2))</f>
        <v/>
      </c>
      <c r="H56" s="34">
        <f>IF(F56="","",F56+G56)</f>
        <v/>
      </c>
    </row>
    <row r="57">
      <c r="A57" s="33" t="n">
        <v>50</v>
      </c>
      <c r="B57" s="30" t="n"/>
      <c r="C57" s="17" t="n"/>
      <c r="D57" s="17" t="n"/>
      <c r="E57" s="17" t="n"/>
      <c r="F57" s="31" t="n"/>
      <c r="G57" s="34">
        <f>IF(F57="","",ROUND(F57*0.16,2))</f>
        <v/>
      </c>
      <c r="H57" s="34">
        <f>IF(F57="","",F57+G57)</f>
        <v/>
      </c>
    </row>
    <row r="58">
      <c r="A58" s="33" t="n">
        <v>51</v>
      </c>
      <c r="B58" s="30" t="n"/>
      <c r="C58" s="17" t="n"/>
      <c r="D58" s="17" t="n"/>
      <c r="E58" s="17" t="n"/>
      <c r="F58" s="31" t="n"/>
      <c r="G58" s="34">
        <f>IF(F58="","",ROUND(F58*0.16,2))</f>
        <v/>
      </c>
      <c r="H58" s="34">
        <f>IF(F58="","",F58+G58)</f>
        <v/>
      </c>
    </row>
    <row r="59">
      <c r="A59" s="33" t="n">
        <v>52</v>
      </c>
      <c r="B59" s="30" t="n"/>
      <c r="C59" s="17" t="n"/>
      <c r="D59" s="17" t="n"/>
      <c r="E59" s="17" t="n"/>
      <c r="F59" s="31" t="n"/>
      <c r="G59" s="34">
        <f>IF(F59="","",ROUND(F59*0.16,2))</f>
        <v/>
      </c>
      <c r="H59" s="34">
        <f>IF(F59="","",F59+G59)</f>
        <v/>
      </c>
    </row>
    <row r="60">
      <c r="A60" s="33" t="n">
        <v>53</v>
      </c>
      <c r="B60" s="30" t="n"/>
      <c r="C60" s="17" t="n"/>
      <c r="D60" s="17" t="n"/>
      <c r="E60" s="17" t="n"/>
      <c r="F60" s="31" t="n"/>
      <c r="G60" s="34">
        <f>IF(F60="","",ROUND(F60*0.16,2))</f>
        <v/>
      </c>
      <c r="H60" s="34">
        <f>IF(F60="","",F60+G60)</f>
        <v/>
      </c>
    </row>
    <row r="61">
      <c r="A61" s="33" t="n">
        <v>54</v>
      </c>
      <c r="B61" s="30" t="n"/>
      <c r="C61" s="17" t="n"/>
      <c r="D61" s="17" t="n"/>
      <c r="E61" s="17" t="n"/>
      <c r="F61" s="31" t="n"/>
      <c r="G61" s="34">
        <f>IF(F61="","",ROUND(F61*0.16,2))</f>
        <v/>
      </c>
      <c r="H61" s="34">
        <f>IF(F61="","",F61+G61)</f>
        <v/>
      </c>
    </row>
    <row r="62">
      <c r="A62" s="33" t="n">
        <v>55</v>
      </c>
      <c r="B62" s="30" t="n"/>
      <c r="C62" s="17" t="n"/>
      <c r="D62" s="17" t="n"/>
      <c r="E62" s="17" t="n"/>
      <c r="F62" s="31" t="n"/>
      <c r="G62" s="34">
        <f>IF(F62="","",ROUND(F62*0.16,2))</f>
        <v/>
      </c>
      <c r="H62" s="34">
        <f>IF(F62="","",F62+G62)</f>
        <v/>
      </c>
    </row>
    <row r="63">
      <c r="A63" s="33" t="n">
        <v>56</v>
      </c>
      <c r="B63" s="30" t="n"/>
      <c r="C63" s="17" t="n"/>
      <c r="D63" s="17" t="n"/>
      <c r="E63" s="17" t="n"/>
      <c r="F63" s="31" t="n"/>
      <c r="G63" s="34">
        <f>IF(F63="","",ROUND(F63*0.16,2))</f>
        <v/>
      </c>
      <c r="H63" s="34">
        <f>IF(F63="","",F63+G63)</f>
        <v/>
      </c>
    </row>
    <row r="64">
      <c r="A64" s="33" t="n">
        <v>57</v>
      </c>
      <c r="B64" s="30" t="n"/>
      <c r="C64" s="17" t="n"/>
      <c r="D64" s="17" t="n"/>
      <c r="E64" s="17" t="n"/>
      <c r="F64" s="31" t="n"/>
      <c r="G64" s="34">
        <f>IF(F64="","",ROUND(F64*0.16,2))</f>
        <v/>
      </c>
      <c r="H64" s="34">
        <f>IF(F64="","",F64+G64)</f>
        <v/>
      </c>
    </row>
    <row r="65">
      <c r="A65" s="33" t="n">
        <v>58</v>
      </c>
      <c r="B65" s="30" t="n"/>
      <c r="C65" s="17" t="n"/>
      <c r="D65" s="17" t="n"/>
      <c r="E65" s="17" t="n"/>
      <c r="F65" s="31" t="n"/>
      <c r="G65" s="34">
        <f>IF(F65="","",ROUND(F65*0.16,2))</f>
        <v/>
      </c>
      <c r="H65" s="34">
        <f>IF(F65="","",F65+G65)</f>
        <v/>
      </c>
    </row>
    <row r="66">
      <c r="A66" s="33" t="n">
        <v>59</v>
      </c>
      <c r="B66" s="30" t="n"/>
      <c r="C66" s="17" t="n"/>
      <c r="D66" s="17" t="n"/>
      <c r="E66" s="17" t="n"/>
      <c r="F66" s="31" t="n"/>
      <c r="G66" s="34">
        <f>IF(F66="","",ROUND(F66*0.16,2))</f>
        <v/>
      </c>
      <c r="H66" s="34">
        <f>IF(F66="","",F66+G66)</f>
        <v/>
      </c>
    </row>
    <row r="67">
      <c r="A67" s="33" t="n">
        <v>60</v>
      </c>
      <c r="B67" s="30" t="n"/>
      <c r="C67" s="17" t="n"/>
      <c r="D67" s="17" t="n"/>
      <c r="E67" s="17" t="n"/>
      <c r="F67" s="31" t="n"/>
      <c r="G67" s="34">
        <f>IF(F67="","",ROUND(F67*0.16,2))</f>
        <v/>
      </c>
      <c r="H67" s="34">
        <f>IF(F67="","",F67+G67)</f>
        <v/>
      </c>
    </row>
    <row r="68">
      <c r="A68" s="33" t="n">
        <v>61</v>
      </c>
      <c r="B68" s="30" t="n"/>
      <c r="C68" s="17" t="n"/>
      <c r="D68" s="17" t="n"/>
      <c r="E68" s="17" t="n"/>
      <c r="F68" s="31" t="n"/>
      <c r="G68" s="34">
        <f>IF(F68="","",ROUND(F68*0.16,2))</f>
        <v/>
      </c>
      <c r="H68" s="34">
        <f>IF(F68="","",F68+G68)</f>
        <v/>
      </c>
    </row>
    <row r="69">
      <c r="A69" s="33" t="n">
        <v>62</v>
      </c>
      <c r="B69" s="30" t="n"/>
      <c r="C69" s="17" t="n"/>
      <c r="D69" s="17" t="n"/>
      <c r="E69" s="17" t="n"/>
      <c r="F69" s="31" t="n"/>
      <c r="G69" s="34">
        <f>IF(F69="","",ROUND(F69*0.16,2))</f>
        <v/>
      </c>
      <c r="H69" s="34">
        <f>IF(F69="","",F69+G69)</f>
        <v/>
      </c>
    </row>
    <row r="70">
      <c r="A70" s="33" t="n">
        <v>63</v>
      </c>
      <c r="B70" s="30" t="n"/>
      <c r="C70" s="17" t="n"/>
      <c r="D70" s="17" t="n"/>
      <c r="E70" s="17" t="n"/>
      <c r="F70" s="31" t="n"/>
      <c r="G70" s="34">
        <f>IF(F70="","",ROUND(F70*0.16,2))</f>
        <v/>
      </c>
      <c r="H70" s="34">
        <f>IF(F70="","",F70+G70)</f>
        <v/>
      </c>
    </row>
    <row r="71">
      <c r="A71" s="33" t="n">
        <v>64</v>
      </c>
      <c r="B71" s="30" t="n"/>
      <c r="C71" s="17" t="n"/>
      <c r="D71" s="17" t="n"/>
      <c r="E71" s="17" t="n"/>
      <c r="F71" s="31" t="n"/>
      <c r="G71" s="34">
        <f>IF(F71="","",ROUND(F71*0.16,2))</f>
        <v/>
      </c>
      <c r="H71" s="34">
        <f>IF(F71="","",F71+G71)</f>
        <v/>
      </c>
    </row>
    <row r="72">
      <c r="A72" s="33" t="n">
        <v>65</v>
      </c>
      <c r="B72" s="30" t="n"/>
      <c r="C72" s="17" t="n"/>
      <c r="D72" s="17" t="n"/>
      <c r="E72" s="17" t="n"/>
      <c r="F72" s="31" t="n"/>
      <c r="G72" s="34">
        <f>IF(F72="","",ROUND(F72*0.16,2))</f>
        <v/>
      </c>
      <c r="H72" s="34">
        <f>IF(F72="","",F72+G72)</f>
        <v/>
      </c>
    </row>
    <row r="73">
      <c r="A73" s="33" t="n">
        <v>66</v>
      </c>
      <c r="B73" s="30" t="n"/>
      <c r="C73" s="17" t="n"/>
      <c r="D73" s="17" t="n"/>
      <c r="E73" s="17" t="n"/>
      <c r="F73" s="31" t="n"/>
      <c r="G73" s="34">
        <f>IF(F73="","",ROUND(F73*0.16,2))</f>
        <v/>
      </c>
      <c r="H73" s="34">
        <f>IF(F73="","",F73+G73)</f>
        <v/>
      </c>
    </row>
    <row r="74">
      <c r="A74" s="33" t="n">
        <v>67</v>
      </c>
      <c r="B74" s="30" t="n"/>
      <c r="C74" s="17" t="n"/>
      <c r="D74" s="17" t="n"/>
      <c r="E74" s="17" t="n"/>
      <c r="F74" s="31" t="n"/>
      <c r="G74" s="34">
        <f>IF(F74="","",ROUND(F74*0.16,2))</f>
        <v/>
      </c>
      <c r="H74" s="34">
        <f>IF(F74="","",F74+G74)</f>
        <v/>
      </c>
    </row>
    <row r="75">
      <c r="A75" s="33" t="n">
        <v>68</v>
      </c>
      <c r="B75" s="30" t="n"/>
      <c r="C75" s="17" t="n"/>
      <c r="D75" s="17" t="n"/>
      <c r="E75" s="17" t="n"/>
      <c r="F75" s="31" t="n"/>
      <c r="G75" s="34">
        <f>IF(F75="","",ROUND(F75*0.16,2))</f>
        <v/>
      </c>
      <c r="H75" s="34">
        <f>IF(F75="","",F75+G75)</f>
        <v/>
      </c>
    </row>
    <row r="76">
      <c r="A76" s="33" t="n">
        <v>69</v>
      </c>
      <c r="B76" s="30" t="n"/>
      <c r="C76" s="17" t="n"/>
      <c r="D76" s="17" t="n"/>
      <c r="E76" s="17" t="n"/>
      <c r="F76" s="31" t="n"/>
      <c r="G76" s="34">
        <f>IF(F76="","",ROUND(F76*0.16,2))</f>
        <v/>
      </c>
      <c r="H76" s="34">
        <f>IF(F76="","",F76+G76)</f>
        <v/>
      </c>
    </row>
    <row r="77">
      <c r="A77" s="33" t="n">
        <v>70</v>
      </c>
      <c r="B77" s="30" t="n"/>
      <c r="C77" s="17" t="n"/>
      <c r="D77" s="17" t="n"/>
      <c r="E77" s="17" t="n"/>
      <c r="F77" s="31" t="n"/>
      <c r="G77" s="34">
        <f>IF(F77="","",ROUND(F77*0.16,2))</f>
        <v/>
      </c>
      <c r="H77" s="34">
        <f>IF(F77="","",F77+G77)</f>
        <v/>
      </c>
    </row>
    <row r="78">
      <c r="A78" s="33" t="n">
        <v>71</v>
      </c>
      <c r="B78" s="30" t="n"/>
      <c r="C78" s="17" t="n"/>
      <c r="D78" s="17" t="n"/>
      <c r="E78" s="17" t="n"/>
      <c r="F78" s="31" t="n"/>
      <c r="G78" s="34">
        <f>IF(F78="","",ROUND(F78*0.16,2))</f>
        <v/>
      </c>
      <c r="H78" s="34">
        <f>IF(F78="","",F78+G78)</f>
        <v/>
      </c>
    </row>
    <row r="79">
      <c r="A79" s="33" t="n">
        <v>72</v>
      </c>
      <c r="B79" s="30" t="n"/>
      <c r="C79" s="17" t="n"/>
      <c r="D79" s="17" t="n"/>
      <c r="E79" s="17" t="n"/>
      <c r="F79" s="31" t="n"/>
      <c r="G79" s="34">
        <f>IF(F79="","",ROUND(F79*0.16,2))</f>
        <v/>
      </c>
      <c r="H79" s="34">
        <f>IF(F79="","",F79+G79)</f>
        <v/>
      </c>
    </row>
    <row r="80">
      <c r="A80" s="33" t="n">
        <v>73</v>
      </c>
      <c r="B80" s="30" t="n"/>
      <c r="C80" s="17" t="n"/>
      <c r="D80" s="17" t="n"/>
      <c r="E80" s="17" t="n"/>
      <c r="F80" s="31" t="n"/>
      <c r="G80" s="34">
        <f>IF(F80="","",ROUND(F80*0.16,2))</f>
        <v/>
      </c>
      <c r="H80" s="34">
        <f>IF(F80="","",F80+G80)</f>
        <v/>
      </c>
    </row>
    <row r="81">
      <c r="A81" s="33" t="n">
        <v>74</v>
      </c>
      <c r="B81" s="30" t="n"/>
      <c r="C81" s="17" t="n"/>
      <c r="D81" s="17" t="n"/>
      <c r="E81" s="17" t="n"/>
      <c r="F81" s="31" t="n"/>
      <c r="G81" s="34">
        <f>IF(F81="","",ROUND(F81*0.16,2))</f>
        <v/>
      </c>
      <c r="H81" s="34">
        <f>IF(F81="","",F81+G81)</f>
        <v/>
      </c>
    </row>
    <row r="82">
      <c r="A82" s="33" t="n">
        <v>75</v>
      </c>
      <c r="B82" s="30" t="n"/>
      <c r="C82" s="17" t="n"/>
      <c r="D82" s="17" t="n"/>
      <c r="E82" s="17" t="n"/>
      <c r="F82" s="31" t="n"/>
      <c r="G82" s="34">
        <f>IF(F82="","",ROUND(F82*0.16,2))</f>
        <v/>
      </c>
      <c r="H82" s="34">
        <f>IF(F82="","",F82+G82)</f>
        <v/>
      </c>
    </row>
    <row r="83">
      <c r="A83" s="33" t="n">
        <v>76</v>
      </c>
      <c r="B83" s="30" t="n"/>
      <c r="C83" s="17" t="n"/>
      <c r="D83" s="17" t="n"/>
      <c r="E83" s="17" t="n"/>
      <c r="F83" s="31" t="n"/>
      <c r="G83" s="34">
        <f>IF(F83="","",ROUND(F83*0.16,2))</f>
        <v/>
      </c>
      <c r="H83" s="34">
        <f>IF(F83="","",F83+G83)</f>
        <v/>
      </c>
    </row>
    <row r="84">
      <c r="A84" s="33" t="n">
        <v>77</v>
      </c>
      <c r="B84" s="30" t="n"/>
      <c r="C84" s="17" t="n"/>
      <c r="D84" s="17" t="n"/>
      <c r="E84" s="17" t="n"/>
      <c r="F84" s="31" t="n"/>
      <c r="G84" s="34">
        <f>IF(F84="","",ROUND(F84*0.16,2))</f>
        <v/>
      </c>
      <c r="H84" s="34">
        <f>IF(F84="","",F84+G84)</f>
        <v/>
      </c>
    </row>
    <row r="85">
      <c r="A85" s="33" t="n">
        <v>78</v>
      </c>
      <c r="B85" s="30" t="n"/>
      <c r="C85" s="17" t="n"/>
      <c r="D85" s="17" t="n"/>
      <c r="E85" s="17" t="n"/>
      <c r="F85" s="31" t="n"/>
      <c r="G85" s="34">
        <f>IF(F85="","",ROUND(F85*0.16,2))</f>
        <v/>
      </c>
      <c r="H85" s="34">
        <f>IF(F85="","",F85+G85)</f>
        <v/>
      </c>
    </row>
    <row r="86">
      <c r="A86" s="33" t="n">
        <v>79</v>
      </c>
      <c r="B86" s="30" t="n"/>
      <c r="C86" s="17" t="n"/>
      <c r="D86" s="17" t="n"/>
      <c r="E86" s="17" t="n"/>
      <c r="F86" s="31" t="n"/>
      <c r="G86" s="34">
        <f>IF(F86="","",ROUND(F86*0.16,2))</f>
        <v/>
      </c>
      <c r="H86" s="34">
        <f>IF(F86="","",F86+G86)</f>
        <v/>
      </c>
    </row>
    <row r="87">
      <c r="A87" s="33" t="n">
        <v>80</v>
      </c>
      <c r="B87" s="30" t="n"/>
      <c r="C87" s="17" t="n"/>
      <c r="D87" s="17" t="n"/>
      <c r="E87" s="17" t="n"/>
      <c r="F87" s="31" t="n"/>
      <c r="G87" s="34">
        <f>IF(F87="","",ROUND(F87*0.16,2))</f>
        <v/>
      </c>
      <c r="H87" s="34">
        <f>IF(F87="","",F87+G87)</f>
        <v/>
      </c>
    </row>
    <row r="88">
      <c r="A88" s="33" t="n">
        <v>81</v>
      </c>
      <c r="B88" s="30" t="n"/>
      <c r="C88" s="17" t="n"/>
      <c r="D88" s="17" t="n"/>
      <c r="E88" s="17" t="n"/>
      <c r="F88" s="31" t="n"/>
      <c r="G88" s="34">
        <f>IF(F88="","",ROUND(F88*0.16,2))</f>
        <v/>
      </c>
      <c r="H88" s="34">
        <f>IF(F88="","",F88+G88)</f>
        <v/>
      </c>
    </row>
    <row r="89">
      <c r="A89" s="33" t="n">
        <v>82</v>
      </c>
      <c r="B89" s="30" t="n"/>
      <c r="C89" s="17" t="n"/>
      <c r="D89" s="17" t="n"/>
      <c r="E89" s="17" t="n"/>
      <c r="F89" s="31" t="n"/>
      <c r="G89" s="34">
        <f>IF(F89="","",ROUND(F89*0.16,2))</f>
        <v/>
      </c>
      <c r="H89" s="34">
        <f>IF(F89="","",F89+G89)</f>
        <v/>
      </c>
    </row>
    <row r="90">
      <c r="A90" s="33" t="n">
        <v>83</v>
      </c>
      <c r="B90" s="30" t="n"/>
      <c r="C90" s="17" t="n"/>
      <c r="D90" s="17" t="n"/>
      <c r="E90" s="17" t="n"/>
      <c r="F90" s="31" t="n"/>
      <c r="G90" s="34">
        <f>IF(F90="","",ROUND(F90*0.16,2))</f>
        <v/>
      </c>
      <c r="H90" s="34">
        <f>IF(F90="","",F90+G90)</f>
        <v/>
      </c>
    </row>
    <row r="91">
      <c r="A91" s="33" t="n">
        <v>84</v>
      </c>
      <c r="B91" s="30" t="n"/>
      <c r="C91" s="17" t="n"/>
      <c r="D91" s="17" t="n"/>
      <c r="E91" s="17" t="n"/>
      <c r="F91" s="31" t="n"/>
      <c r="G91" s="34">
        <f>IF(F91="","",ROUND(F91*0.16,2))</f>
        <v/>
      </c>
      <c r="H91" s="34">
        <f>IF(F91="","",F91+G91)</f>
        <v/>
      </c>
    </row>
    <row r="92">
      <c r="A92" s="33" t="n">
        <v>85</v>
      </c>
      <c r="B92" s="30" t="n"/>
      <c r="C92" s="17" t="n"/>
      <c r="D92" s="17" t="n"/>
      <c r="E92" s="17" t="n"/>
      <c r="F92" s="31" t="n"/>
      <c r="G92" s="34">
        <f>IF(F92="","",ROUND(F92*0.16,2))</f>
        <v/>
      </c>
      <c r="H92" s="34">
        <f>IF(F92="","",F92+G92)</f>
        <v/>
      </c>
    </row>
    <row r="93">
      <c r="A93" s="33" t="n">
        <v>86</v>
      </c>
      <c r="B93" s="30" t="n"/>
      <c r="C93" s="17" t="n"/>
      <c r="D93" s="17" t="n"/>
      <c r="E93" s="17" t="n"/>
      <c r="F93" s="31" t="n"/>
      <c r="G93" s="34">
        <f>IF(F93="","",ROUND(F93*0.16,2))</f>
        <v/>
      </c>
      <c r="H93" s="34">
        <f>IF(F93="","",F93+G93)</f>
        <v/>
      </c>
    </row>
    <row r="94">
      <c r="A94" s="33" t="n">
        <v>87</v>
      </c>
      <c r="B94" s="30" t="n"/>
      <c r="C94" s="17" t="n"/>
      <c r="D94" s="17" t="n"/>
      <c r="E94" s="17" t="n"/>
      <c r="F94" s="31" t="n"/>
      <c r="G94" s="34">
        <f>IF(F94="","",ROUND(F94*0.16,2))</f>
        <v/>
      </c>
      <c r="H94" s="34">
        <f>IF(F94="","",F94+G94)</f>
        <v/>
      </c>
    </row>
    <row r="95">
      <c r="A95" s="33" t="n">
        <v>88</v>
      </c>
      <c r="B95" s="30" t="n"/>
      <c r="C95" s="17" t="n"/>
      <c r="D95" s="17" t="n"/>
      <c r="E95" s="17" t="n"/>
      <c r="F95" s="31" t="n"/>
      <c r="G95" s="34">
        <f>IF(F95="","",ROUND(F95*0.16,2))</f>
        <v/>
      </c>
      <c r="H95" s="34">
        <f>IF(F95="","",F95+G95)</f>
        <v/>
      </c>
    </row>
    <row r="96">
      <c r="A96" s="33" t="n">
        <v>89</v>
      </c>
      <c r="B96" s="30" t="n"/>
      <c r="C96" s="17" t="n"/>
      <c r="D96" s="17" t="n"/>
      <c r="E96" s="17" t="n"/>
      <c r="F96" s="31" t="n"/>
      <c r="G96" s="34">
        <f>IF(F96="","",ROUND(F96*0.16,2))</f>
        <v/>
      </c>
      <c r="H96" s="34">
        <f>IF(F96="","",F96+G96)</f>
        <v/>
      </c>
    </row>
    <row r="97">
      <c r="A97" s="33" t="n">
        <v>90</v>
      </c>
      <c r="B97" s="30" t="n"/>
      <c r="C97" s="17" t="n"/>
      <c r="D97" s="17" t="n"/>
      <c r="E97" s="17" t="n"/>
      <c r="F97" s="31" t="n"/>
      <c r="G97" s="34">
        <f>IF(F97="","",ROUND(F97*0.16,2))</f>
        <v/>
      </c>
      <c r="H97" s="34">
        <f>IF(F97="","",F97+G97)</f>
        <v/>
      </c>
    </row>
    <row r="98">
      <c r="A98" s="33" t="n">
        <v>91</v>
      </c>
      <c r="B98" s="30" t="n"/>
      <c r="C98" s="17" t="n"/>
      <c r="D98" s="17" t="n"/>
      <c r="E98" s="17" t="n"/>
      <c r="F98" s="31" t="n"/>
      <c r="G98" s="34">
        <f>IF(F98="","",ROUND(F98*0.16,2))</f>
        <v/>
      </c>
      <c r="H98" s="34">
        <f>IF(F98="","",F98+G98)</f>
        <v/>
      </c>
    </row>
    <row r="99">
      <c r="A99" s="33" t="n">
        <v>92</v>
      </c>
      <c r="B99" s="30" t="n"/>
      <c r="C99" s="17" t="n"/>
      <c r="D99" s="17" t="n"/>
      <c r="E99" s="17" t="n"/>
      <c r="F99" s="31" t="n"/>
      <c r="G99" s="34">
        <f>IF(F99="","",ROUND(F99*0.16,2))</f>
        <v/>
      </c>
      <c r="H99" s="34">
        <f>IF(F99="","",F99+G99)</f>
        <v/>
      </c>
    </row>
    <row r="100">
      <c r="A100" s="33" t="n">
        <v>93</v>
      </c>
      <c r="B100" s="30" t="n"/>
      <c r="C100" s="17" t="n"/>
      <c r="D100" s="17" t="n"/>
      <c r="E100" s="17" t="n"/>
      <c r="F100" s="31" t="n"/>
      <c r="G100" s="34">
        <f>IF(F100="","",ROUND(F100*0.16,2))</f>
        <v/>
      </c>
      <c r="H100" s="34">
        <f>IF(F100="","",F100+G100)</f>
        <v/>
      </c>
    </row>
    <row r="101">
      <c r="A101" s="33" t="n">
        <v>94</v>
      </c>
      <c r="B101" s="30" t="n"/>
      <c r="C101" s="17" t="n"/>
      <c r="D101" s="17" t="n"/>
      <c r="E101" s="17" t="n"/>
      <c r="F101" s="31" t="n"/>
      <c r="G101" s="34">
        <f>IF(F101="","",ROUND(F101*0.16,2))</f>
        <v/>
      </c>
      <c r="H101" s="34">
        <f>IF(F101="","",F101+G101)</f>
        <v/>
      </c>
    </row>
    <row r="102">
      <c r="A102" s="33" t="n">
        <v>95</v>
      </c>
      <c r="B102" s="30" t="n"/>
      <c r="C102" s="17" t="n"/>
      <c r="D102" s="17" t="n"/>
      <c r="E102" s="17" t="n"/>
      <c r="F102" s="31" t="n"/>
      <c r="G102" s="34">
        <f>IF(F102="","",ROUND(F102*0.16,2))</f>
        <v/>
      </c>
      <c r="H102" s="34">
        <f>IF(F102="","",F102+G102)</f>
        <v/>
      </c>
    </row>
    <row r="103">
      <c r="A103" s="33" t="n">
        <v>96</v>
      </c>
      <c r="B103" s="30" t="n"/>
      <c r="C103" s="17" t="n"/>
      <c r="D103" s="17" t="n"/>
      <c r="E103" s="17" t="n"/>
      <c r="F103" s="31" t="n"/>
      <c r="G103" s="34">
        <f>IF(F103="","",ROUND(F103*0.16,2))</f>
        <v/>
      </c>
      <c r="H103" s="34">
        <f>IF(F103="","",F103+G103)</f>
        <v/>
      </c>
    </row>
    <row r="104">
      <c r="A104" s="33" t="n">
        <v>97</v>
      </c>
      <c r="B104" s="30" t="n"/>
      <c r="C104" s="17" t="n"/>
      <c r="D104" s="17" t="n"/>
      <c r="E104" s="17" t="n"/>
      <c r="F104" s="31" t="n"/>
      <c r="G104" s="34">
        <f>IF(F104="","",ROUND(F104*0.16,2))</f>
        <v/>
      </c>
      <c r="H104" s="34">
        <f>IF(F104="","",F104+G104)</f>
        <v/>
      </c>
    </row>
    <row r="105">
      <c r="A105" s="33" t="n">
        <v>98</v>
      </c>
      <c r="B105" s="30" t="n"/>
      <c r="C105" s="17" t="n"/>
      <c r="D105" s="17" t="n"/>
      <c r="E105" s="17" t="n"/>
      <c r="F105" s="31" t="n"/>
      <c r="G105" s="34">
        <f>IF(F105="","",ROUND(F105*0.16,2))</f>
        <v/>
      </c>
      <c r="H105" s="34">
        <f>IF(F105="","",F105+G105)</f>
        <v/>
      </c>
    </row>
    <row r="106">
      <c r="A106" s="33" t="n">
        <v>99</v>
      </c>
      <c r="B106" s="30" t="n"/>
      <c r="C106" s="17" t="n"/>
      <c r="D106" s="17" t="n"/>
      <c r="E106" s="17" t="n"/>
      <c r="F106" s="31" t="n"/>
      <c r="G106" s="34">
        <f>IF(F106="","",ROUND(F106*0.16,2))</f>
        <v/>
      </c>
      <c r="H106" s="34">
        <f>IF(F106="","",F106+G106)</f>
        <v/>
      </c>
    </row>
    <row r="107">
      <c r="A107" s="33" t="n">
        <v>100</v>
      </c>
      <c r="B107" s="30" t="n"/>
      <c r="C107" s="17" t="n"/>
      <c r="D107" s="17" t="n"/>
      <c r="E107" s="17" t="n"/>
      <c r="F107" s="31" t="n"/>
      <c r="G107" s="34">
        <f>IF(F107="","",ROUND(F107*0.16,2))</f>
        <v/>
      </c>
      <c r="H107" s="34">
        <f>IF(F107="","",F107+G107)</f>
        <v/>
      </c>
    </row>
    <row r="108">
      <c r="A108" s="4" t="n"/>
      <c r="B108" s="4" t="n"/>
      <c r="C108" s="4" t="n"/>
      <c r="D108" s="4" t="n"/>
      <c r="E108" s="35" t="inlineStr">
        <is>
          <t>TOTAL</t>
        </is>
      </c>
      <c r="F108" s="36">
        <f>SUM(F8:F107)</f>
        <v/>
      </c>
      <c r="G108" s="36">
        <f>SUM(G8:G107)</f>
        <v/>
      </c>
      <c r="H108" s="36">
        <f>SUM(H8:H107)</f>
        <v/>
      </c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</row>
    <row r="110">
      <c r="A110" s="37" t="inlineStr">
        <is>
          <t>TOTAL GASTADO</t>
        </is>
      </c>
      <c r="B110" s="31">
        <f>H108</f>
        <v/>
      </c>
      <c r="C110" s="17" t="n"/>
      <c r="D110" s="4" t="n"/>
      <c r="E110" s="4" t="n"/>
      <c r="F110" s="4" t="n"/>
      <c r="G110" s="4" t="n"/>
      <c r="H110" s="4" t="n"/>
    </row>
    <row r="111">
      <c r="A111" s="37" t="inlineStr">
        <is>
          <t>EFECTIVO EN CAJA</t>
        </is>
      </c>
      <c r="B111" s="31" t="n"/>
      <c r="C111" s="17" t="n"/>
      <c r="D111" s="4" t="n"/>
      <c r="E111" s="4" t="n"/>
      <c r="F111" s="4" t="n"/>
      <c r="G111" s="4" t="n"/>
      <c r="H111" s="4" t="n"/>
    </row>
    <row r="112">
      <c r="A112" s="29" t="inlineStr">
        <is>
          <t>FONDO - GASTOS</t>
        </is>
      </c>
      <c r="B112" s="31">
        <f>B5-H108</f>
        <v/>
      </c>
      <c r="C112" s="17" t="n"/>
      <c r="D112" s="4" t="n"/>
      <c r="E112" s="4" t="n"/>
      <c r="F112" s="4" t="n"/>
      <c r="G112" s="4" t="n"/>
      <c r="H112" s="4" t="n"/>
    </row>
    <row r="113">
      <c r="A113" s="29" t="inlineStr">
        <is>
          <t>DIFERENCIA</t>
        </is>
      </c>
      <c r="B113" s="31">
        <f>C111-C112</f>
        <v/>
      </c>
      <c r="C113" s="17" t="n"/>
      <c r="D113" s="4" t="n"/>
      <c r="E113" s="4" t="n"/>
      <c r="F113" s="4" t="n"/>
      <c r="G113" s="4" t="n"/>
      <c r="H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</row>
    <row r="116">
      <c r="A116" s="38" t="n"/>
      <c r="B116" s="4" t="n"/>
      <c r="C116" s="38" t="n"/>
      <c r="D116" s="4" t="n"/>
      <c r="E116" s="38" t="n"/>
      <c r="F116" s="4" t="n"/>
      <c r="G116" s="4" t="n"/>
      <c r="H116" s="4" t="n"/>
    </row>
    <row r="117">
      <c r="A117" s="39" t="inlineStr">
        <is>
          <t>ELABORÓ</t>
        </is>
      </c>
      <c r="B117" s="4" t="n"/>
      <c r="C117" s="39" t="inlineStr">
        <is>
          <t>REVISÓ</t>
        </is>
      </c>
      <c r="D117" s="4" t="n"/>
      <c r="E117" s="39" t="inlineStr">
        <is>
          <t>AUTORIZÓ</t>
        </is>
      </c>
      <c r="F117" s="4" t="n"/>
      <c r="G117" s="4" t="n"/>
      <c r="H11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A2:F2"/>
    <mergeCell ref="F4:G4"/>
    <mergeCell ref="E116"/>
    <mergeCell ref="B5:D5"/>
    <mergeCell ref="B112:C112"/>
    <mergeCell ref="A1:F1"/>
    <mergeCell ref="B111:C111"/>
    <mergeCell ref="B4:D4"/>
    <mergeCell ref="G1:H2"/>
    <mergeCell ref="C117"/>
    <mergeCell ref="E117"/>
    <mergeCell ref="B110:C110"/>
    <mergeCell ref="C116"/>
    <mergeCell ref="A116"/>
    <mergeCell ref="A117"/>
    <mergeCell ref="B113:C113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CAJA CHICA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40" t="n"/>
      <c r="J1" s="24" t="n"/>
    </row>
    <row r="2" ht="26" customHeight="1">
      <c r="A2" s="25" t="inlineStr">
        <is>
          <t>Uso del fondo fijo y comprobación de gastos</t>
        </is>
      </c>
      <c r="B2" s="26" t="n"/>
      <c r="C2" s="26" t="n"/>
      <c r="D2" s="26" t="n"/>
      <c r="E2" s="26" t="n"/>
      <c r="F2" s="26" t="n"/>
      <c r="G2" s="26" t="n"/>
      <c r="H2" s="27" t="n"/>
      <c r="I2" s="41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2" t="inlineStr">
        <is>
          <t>FONDO FIJO</t>
        </is>
      </c>
      <c r="C4" s="43" t="n"/>
      <c r="D4" s="42" t="inlineStr">
        <is>
          <t>TOTAL GASTADO</t>
        </is>
      </c>
      <c r="E4" s="43" t="n"/>
      <c r="F4" s="42" t="inlineStr">
        <is>
          <t>DISPONIBLE</t>
        </is>
      </c>
      <c r="G4" s="43" t="n"/>
      <c r="H4" s="42" t="inlineStr">
        <is>
          <t>% DEL FONDO USADO</t>
        </is>
      </c>
      <c r="I4" s="43" t="n"/>
      <c r="J4" s="4" t="n"/>
    </row>
    <row r="5" ht="36" customHeight="1">
      <c r="A5" s="4" t="n"/>
      <c r="B5" s="44">
        <f>FORMATO!B5</f>
        <v/>
      </c>
      <c r="C5" s="45" t="n"/>
      <c r="D5" s="44">
        <f>FORMATO!H108</f>
        <v/>
      </c>
      <c r="E5" s="45" t="n"/>
      <c r="F5" s="44">
        <f>B5-D5</f>
        <v/>
      </c>
      <c r="G5" s="45" t="n"/>
      <c r="H5" s="46">
        <f>IFERROR(D5/B5,0)</f>
        <v/>
      </c>
      <c r="I5" s="45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2" t="inlineStr">
        <is>
          <t>CONCEPTO</t>
        </is>
      </c>
      <c r="C25" s="32" t="inlineStr">
        <is>
          <t>IMPORTE</t>
        </is>
      </c>
      <c r="D25" s="4" t="n"/>
      <c r="E25" s="4" t="n"/>
      <c r="F25" s="4" t="n"/>
      <c r="G25" s="4" t="n"/>
      <c r="H25" s="4" t="n"/>
      <c r="I25" s="4" t="n"/>
      <c r="J25" s="4" t="n"/>
    </row>
    <row r="26" ht="20" customHeight="1">
      <c r="A26" s="4" t="n"/>
      <c r="B26" s="47" t="inlineStr">
        <is>
          <t>GASTADO</t>
        </is>
      </c>
      <c r="C26" s="34">
        <f>D5</f>
        <v/>
      </c>
      <c r="D26" s="4" t="n"/>
      <c r="E26" s="4" t="n"/>
      <c r="F26" s="42" t="inlineStr">
        <is>
          <t>IVA ACUMULADO</t>
        </is>
      </c>
      <c r="G26" s="43" t="n"/>
      <c r="H26" s="42" t="inlineStr">
        <is>
          <t>VALES REGISTRADOS</t>
        </is>
      </c>
      <c r="I26" s="43" t="n"/>
      <c r="J26" s="4" t="n"/>
    </row>
    <row r="27" ht="36" customHeight="1">
      <c r="A27" s="4" t="n"/>
      <c r="B27" s="47" t="inlineStr">
        <is>
          <t>DISPONIBLE</t>
        </is>
      </c>
      <c r="C27" s="34">
        <f>MAX(0,F5)</f>
        <v/>
      </c>
      <c r="D27" s="4" t="n"/>
      <c r="E27" s="4" t="n"/>
      <c r="F27" s="44">
        <f>FORMATO!G108</f>
        <v/>
      </c>
      <c r="G27" s="45" t="n"/>
      <c r="H27" s="48">
        <f>COUNT(FORMATO!F8:F107)</f>
        <v/>
      </c>
      <c r="I27" s="45" t="n"/>
      <c r="J2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F26:G26"/>
    <mergeCell ref="F27:G27"/>
    <mergeCell ref="B4:C4"/>
    <mergeCell ref="H27:I27"/>
    <mergeCell ref="H26:I26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C1" s="4" t="n"/>
      <c r="D1" s="4" t="n"/>
      <c r="E1" s="1" t="n"/>
    </row>
    <row r="2">
      <c r="A2" s="1" t="n"/>
      <c r="B2" s="50" t="inlineStr">
        <is>
          <t>CONTROL DE CAJA CHICA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1" t="inlineStr">
        <is>
          <t>¿Cuánto debe ser el fondo fijo?</t>
        </is>
      </c>
      <c r="D6" s="52" t="inlineStr">
        <is>
          <t>Lo suficiente para cubrir de una a dos semanas de gastos menores. Lo más común es entre $1,500 y $5,000 MXN.</t>
        </is>
      </c>
      <c r="E6" s="4" t="n"/>
    </row>
    <row r="7" ht="38" customHeight="1">
      <c r="A7" s="4" t="n"/>
      <c r="B7" s="4" t="n"/>
      <c r="C7" s="51" t="inlineStr">
        <is>
          <t>¿El IVA siempre es 16%?</t>
        </is>
      </c>
      <c r="D7" s="52" t="inlineStr">
        <is>
          <t>En la zona fronteriza puede ser 8%. Si un gasto no genera IVA acreditable, sobrescribe la celda de IVA con 0.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FONDO FIJO</t>
        </is>
      </c>
      <c r="D16" s="54" t="inlineStr">
        <is>
          <t>Monto asignado a caja chica que se repone periódicamente.</t>
        </is>
      </c>
      <c r="E16" s="4" t="n"/>
    </row>
    <row r="17" ht="21" customHeight="1">
      <c r="A17" s="4" t="n"/>
      <c r="B17" s="4" t="n"/>
      <c r="C17" s="53" t="inlineStr">
        <is>
          <t>VALE</t>
        </is>
      </c>
      <c r="D17" s="54" t="inlineStr">
        <is>
          <t>Comprobante interno firmado por quien recibe el dinero.</t>
        </is>
      </c>
      <c r="E17" s="4" t="n"/>
    </row>
    <row r="18" ht="21" customHeight="1">
      <c r="A18" s="4" t="n"/>
      <c r="B18" s="4" t="n"/>
      <c r="C18" s="53" t="inlineStr">
        <is>
          <t>ARQUEO</t>
        </is>
      </c>
      <c r="D18" s="54" t="inlineStr">
        <is>
          <t>Conteo físico del efectivo y comprobantes para comparar con el fondo.</t>
        </is>
      </c>
      <c r="E18" s="4" t="n"/>
    </row>
    <row r="19" ht="21" customHeight="1">
      <c r="A19" s="4" t="n"/>
      <c r="B19" s="4" t="n"/>
      <c r="C19" s="53" t="inlineStr">
        <is>
          <t>REEMBOLSO</t>
        </is>
      </c>
      <c r="D19" s="54" t="inlineStr">
        <is>
          <t>Reposición del efectivo gastado.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Fondo fijo autorizado por escrito</t>
        </is>
      </c>
      <c r="D22" s="4" t="n"/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Vales numerados y firmados</t>
        </is>
      </c>
      <c r="D23" s="4" t="n"/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Arqueo realizado y firmado</t>
        </is>
      </c>
      <c r="D24" s="4" t="n"/>
      <c r="E24" s="4" t="n"/>
    </row>
    <row r="25" ht="20" customHeight="1">
      <c r="A25" s="4" t="n"/>
      <c r="B25" s="55" t="inlineStr">
        <is>
          <t>☐</t>
        </is>
      </c>
      <c r="C25" s="56" t="inlineStr">
        <is>
          <t>Comprobantes entregados a contabilidad</t>
        </is>
      </c>
      <c r="D25" s="4" t="n"/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2026-10-07T21:52:18Z</dcterms:created>
  <dcterms:modified xmlns:dcterms="http://purl.org/dc/terms/" xmlns:xsi="http://www.w3.org/2001/XMLSchema-instance" xsi:type="dcterms:W3CDTF">2026-10-07T21:52:18Z</dcterms:modified>
</cp:coreProperties>
</file>