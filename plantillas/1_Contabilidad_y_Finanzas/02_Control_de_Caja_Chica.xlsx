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FORMATO" sheetId="2" state="visible" r:id="rId2"/>
    <sheet xmlns:r="http://schemas.openxmlformats.org/officeDocument/2006/relationships" name="RESUMEN" sheetId="3" state="visible" r:id="rId3"/>
    <sheet xmlns:r="http://schemas.openxmlformats.org/officeDocument/2006/relationships" name="AYUDA" sheetId="4" state="visible" r:id="rId4"/>
  </sheets>
  <definedNames>
    <definedName name="_xlnm.Print_Titles" localSheetId="1">'FORMATO'!$7:$7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&quot;$&quot;#,##0.00"/>
  </numFmts>
  <fonts count="28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5B6B78"/>
      <sz val="10"/>
    </font>
    <font>
      <name val="Arial"/>
      <i val="1"/>
      <color rgb="00A6A6A6"/>
      <sz val="8"/>
    </font>
    <font>
      <name val="Arial"/>
      <b val="1"/>
      <color rgb="000E7C8B"/>
    </font>
    <font>
      <name val="Arial"/>
      <b val="1"/>
      <color rgb="00FFFFFF"/>
    </font>
    <font>
      <name val="Arial"/>
      <b val="1"/>
    </font>
    <font>
      <name val="Arial"/>
      <b val="1"/>
      <color rgb="000B2A4A"/>
    </font>
    <font>
      <name val="Arial"/>
      <b val="1"/>
      <color rgb="000E7C8B"/>
      <sz val="9"/>
    </font>
    <font>
      <name val="Arial"/>
      <b val="1"/>
      <color rgb="000B2A4A"/>
      <sz val="24"/>
    </font>
    <font>
      <name val="Arial"/>
      <b val="1"/>
      <color rgb="00C9A227"/>
      <sz val="11"/>
    </font>
    <font>
      <name val="Arial"/>
      <b val="1"/>
      <color rgb="00C9D3DB"/>
      <sz val="9"/>
    </font>
    <font>
      <name val="Arial"/>
      <b val="1"/>
      <color rgb="00FFFFFF"/>
      <sz val="30"/>
    </font>
    <font>
      <name val="Arial"/>
      <i val="1"/>
      <color rgb="00C9D3DB"/>
      <sz val="12"/>
    </font>
    <font>
      <name val="Arial"/>
      <b val="1"/>
      <color rgb="00C9A227"/>
      <sz val="9"/>
    </font>
    <font>
      <name val="Arial"/>
      <b val="1"/>
      <color rgb="000E7C8B"/>
      <sz val="12"/>
    </font>
    <font>
      <name val="Arial"/>
      <b val="1"/>
      <color rgb="000E7C8B"/>
      <sz val="10"/>
      <u val="single"/>
    </font>
    <font>
      <name val="Arial"/>
      <color rgb="002B2B2B"/>
      <sz val="10"/>
    </font>
    <font>
      <name val="Arial"/>
      <b val="1"/>
      <color rgb="000B2A4A"/>
      <sz val="10"/>
    </font>
    <font>
      <name val="Arial"/>
      <b val="1"/>
      <color rgb="00C9A227"/>
      <sz val="12"/>
    </font>
    <font>
      <name val="Arial"/>
      <b val="1"/>
      <color rgb="000E7C8B"/>
      <sz val="11"/>
    </font>
    <font>
      <name val="Arial"/>
      <color rgb="005B6B78"/>
      <sz val="10"/>
    </font>
    <font>
      <name val="Arial"/>
      <color rgb="00C9D3DB"/>
      <sz val="9"/>
    </font>
    <font>
      <name val="Arial"/>
      <b val="1"/>
      <color rgb="00FFFFFF"/>
      <sz val="18"/>
    </font>
    <font>
      <name val="Arial"/>
      <b val="1"/>
      <color rgb="00C9A227"/>
      <sz val="10"/>
    </font>
    <font>
      <name val="Arial"/>
      <b val="1"/>
      <color rgb="000E7C8B"/>
      <sz val="10"/>
    </font>
    <font>
      <name val="Arial"/>
      <color rgb="000B2A4A"/>
      <sz val="12"/>
    </font>
    <font>
      <name val="Arial"/>
      <color theme="1"/>
      <sz val="10"/>
    </font>
  </fonts>
  <fills count="8">
    <fill>
      <patternFill/>
    </fill>
    <fill>
      <patternFill patternType="gray125"/>
    </fill>
    <fill>
      <patternFill patternType="solid">
        <fgColor rgb="000B2A4A"/>
      </patternFill>
    </fill>
    <fill>
      <patternFill patternType="solid">
        <fgColor rgb="00E6ECF1"/>
      </patternFill>
    </fill>
    <fill>
      <patternFill patternType="solid">
        <fgColor rgb="00FFFCF0"/>
      </patternFill>
    </fill>
    <fill>
      <gradientFill type="linear" degree="90">
        <stop position="0">
          <color rgb="0017426B"/>
        </stop>
        <stop position="1">
          <color rgb="000B2A4A"/>
        </stop>
      </gradientFill>
    </fill>
    <fill>
      <patternFill patternType="solid">
        <fgColor rgb="00EEF2F5"/>
      </patternFill>
    </fill>
    <fill>
      <patternFill patternType="solid">
        <fgColor rgb="00FFFFFF"/>
      </patternFill>
    </fill>
  </fills>
  <borders count="20">
    <border>
      <left/>
      <right/>
      <top/>
      <bottom/>
      <diagonal/>
    </border>
    <border>
      <bottom style="medium">
        <color rgb="00C9A227"/>
      </bottom>
    </border>
    <border>
      <left/>
      <right/>
      <top/>
      <bottom style="medium">
        <color rgb="00C9A227"/>
      </bottom>
      <diagonal/>
    </border>
    <border>
      <left style="dashed">
        <color rgb="00A6A6A6"/>
      </left>
      <top style="dashed">
        <color rgb="00A6A6A6"/>
      </top>
    </border>
    <border>
      <right style="dashed">
        <color rgb="00A6A6A6"/>
      </right>
      <top style="dashed">
        <color rgb="00A6A6A6"/>
      </top>
    </border>
    <border>
      <left style="dashed">
        <color rgb="00A6A6A6"/>
      </left>
      <bottom style="dashed">
        <color rgb="00A6A6A6"/>
      </bottom>
    </border>
    <border>
      <right style="dashed">
        <color rgb="00A6A6A6"/>
      </right>
      <bottom style="dashed">
        <color rgb="00A6A6A6"/>
      </bottom>
    </border>
    <border>
      <left style="thin">
        <color rgb="00C9D3DB"/>
      </left>
      <right style="thin">
        <color rgb="00C9D3DB"/>
      </right>
      <top style="thin">
        <color rgb="00C9D3DB"/>
      </top>
      <bottom style="thin">
        <color rgb="00C9D3DB"/>
      </bottom>
    </border>
    <border>
      <left style="thin">
        <color rgb="00C9D3DB"/>
      </left>
      <right style="thin">
        <color rgb="00C9D3DB"/>
      </right>
      <top style="medium">
        <color rgb="00C9A227"/>
      </top>
      <bottom style="thin">
        <color rgb="00C9D3DB"/>
      </bottom>
    </border>
    <border>
      <bottom style="thin"/>
    </border>
    <border>
      <top style="dashed">
        <color rgb="00A6A6A6"/>
      </top>
    </border>
    <border>
      <bottom style="dashed">
        <color rgb="00A6A6A6"/>
      </bottom>
    </border>
    <border>
      <left style="thin">
        <color rgb="00C9D3DB"/>
      </left>
      <top style="medium">
        <color rgb="00C9A227"/>
      </top>
    </border>
    <border>
      <right style="thin">
        <color rgb="00C9D3DB"/>
      </right>
      <top style="medium">
        <color rgb="00C9A227"/>
      </top>
    </border>
    <border>
      <left style="thin">
        <color rgb="00C9D3DB"/>
      </left>
      <bottom style="thin">
        <color rgb="00C9D3DB"/>
      </bottom>
    </border>
    <border>
      <right style="thin">
        <color rgb="00C9D3DB"/>
      </right>
      <bottom style="thin">
        <color rgb="00C9D3DB"/>
      </bottom>
    </border>
    <border>
      <left style="thin">
        <color rgb="00C9A227"/>
      </left>
      <right style="thin">
        <color rgb="00C9A227"/>
      </right>
      <top style="thin">
        <color rgb="00C9A227"/>
      </top>
      <bottom style="thin">
        <color rgb="00C9A227"/>
      </bottom>
    </border>
    <border>
      <top style="thick">
        <color rgb="00C9A227"/>
      </top>
    </border>
    <border>
      <bottom style="thin">
        <color rgb="00E3E8ED"/>
      </bottom>
    </border>
    <border>
      <bottom style="thin">
        <color rgb="00C9D3DB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27" fillId="2" borderId="0" pivotButton="0" quotePrefix="0" xfId="0"/>
    <xf numFmtId="0" fontId="10" fillId="2" borderId="0" pivotButton="0" quotePrefix="0" xfId="0"/>
    <xf numFmtId="0" fontId="11" fillId="2" borderId="0" applyAlignment="1" pivotButton="0" quotePrefix="0" xfId="0">
      <alignment horizontal="right" vertical="center"/>
    </xf>
    <xf numFmtId="0" fontId="27" fillId="0" borderId="0" pivotButton="0" quotePrefix="0" xfId="0"/>
    <xf numFmtId="0" fontId="12" fillId="2" borderId="0" applyAlignment="1" pivotButton="0" quotePrefix="0" xfId="0">
      <alignment vertical="center" wrapText="1"/>
    </xf>
    <xf numFmtId="0" fontId="13" fillId="2" borderId="0" pivotButton="0" quotePrefix="0" xfId="0"/>
    <xf numFmtId="0" fontId="14" fillId="2" borderId="16" applyAlignment="1" pivotButton="0" quotePrefix="0" xfId="0">
      <alignment horizontal="center" vertical="center"/>
    </xf>
    <xf numFmtId="0" fontId="27" fillId="0" borderId="17" pivotButton="0" quotePrefix="0" xfId="0"/>
    <xf numFmtId="0" fontId="15" fillId="0" borderId="1" pivotButton="0" quotePrefix="0" xfId="0"/>
    <xf numFmtId="0" fontId="27" fillId="0" borderId="1" pivotButton="0" quotePrefix="0" xfId="0"/>
    <xf numFmtId="0" fontId="10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 wrapText="1"/>
    </xf>
    <xf numFmtId="0" fontId="16" fillId="0" borderId="0" pivotButton="0" quotePrefix="0" xfId="0"/>
    <xf numFmtId="0" fontId="18" fillId="0" borderId="18" applyAlignment="1" pivotButton="0" quotePrefix="0" xfId="0">
      <alignment vertical="center"/>
    </xf>
    <xf numFmtId="0" fontId="17" fillId="0" borderId="18" applyAlignment="1" pivotButton="0" quotePrefix="0" xfId="0">
      <alignment vertical="center" wrapText="1"/>
    </xf>
    <xf numFmtId="0" fontId="27" fillId="0" borderId="18" pivotButton="0" quotePrefix="0" xfId="0"/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7" fillId="4" borderId="7" applyProtection="1" pivotButton="0" quotePrefix="0" xfId="0">
      <protection locked="0" hidden="0"/>
    </xf>
    <xf numFmtId="0" fontId="21" fillId="0" borderId="0" pivotButton="0" quotePrefix="0" xfId="0"/>
    <xf numFmtId="0" fontId="27" fillId="6" borderId="7" pivotButton="0" quotePrefix="0" xfId="0"/>
    <xf numFmtId="0" fontId="27" fillId="2" borderId="7" pivotButton="0" quotePrefix="0" xfId="0"/>
    <xf numFmtId="0" fontId="27" fillId="7" borderId="7" pivotButton="0" quotePrefix="0" xfId="0"/>
    <xf numFmtId="0" fontId="22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27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27" fillId="0" borderId="2" pivotButton="0" quotePrefix="0" xfId="0"/>
    <xf numFmtId="0" fontId="27" fillId="0" borderId="5" pivotButton="0" quotePrefix="0" xfId="0"/>
    <xf numFmtId="0" fontId="27" fillId="0" borderId="6" pivotButton="0" quotePrefix="0" xfId="0"/>
    <xf numFmtId="0" fontId="4" fillId="3" borderId="7" pivotButton="0" quotePrefix="0" xfId="0"/>
    <xf numFmtId="164" fontId="27" fillId="4" borderId="7" applyProtection="1" pivotButton="0" quotePrefix="0" xfId="0">
      <protection locked="0" hidden="0"/>
    </xf>
    <xf numFmtId="165" fontId="27" fillId="4" borderId="7" applyProtection="1" pivotButton="0" quotePrefix="0" xfId="0">
      <protection locked="0" hidden="0"/>
    </xf>
    <xf numFmtId="0" fontId="5" fillId="5" borderId="8" applyAlignment="1" pivotButton="0" quotePrefix="0" xfId="0">
      <alignment horizontal="center" vertical="center" wrapText="1"/>
    </xf>
    <xf numFmtId="0" fontId="27" fillId="6" borderId="7" applyAlignment="1" pivotButton="0" quotePrefix="0" xfId="0">
      <alignment horizontal="center"/>
    </xf>
    <xf numFmtId="164" fontId="27" fillId="4" borderId="7" applyAlignment="1" applyProtection="1" pivotButton="0" quotePrefix="0" xfId="0">
      <alignment vertical="center"/>
      <protection locked="0" hidden="0"/>
    </xf>
    <xf numFmtId="0" fontId="27" fillId="4" borderId="7" applyAlignment="1" applyProtection="1" pivotButton="0" quotePrefix="0" xfId="0">
      <alignment vertical="center"/>
      <protection locked="0" hidden="0"/>
    </xf>
    <xf numFmtId="165" fontId="27" fillId="4" borderId="7" applyAlignment="1" applyProtection="1" pivotButton="0" quotePrefix="0" xfId="0">
      <alignment vertical="center"/>
      <protection locked="0" hidden="0"/>
    </xf>
    <xf numFmtId="165" fontId="27" fillId="6" borderId="7" applyAlignment="1" pivotButton="0" quotePrefix="0" xfId="0">
      <alignment vertical="center"/>
    </xf>
    <xf numFmtId="0" fontId="6" fillId="0" borderId="0" applyAlignment="1" pivotButton="0" quotePrefix="0" xfId="0">
      <alignment horizontal="right"/>
    </xf>
    <xf numFmtId="165" fontId="7" fillId="3" borderId="7" pivotButton="0" quotePrefix="0" xfId="0"/>
    <xf numFmtId="0" fontId="4" fillId="3" borderId="7" applyAlignment="1" pivotButton="0" quotePrefix="0" xfId="0">
      <alignment wrapText="1"/>
    </xf>
    <xf numFmtId="0" fontId="27" fillId="0" borderId="9" pivotButton="0" quotePrefix="0" xfId="0"/>
    <xf numFmtId="0" fontId="6" fillId="0" borderId="0" applyAlignment="1" pivotButton="0" quotePrefix="0" xfId="0">
      <alignment horizontal="center"/>
    </xf>
    <xf numFmtId="0" fontId="27" fillId="0" borderId="10" pivotButton="0" quotePrefix="0" xfId="0"/>
    <xf numFmtId="0" fontId="27" fillId="0" borderId="11" pivotButton="0" quotePrefix="0" xfId="0"/>
    <xf numFmtId="0" fontId="8" fillId="3" borderId="12" applyAlignment="1" pivotButton="0" quotePrefix="0" xfId="0">
      <alignment horizontal="center" vertical="center"/>
    </xf>
    <xf numFmtId="0" fontId="27" fillId="3" borderId="13" pivotButton="0" quotePrefix="0" xfId="0"/>
    <xf numFmtId="165" fontId="9" fillId="7" borderId="14" applyAlignment="1" pivotButton="0" quotePrefix="0" xfId="0">
      <alignment horizontal="center" vertical="center"/>
    </xf>
    <xf numFmtId="0" fontId="27" fillId="7" borderId="15" pivotButton="0" quotePrefix="0" xfId="0"/>
    <xf numFmtId="9" fontId="9" fillId="7" borderId="14" applyAlignment="1" pivotButton="0" quotePrefix="0" xfId="0">
      <alignment horizontal="center" vertical="center"/>
    </xf>
    <xf numFmtId="0" fontId="27" fillId="0" borderId="7" pivotButton="0" quotePrefix="0" xfId="0"/>
    <xf numFmtId="165" fontId="27" fillId="6" borderId="7" pivotButton="0" quotePrefix="0" xfId="0"/>
    <xf numFmtId="1" fontId="9" fillId="7" borderId="14" applyAlignment="1" pivotButton="0" quotePrefix="0" xfId="0">
      <alignment horizontal="center" vertical="center"/>
    </xf>
    <xf numFmtId="0" fontId="23" fillId="2" borderId="0" applyAlignment="1" pivotButton="0" quotePrefix="0" xfId="0">
      <alignment vertical="center"/>
    </xf>
    <xf numFmtId="0" fontId="24" fillId="2" borderId="0" pivotButton="0" quotePrefix="0" xfId="0"/>
    <xf numFmtId="0" fontId="18" fillId="0" borderId="19" applyAlignment="1" pivotButton="0" quotePrefix="0" xfId="0">
      <alignment vertical="top" wrapText="1"/>
    </xf>
    <xf numFmtId="0" fontId="17" fillId="0" borderId="19" applyAlignment="1" pivotButton="0" quotePrefix="0" xfId="0">
      <alignment vertical="top" wrapText="1"/>
    </xf>
    <xf numFmtId="0" fontId="25" fillId="0" borderId="19" pivotButton="0" quotePrefix="0" xfId="0"/>
    <xf numFmtId="0" fontId="17" fillId="0" borderId="19" applyAlignment="1" pivotButton="0" quotePrefix="0" xfId="0">
      <alignment vertical="center" wrapText="1"/>
    </xf>
    <xf numFmtId="0" fontId="26" fillId="4" borderId="7" applyAlignment="1" applyProtection="1" pivotButton="0" quotePrefix="0" xfId="0">
      <alignment horizontal="center"/>
      <protection locked="0" hidden="0"/>
    </xf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Uso del fondo</a:t>
            </a:r>
          </a:p>
        </rich>
      </tx>
    </title>
    <plotArea>
      <pieChart>
        <varyColors val="1"/>
        <ser>
          <idx val="0"/>
          <order val="0"/>
          <tx>
            <strRef>
              <f>'RESUMEN'!C25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E69F00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2A0A8"/>
              </a:solidFill>
              <a:ln xmlns:a="http://schemas.openxmlformats.org/drawingml/2006/main">
                <a:prstDash val="solid"/>
              </a:ln>
            </spPr>
          </dPt>
          <cat>
            <numRef>
              <f>'RESUMEN'!$B$26:$B$27</f>
            </numRef>
          </cat>
          <val>
            <numRef>
              <f>'RESUMEN'!$C$26:$C$27</f>
            </numRef>
          </val>
        </ser>
        <dLbls>
          <showVal val="0"/>
          <showCatName val="0"/>
          <showSer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7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FORMATO'!A1" TargetMode="External" Id="rId1"/><Relationship Type="http://schemas.openxmlformats.org/officeDocument/2006/relationships/hyperlink" Target="#'RESUMEN'!A1" TargetMode="External" Id="rId2"/><Relationship Type="http://schemas.openxmlformats.org/officeDocument/2006/relationships/hyperlink" Target="#'AYUDA'!A1" TargetMode="External" Id="rId3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G4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7" customWidth="1" min="3" max="3"/>
    <col width="27" customWidth="1" min="4" max="4"/>
    <col width="27" customWidth="1" min="5" max="5"/>
    <col width="27" customWidth="1" min="6" max="6"/>
    <col width="3" customWidth="1" min="7" max="7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</row>
    <row r="2" ht="22" customHeight="1">
      <c r="A2" s="1" t="n"/>
      <c r="B2" s="2" t="inlineStr">
        <is>
          <t>FORMATOS ADMINISTRATIVOS</t>
        </is>
      </c>
      <c r="C2" s="1" t="n"/>
      <c r="D2" s="1" t="n"/>
      <c r="E2" s="3" t="inlineStr">
        <is>
          <t>VERSIÓN 2.0  ·  MÉXICO</t>
        </is>
      </c>
      <c r="F2" s="4" t="n"/>
      <c r="G2" s="1" t="n"/>
    </row>
    <row r="3">
      <c r="A3" s="1" t="n"/>
      <c r="B3" s="1" t="n"/>
      <c r="C3" s="1" t="n"/>
      <c r="D3" s="1" t="n"/>
      <c r="E3" s="1" t="n"/>
      <c r="F3" s="1" t="n"/>
      <c r="G3" s="1" t="n"/>
    </row>
    <row r="4" ht="30" customHeight="1">
      <c r="A4" s="1" t="n"/>
      <c r="B4" s="5" t="inlineStr">
        <is>
          <t>CONTROL DE CAJA CHICA</t>
        </is>
      </c>
      <c r="C4" s="4" t="n"/>
      <c r="D4" s="4" t="n"/>
      <c r="E4" s="4" t="n"/>
      <c r="F4" s="4" t="n"/>
      <c r="G4" s="1" t="n"/>
    </row>
    <row r="5" ht="30" customHeight="1">
      <c r="A5" s="1" t="n"/>
      <c r="B5" s="4" t="n"/>
      <c r="C5" s="4" t="n"/>
      <c r="D5" s="4" t="n"/>
      <c r="E5" s="4" t="n"/>
      <c r="F5" s="4" t="n"/>
      <c r="G5" s="1" t="n"/>
    </row>
    <row r="6" ht="22" customHeight="1">
      <c r="A6" s="1" t="n"/>
      <c r="B6" s="6" t="inlineStr">
        <is>
          <t>Formato administrativo profesional · editable · listo para imprimir</t>
        </is>
      </c>
      <c r="C6" s="4" t="n"/>
      <c r="D6" s="4" t="n"/>
      <c r="E6" s="4" t="n"/>
      <c r="F6" s="4" t="n"/>
      <c r="G6" s="1" t="n"/>
    </row>
    <row r="7">
      <c r="A7" s="1" t="n"/>
      <c r="B7" s="1" t="n"/>
      <c r="C7" s="1" t="n"/>
      <c r="D7" s="1" t="n"/>
      <c r="E7" s="1" t="n"/>
      <c r="F7" s="1" t="n"/>
      <c r="G7" s="1" t="n"/>
    </row>
    <row r="8" ht="4" customHeight="1">
      <c r="A8" s="1" t="n"/>
      <c r="B8" s="1" t="n"/>
      <c r="C8" s="1" t="n"/>
      <c r="D8" s="1" t="n"/>
      <c r="E8" s="1" t="n"/>
      <c r="F8" s="1" t="n"/>
      <c r="G8" s="1" t="n"/>
    </row>
    <row r="9" ht="24" customHeight="1">
      <c r="A9" s="1" t="n"/>
      <c r="B9" s="1" t="n"/>
      <c r="C9" s="7" t="inlineStr">
        <is>
          <t>FÓRMULAS AUTOMÁTICAS</t>
        </is>
      </c>
      <c r="D9" s="7" t="inlineStr">
        <is>
          <t>LISTAS DESPLEGABLES</t>
        </is>
      </c>
      <c r="E9" s="7" t="inlineStr">
        <is>
          <t>HOJAS PROTEGIDAS</t>
        </is>
      </c>
      <c r="F9" s="7" t="inlineStr">
        <is>
          <t>LISTO PARA IMPRIMIR</t>
        </is>
      </c>
      <c r="G9" s="1" t="n"/>
    </row>
    <row r="10">
      <c r="A10" s="1" t="n"/>
      <c r="B10" s="1" t="n"/>
      <c r="C10" s="1" t="n"/>
      <c r="D10" s="1" t="n"/>
      <c r="E10" s="1" t="n"/>
      <c r="F10" s="1" t="n"/>
      <c r="G10" s="1" t="n"/>
    </row>
    <row r="11">
      <c r="A11" s="1" t="n"/>
      <c r="B11" s="1" t="n"/>
      <c r="C11" s="1" t="n"/>
      <c r="D11" s="1" t="n"/>
      <c r="E11" s="1" t="n"/>
      <c r="F11" s="1" t="n"/>
      <c r="G11" s="1" t="n"/>
    </row>
    <row r="12">
      <c r="A12" s="1" t="n"/>
      <c r="B12" s="1" t="n"/>
      <c r="C12" s="1" t="n"/>
      <c r="D12" s="1" t="n"/>
      <c r="E12" s="1" t="n"/>
      <c r="F12" s="1" t="n"/>
      <c r="G12" s="1" t="n"/>
    </row>
    <row r="13" ht="6" customHeight="1">
      <c r="A13" s="8" t="n"/>
      <c r="B13" s="8" t="n"/>
      <c r="C13" s="8" t="n"/>
      <c r="D13" s="8" t="n"/>
      <c r="E13" s="8" t="n"/>
      <c r="F13" s="8" t="n"/>
      <c r="G13" s="8" t="n"/>
    </row>
    <row r="14">
      <c r="A14" s="4" t="n"/>
      <c r="B14" s="4" t="n"/>
      <c r="C14" s="4" t="n"/>
      <c r="D14" s="4" t="n"/>
      <c r="E14" s="4" t="n"/>
      <c r="F14" s="4" t="n"/>
      <c r="G14" s="4" t="n"/>
    </row>
    <row r="15" ht="24" customHeight="1">
      <c r="A15" s="4" t="n"/>
      <c r="B15" s="9" t="inlineStr">
        <is>
          <t>¿QUÉ INCLUYE ESTE ARCHIVO?</t>
        </is>
      </c>
      <c r="C15" s="10" t="n"/>
      <c r="D15" s="10" t="n"/>
      <c r="E15" s="10" t="n"/>
      <c r="F15" s="10" t="n"/>
      <c r="G15" s="4" t="n"/>
    </row>
    <row r="16" ht="36" customHeight="1">
      <c r="A16" s="4" t="n"/>
      <c r="B16" s="11" t="inlineStr">
        <is>
          <t>▸</t>
        </is>
      </c>
      <c r="C16" s="12" t="inlineStr">
        <is>
          <t>FORMATO</t>
        </is>
      </c>
      <c r="D16" s="13" t="inlineStr">
        <is>
          <t>Hoja principal de captura. Aquí registras tu información; las celdas grises calculan solas.</t>
        </is>
      </c>
      <c r="E16" s="4" t="n"/>
      <c r="F16" s="4" t="n"/>
      <c r="G16" s="4" t="n"/>
    </row>
    <row r="17" ht="36" customHeight="1">
      <c r="A17" s="4" t="n"/>
      <c r="B17" s="11" t="inlineStr">
        <is>
          <t>▸</t>
        </is>
      </c>
      <c r="C17" s="12" t="inlineStr">
        <is>
          <t>RESUMEN</t>
        </is>
      </c>
      <c r="D17" s="13" t="inlineStr">
        <is>
          <t>Tablero con indicadores y gráficas que se actualizan automáticamente con tus datos.</t>
        </is>
      </c>
      <c r="E17" s="4" t="n"/>
      <c r="F17" s="4" t="n"/>
      <c r="G17" s="4" t="n"/>
    </row>
    <row r="18" ht="21" customHeight="1">
      <c r="A18" s="4" t="n"/>
      <c r="B18" s="11" t="inlineStr">
        <is>
          <t>▸</t>
        </is>
      </c>
      <c r="C18" s="14" t="inlineStr">
        <is>
          <t>AYUDA</t>
        </is>
      </c>
      <c r="D18" s="13" t="inlineStr">
        <is>
          <t>Preguntas frecuentes, glosario y lista de verificación para cerrar tu periodo.</t>
        </is>
      </c>
      <c r="E18" s="4" t="n"/>
      <c r="F18" s="4" t="n"/>
      <c r="G18" s="4" t="n"/>
    </row>
    <row r="19">
      <c r="A19" s="4" t="n"/>
      <c r="B19" s="4" t="n"/>
      <c r="C19" s="4" t="n"/>
      <c r="D19" s="4" t="n"/>
      <c r="E19" s="4" t="n"/>
      <c r="F19" s="4" t="n"/>
      <c r="G19" s="4" t="n"/>
    </row>
    <row r="20" ht="24" customHeight="1">
      <c r="A20" s="4" t="n"/>
      <c r="B20" s="9" t="inlineStr">
        <is>
          <t>FICHA TÉCNICA</t>
        </is>
      </c>
      <c r="C20" s="10" t="n"/>
      <c r="D20" s="10" t="n"/>
      <c r="E20" s="10" t="n"/>
      <c r="F20" s="10" t="n"/>
      <c r="G20" s="4" t="n"/>
    </row>
    <row r="21" ht="21" customHeight="1">
      <c r="A21" s="4" t="n"/>
      <c r="B21" s="4" t="n"/>
      <c r="C21" s="15" t="inlineStr">
        <is>
          <t>Capacidad</t>
        </is>
      </c>
      <c r="D21" s="16" t="inlineStr">
        <is>
          <t>100 vales</t>
        </is>
      </c>
      <c r="E21" s="17" t="n"/>
      <c r="F21" s="17" t="n"/>
      <c r="G21" s="4" t="n"/>
    </row>
    <row r="22" ht="21" customHeight="1">
      <c r="A22" s="4" t="n"/>
      <c r="B22" s="4" t="n"/>
      <c r="C22" s="15" t="inlineStr">
        <is>
          <t>Compatibilidad</t>
        </is>
      </c>
      <c r="D22" s="16" t="inlineStr">
        <is>
          <t>Excel 2016, 2019, 2021 y Microsoft 365 (Windows y Mac)</t>
        </is>
      </c>
      <c r="E22" s="17" t="n"/>
      <c r="F22" s="17" t="n"/>
      <c r="G22" s="4" t="n"/>
    </row>
    <row r="23" ht="21" customHeight="1">
      <c r="A23" s="4" t="n"/>
      <c r="B23" s="4" t="n"/>
      <c r="C23" s="15" t="inlineStr">
        <is>
          <t>Idioma y moneda</t>
        </is>
      </c>
      <c r="D23" s="16" t="inlineStr">
        <is>
          <t>Español (México) · Pesos mexicanos (MXN) · IVA 16%</t>
        </is>
      </c>
      <c r="E23" s="17" t="n"/>
      <c r="F23" s="17" t="n"/>
      <c r="G23" s="4" t="n"/>
    </row>
    <row r="24" ht="21" customHeight="1">
      <c r="A24" s="4" t="n"/>
      <c r="B24" s="4" t="n"/>
      <c r="C24" s="15" t="inlineStr">
        <is>
          <t>Protección</t>
        </is>
      </c>
      <c r="D24" s="16" t="inlineStr">
        <is>
          <t>Hojas protegidas sin contraseña (Revisar &gt; Desproteger hoja)</t>
        </is>
      </c>
      <c r="E24" s="17" t="n"/>
      <c r="F24" s="17" t="n"/>
      <c r="G24" s="4" t="n"/>
    </row>
    <row r="25" ht="21" customHeight="1">
      <c r="A25" s="4" t="n"/>
      <c r="B25" s="4" t="n"/>
      <c r="C25" s="15" t="inlineStr">
        <is>
          <t>Fuente</t>
        </is>
      </c>
      <c r="D25" s="16" t="inlineStr">
        <is>
          <t>Arial (disponible en Windows, Mac y Google Sheets)</t>
        </is>
      </c>
      <c r="E25" s="17" t="n"/>
      <c r="F25" s="17" t="n"/>
      <c r="G25" s="4" t="n"/>
    </row>
    <row r="26">
      <c r="A26" s="4" t="n"/>
      <c r="B26" s="4" t="n"/>
      <c r="C26" s="4" t="n"/>
      <c r="D26" s="4" t="n"/>
      <c r="E26" s="4" t="n"/>
      <c r="F26" s="4" t="n"/>
      <c r="G26" s="4" t="n"/>
    </row>
    <row r="27" ht="24" customHeight="1">
      <c r="A27" s="4" t="n"/>
      <c r="B27" s="9" t="inlineStr">
        <is>
          <t>CÓMO USARLO</t>
        </is>
      </c>
      <c r="C27" s="10" t="n"/>
      <c r="D27" s="10" t="n"/>
      <c r="E27" s="10" t="n"/>
      <c r="F27" s="10" t="n"/>
      <c r="G27" s="4" t="n"/>
    </row>
    <row r="28" ht="21" customHeight="1">
      <c r="A28" s="4" t="n"/>
      <c r="B28" s="18" t="n">
        <v>1</v>
      </c>
      <c r="C28" s="13" t="inlineStr">
        <is>
          <t>Define el fondo fijo asignado.</t>
        </is>
      </c>
      <c r="D28" s="4" t="n"/>
      <c r="E28" s="4" t="n"/>
      <c r="F28" s="4" t="n"/>
      <c r="G28" s="4" t="n"/>
    </row>
    <row r="29" ht="21" customHeight="1">
      <c r="A29" s="4" t="n"/>
      <c r="B29" s="18" t="n">
        <v>2</v>
      </c>
      <c r="C29" s="13" t="inlineStr">
        <is>
          <t>Registra cada vale con importe SIN IVA; el IVA (16%) y el total se calculan.</t>
        </is>
      </c>
      <c r="D29" s="4" t="n"/>
      <c r="E29" s="4" t="n"/>
      <c r="F29" s="4" t="n"/>
      <c r="G29" s="4" t="n"/>
    </row>
    <row r="30" ht="21" customHeight="1">
      <c r="A30" s="4" t="n"/>
      <c r="B30" s="18" t="n">
        <v>3</v>
      </c>
      <c r="C30" s="13" t="inlineStr">
        <is>
          <t>Al hacer el arqueo captura el efectivo físico en caja: la diferencia debe ser 0.</t>
        </is>
      </c>
      <c r="D30" s="4" t="n"/>
      <c r="E30" s="4" t="n"/>
      <c r="F30" s="4" t="n"/>
      <c r="G30" s="4" t="n"/>
    </row>
    <row r="31" ht="21" customHeight="1">
      <c r="A31" s="4" t="n"/>
      <c r="B31" s="18" t="n">
        <v>4</v>
      </c>
      <c r="C31" s="13" t="inlineStr">
        <is>
          <t>Si el IVA no aplica (ej. propinas o estacionamiento sin factura), sobrescribe la celda de IVA con 0.</t>
        </is>
      </c>
      <c r="D31" s="4" t="n"/>
      <c r="E31" s="4" t="n"/>
      <c r="F31" s="4" t="n"/>
      <c r="G31" s="4" t="n"/>
    </row>
    <row r="32" ht="36" customHeight="1">
      <c r="A32" s="4" t="n"/>
      <c r="B32" s="18" t="n">
        <v>5</v>
      </c>
      <c r="C32" s="13" t="inlineStr">
        <is>
          <t>Personaliza: inserta tu logotipo en el recuadro punteado de la esquina superior derecha (Insertar &gt; Imágenes) y captura los datos de tu empresa en las celdas de captura.</t>
        </is>
      </c>
      <c r="D32" s="4" t="n"/>
      <c r="E32" s="4" t="n"/>
      <c r="F32" s="4" t="n"/>
      <c r="G32" s="4" t="n"/>
    </row>
    <row r="33">
      <c r="A33" s="4" t="n"/>
      <c r="B33" s="4" t="n"/>
      <c r="C33" s="4" t="n"/>
      <c r="D33" s="4" t="n"/>
      <c r="E33" s="4" t="n"/>
      <c r="F33" s="4" t="n"/>
      <c r="G33" s="4" t="n"/>
    </row>
    <row r="34" ht="24" customHeight="1">
      <c r="A34" s="4" t="n"/>
      <c r="B34" s="9" t="inlineStr">
        <is>
          <t>RECOMENDACIONES DE USO</t>
        </is>
      </c>
      <c r="C34" s="10" t="n"/>
      <c r="D34" s="10" t="n"/>
      <c r="E34" s="10" t="n"/>
      <c r="F34" s="10" t="n"/>
      <c r="G34" s="4" t="n"/>
    </row>
    <row r="35" ht="21" customHeight="1">
      <c r="A35" s="4" t="n"/>
      <c r="B35" s="19" t="inlineStr">
        <is>
          <t>✓</t>
        </is>
      </c>
      <c r="C35" s="13" t="inlineStr">
        <is>
          <t>Define un fondo fijo y un responsable único; nunca mezcles dinero personal.</t>
        </is>
      </c>
      <c r="D35" s="4" t="n"/>
      <c r="E35" s="4" t="n"/>
      <c r="F35" s="4" t="n"/>
      <c r="G35" s="4" t="n"/>
    </row>
    <row r="36" ht="21" customHeight="1">
      <c r="A36" s="4" t="n"/>
      <c r="B36" s="19" t="inlineStr">
        <is>
          <t>✓</t>
        </is>
      </c>
      <c r="C36" s="13" t="inlineStr">
        <is>
          <t>Todo gasto debe tener vale firmado y comprobante; sin comprobante no se reembolsa.</t>
        </is>
      </c>
      <c r="D36" s="4" t="n"/>
      <c r="E36" s="4" t="n"/>
      <c r="F36" s="4" t="n"/>
      <c r="G36" s="4" t="n"/>
    </row>
    <row r="37" ht="21" customHeight="1">
      <c r="A37" s="4" t="n"/>
      <c r="B37" s="19" t="inlineStr">
        <is>
          <t>✓</t>
        </is>
      </c>
      <c r="C37" s="13" t="inlineStr">
        <is>
          <t>Haz arqueo sorpresa al menos una vez al mes; la diferencia debe ser cero.</t>
        </is>
      </c>
      <c r="D37" s="4" t="n"/>
      <c r="E37" s="4" t="n"/>
      <c r="F37" s="4" t="n"/>
      <c r="G37" s="4" t="n"/>
    </row>
    <row r="38" ht="21" customHeight="1">
      <c r="A38" s="4" t="n"/>
      <c r="B38" s="19" t="inlineStr">
        <is>
          <t>✓</t>
        </is>
      </c>
      <c r="C38" s="13" t="inlineStr">
        <is>
          <t>Reembolsa el fondo cuando llegue al 30% o menos del monto original.</t>
        </is>
      </c>
      <c r="D38" s="4" t="n"/>
      <c r="E38" s="4" t="n"/>
      <c r="F38" s="4" t="n"/>
      <c r="G38" s="4" t="n"/>
    </row>
    <row r="39">
      <c r="A39" s="4" t="n"/>
      <c r="B39" s="4" t="n"/>
      <c r="C39" s="4" t="n"/>
      <c r="D39" s="4" t="n"/>
      <c r="E39" s="4" t="n"/>
      <c r="F39" s="4" t="n"/>
      <c r="G39" s="4" t="n"/>
    </row>
    <row r="40" ht="24" customHeight="1">
      <c r="A40" s="4" t="n"/>
      <c r="B40" s="9" t="inlineStr">
        <is>
          <t>LEYENDA DE COLORES</t>
        </is>
      </c>
      <c r="C40" s="10" t="n"/>
      <c r="D40" s="10" t="n"/>
      <c r="E40" s="10" t="n"/>
      <c r="F40" s="10" t="n"/>
      <c r="G40" s="4" t="n"/>
    </row>
    <row r="41">
      <c r="A41" s="4" t="n"/>
      <c r="B41" s="20" t="inlineStr"/>
      <c r="C41" s="21" t="inlineStr">
        <is>
          <t>CELDA DE CAPTURA: escribe aquí.</t>
        </is>
      </c>
      <c r="D41" s="4" t="n"/>
      <c r="E41" s="4" t="n"/>
      <c r="F41" s="4" t="n"/>
      <c r="G41" s="4" t="n"/>
    </row>
    <row r="42">
      <c r="A42" s="4" t="n"/>
      <c r="B42" s="22" t="inlineStr"/>
      <c r="C42" s="21" t="inlineStr">
        <is>
          <t>CÁLCULO AUTOMÁTICO: no la modifiques.</t>
        </is>
      </c>
      <c r="D42" s="4" t="n"/>
      <c r="E42" s="4" t="n"/>
      <c r="F42" s="4" t="n"/>
      <c r="G42" s="4" t="n"/>
    </row>
    <row r="43">
      <c r="A43" s="4" t="n"/>
      <c r="B43" s="23" t="inlineStr"/>
      <c r="C43" s="21" t="inlineStr">
        <is>
          <t>ENCABEZADOS Y TÍTULOS.</t>
        </is>
      </c>
      <c r="D43" s="4" t="n"/>
      <c r="E43" s="4" t="n"/>
      <c r="F43" s="4" t="n"/>
      <c r="G43" s="4" t="n"/>
    </row>
    <row r="44">
      <c r="A44" s="4" t="n"/>
      <c r="B44" s="24" t="inlineStr"/>
      <c r="C44" s="21" t="inlineStr">
        <is>
          <t>* CAMPO OBLIGATORIO: complétalo antes de imprimir o enviar.</t>
        </is>
      </c>
      <c r="D44" s="4" t="n"/>
      <c r="E44" s="4" t="n"/>
      <c r="F44" s="4" t="n"/>
      <c r="G44" s="4" t="n"/>
    </row>
    <row r="45">
      <c r="A45" s="4" t="n"/>
      <c r="B45" s="4" t="n"/>
      <c r="C45" s="4" t="n"/>
      <c r="D45" s="4" t="n"/>
      <c r="E45" s="4" t="n"/>
      <c r="F45" s="4" t="n"/>
      <c r="G45" s="4" t="n"/>
    </row>
    <row r="46" ht="26" customHeight="1">
      <c r="A46" s="1" t="n"/>
      <c r="B46" s="25" t="inlineStr">
        <is>
          <t>Formatos administrativos  ·  Para uso interno de tu empresa</t>
        </is>
      </c>
      <c r="C46" s="4" t="n"/>
      <c r="D46" s="4" t="n"/>
      <c r="E46" s="4" t="n"/>
      <c r="F46" s="4" t="n"/>
      <c r="G46" s="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1">
    <mergeCell ref="C38:F38"/>
    <mergeCell ref="D17:F17"/>
    <mergeCell ref="B46:F46"/>
    <mergeCell ref="C32:F32"/>
    <mergeCell ref="C37:F37"/>
    <mergeCell ref="D16:F16"/>
    <mergeCell ref="C28:F28"/>
    <mergeCell ref="D18:F18"/>
    <mergeCell ref="C30:F30"/>
    <mergeCell ref="D25:F25"/>
    <mergeCell ref="B4:F5"/>
    <mergeCell ref="D24:F24"/>
    <mergeCell ref="D23:F23"/>
    <mergeCell ref="C35:F35"/>
    <mergeCell ref="E2:F2"/>
    <mergeCell ref="C29:F29"/>
    <mergeCell ref="C31:F31"/>
    <mergeCell ref="B6:F6"/>
    <mergeCell ref="D22:F22"/>
    <mergeCell ref="D21:F21"/>
    <mergeCell ref="C36:F36"/>
  </mergeCells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</hyperlinks>
  <printOptions horizontalCentered="1"/>
  <pageMargins left="0.75" right="0.75" top="1" bottom="1" header="0.5" footer="0.5"/>
  <pageSetup orientation="portrait" fitToHeight="1" fitToWidth="1"/>
</worksheet>
</file>

<file path=xl/worksheets/sheet2.xml><?xml version="1.0" encoding="utf-8"?>
<worksheet xmlns="http://schemas.openxmlformats.org/spreadsheetml/2006/main">
  <sheetPr>
    <tabColor rgb="000B2A4A"/>
    <outlinePr summaryBelow="1" summaryRight="1"/>
    <pageSetUpPr fitToPage="1"/>
  </sheetPr>
  <dimension ref="A1:H117"/>
  <sheetViews>
    <sheetView showGridLines="0" workbookViewId="0">
      <selection activeCell="A1" sqref="A1"/>
    </sheetView>
  </sheetViews>
  <sheetFormatPr baseColWidth="8" defaultRowHeight="15"/>
  <cols>
    <col width="20.4" customWidth="1" min="1" max="1"/>
    <col width="13" customWidth="1" min="2" max="2"/>
    <col width="14" customWidth="1" min="3" max="3"/>
    <col width="36" customWidth="1" min="4" max="4"/>
    <col width="24" customWidth="1" min="5" max="5"/>
    <col width="16" customWidth="1" min="6" max="6"/>
    <col width="16" customWidth="1" min="7" max="7"/>
    <col width="16" customWidth="1" min="8" max="8"/>
  </cols>
  <sheetData>
    <row r="1" ht="44" customHeight="1">
      <c r="A1" s="26" t="inlineStr">
        <is>
          <t>CONTROL DE CAJA CHICA</t>
        </is>
      </c>
      <c r="B1" s="1" t="n"/>
      <c r="C1" s="1" t="n"/>
      <c r="D1" s="1" t="n"/>
      <c r="E1" s="1" t="n"/>
      <c r="F1" s="1" t="n"/>
      <c r="G1" s="27" t="inlineStr">
        <is>
          <t>INSERTE SU LOGO
(clic derecho &gt; Insertar imagen)</t>
        </is>
      </c>
      <c r="H1" s="28" t="n"/>
    </row>
    <row r="2" ht="26" customHeight="1">
      <c r="A2" s="29" t="inlineStr">
        <is>
          <t>Fondo fijo: vales, reembolsos y arqueo</t>
        </is>
      </c>
      <c r="B2" s="30" t="n"/>
      <c r="C2" s="30" t="n"/>
      <c r="D2" s="30" t="n"/>
      <c r="E2" s="30" t="n"/>
      <c r="F2" s="30" t="n"/>
      <c r="G2" s="31" t="n"/>
      <c r="H2" s="32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s="33" t="inlineStr">
        <is>
          <t>RESPONSABLE *</t>
        </is>
      </c>
      <c r="B4" s="20" t="n"/>
      <c r="C4" s="20" t="n"/>
      <c r="D4" s="20" t="n"/>
      <c r="E4" s="33" t="inlineStr">
        <is>
          <t>FECHA DE APERTURA</t>
        </is>
      </c>
      <c r="F4" s="34" t="n"/>
      <c r="G4" s="20" t="n"/>
      <c r="H4" s="4" t="n"/>
    </row>
    <row r="5">
      <c r="A5" s="33" t="inlineStr">
        <is>
          <t>FONDO FIJO</t>
        </is>
      </c>
      <c r="B5" s="35" t="n">
        <v>2000</v>
      </c>
      <c r="C5" s="20" t="n"/>
      <c r="D5" s="20" t="n"/>
      <c r="E5" s="4" t="n"/>
      <c r="F5" s="4" t="n"/>
      <c r="G5" s="4" t="n"/>
      <c r="H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</row>
    <row r="7" ht="36" customHeight="1">
      <c r="A7" s="36" t="inlineStr">
        <is>
          <t>FOLIO</t>
        </is>
      </c>
      <c r="B7" s="36" t="inlineStr">
        <is>
          <t>FECHA</t>
        </is>
      </c>
      <c r="C7" s="36" t="inlineStr">
        <is>
          <t>NO. VALE</t>
        </is>
      </c>
      <c r="D7" s="36" t="inlineStr">
        <is>
          <t>CONCEPTO</t>
        </is>
      </c>
      <c r="E7" s="36" t="inlineStr">
        <is>
          <t>BENEFICIARIO / PROVEEDOR</t>
        </is>
      </c>
      <c r="F7" s="36" t="inlineStr">
        <is>
          <t>IMPORTE</t>
        </is>
      </c>
      <c r="G7" s="36" t="inlineStr">
        <is>
          <t>IVA 16%</t>
        </is>
      </c>
      <c r="H7" s="36" t="inlineStr">
        <is>
          <t>TOTAL</t>
        </is>
      </c>
    </row>
    <row r="8" ht="20" customHeight="1">
      <c r="A8" s="37" t="n">
        <v>1</v>
      </c>
      <c r="B8" s="38" t="n"/>
      <c r="C8" s="39" t="n"/>
      <c r="D8" s="39" t="n"/>
      <c r="E8" s="39" t="n"/>
      <c r="F8" s="40" t="n"/>
      <c r="G8" s="41">
        <f>IF(F8="","",ROUND(F8*0.16,2))</f>
        <v/>
      </c>
      <c r="H8" s="41">
        <f>IF(F8="","",F8+G8)</f>
        <v/>
      </c>
    </row>
    <row r="9" ht="20" customHeight="1">
      <c r="A9" s="37" t="n">
        <v>2</v>
      </c>
      <c r="B9" s="38" t="n"/>
      <c r="C9" s="39" t="n"/>
      <c r="D9" s="39" t="n"/>
      <c r="E9" s="39" t="n"/>
      <c r="F9" s="40" t="n"/>
      <c r="G9" s="41">
        <f>IF(F9="","",ROUND(F9*0.16,2))</f>
        <v/>
      </c>
      <c r="H9" s="41">
        <f>IF(F9="","",F9+G9)</f>
        <v/>
      </c>
    </row>
    <row r="10" ht="20" customHeight="1">
      <c r="A10" s="37" t="n">
        <v>3</v>
      </c>
      <c r="B10" s="38" t="n"/>
      <c r="C10" s="39" t="n"/>
      <c r="D10" s="39" t="n"/>
      <c r="E10" s="39" t="n"/>
      <c r="F10" s="40" t="n"/>
      <c r="G10" s="41">
        <f>IF(F10="","",ROUND(F10*0.16,2))</f>
        <v/>
      </c>
      <c r="H10" s="41">
        <f>IF(F10="","",F10+G10)</f>
        <v/>
      </c>
    </row>
    <row r="11" ht="20" customHeight="1">
      <c r="A11" s="37" t="n">
        <v>4</v>
      </c>
      <c r="B11" s="38" t="n"/>
      <c r="C11" s="39" t="n"/>
      <c r="D11" s="39" t="n"/>
      <c r="E11" s="39" t="n"/>
      <c r="F11" s="40" t="n"/>
      <c r="G11" s="41">
        <f>IF(F11="","",ROUND(F11*0.16,2))</f>
        <v/>
      </c>
      <c r="H11" s="41">
        <f>IF(F11="","",F11+G11)</f>
        <v/>
      </c>
    </row>
    <row r="12" ht="20" customHeight="1">
      <c r="A12" s="37" t="n">
        <v>5</v>
      </c>
      <c r="B12" s="38" t="n"/>
      <c r="C12" s="39" t="n"/>
      <c r="D12" s="39" t="n"/>
      <c r="E12" s="39" t="n"/>
      <c r="F12" s="40" t="n"/>
      <c r="G12" s="41">
        <f>IF(F12="","",ROUND(F12*0.16,2))</f>
        <v/>
      </c>
      <c r="H12" s="41">
        <f>IF(F12="","",F12+G12)</f>
        <v/>
      </c>
    </row>
    <row r="13" ht="20" customHeight="1">
      <c r="A13" s="37" t="n">
        <v>6</v>
      </c>
      <c r="B13" s="38" t="n"/>
      <c r="C13" s="39" t="n"/>
      <c r="D13" s="39" t="n"/>
      <c r="E13" s="39" t="n"/>
      <c r="F13" s="40" t="n"/>
      <c r="G13" s="41">
        <f>IF(F13="","",ROUND(F13*0.16,2))</f>
        <v/>
      </c>
      <c r="H13" s="41">
        <f>IF(F13="","",F13+G13)</f>
        <v/>
      </c>
    </row>
    <row r="14" ht="20" customHeight="1">
      <c r="A14" s="37" t="n">
        <v>7</v>
      </c>
      <c r="B14" s="38" t="n"/>
      <c r="C14" s="39" t="n"/>
      <c r="D14" s="39" t="n"/>
      <c r="E14" s="39" t="n"/>
      <c r="F14" s="40" t="n"/>
      <c r="G14" s="41">
        <f>IF(F14="","",ROUND(F14*0.16,2))</f>
        <v/>
      </c>
      <c r="H14" s="41">
        <f>IF(F14="","",F14+G14)</f>
        <v/>
      </c>
    </row>
    <row r="15" ht="20" customHeight="1">
      <c r="A15" s="37" t="n">
        <v>8</v>
      </c>
      <c r="B15" s="38" t="n"/>
      <c r="C15" s="39" t="n"/>
      <c r="D15" s="39" t="n"/>
      <c r="E15" s="39" t="n"/>
      <c r="F15" s="40" t="n"/>
      <c r="G15" s="41">
        <f>IF(F15="","",ROUND(F15*0.16,2))</f>
        <v/>
      </c>
      <c r="H15" s="41">
        <f>IF(F15="","",F15+G15)</f>
        <v/>
      </c>
    </row>
    <row r="16" ht="20" customHeight="1">
      <c r="A16" s="37" t="n">
        <v>9</v>
      </c>
      <c r="B16" s="38" t="n"/>
      <c r="C16" s="39" t="n"/>
      <c r="D16" s="39" t="n"/>
      <c r="E16" s="39" t="n"/>
      <c r="F16" s="40" t="n"/>
      <c r="G16" s="41">
        <f>IF(F16="","",ROUND(F16*0.16,2))</f>
        <v/>
      </c>
      <c r="H16" s="41">
        <f>IF(F16="","",F16+G16)</f>
        <v/>
      </c>
    </row>
    <row r="17" ht="20" customHeight="1">
      <c r="A17" s="37" t="n">
        <v>10</v>
      </c>
      <c r="B17" s="38" t="n"/>
      <c r="C17" s="39" t="n"/>
      <c r="D17" s="39" t="n"/>
      <c r="E17" s="39" t="n"/>
      <c r="F17" s="40" t="n"/>
      <c r="G17" s="41">
        <f>IF(F17="","",ROUND(F17*0.16,2))</f>
        <v/>
      </c>
      <c r="H17" s="41">
        <f>IF(F17="","",F17+G17)</f>
        <v/>
      </c>
    </row>
    <row r="18" ht="20" customHeight="1">
      <c r="A18" s="37" t="n">
        <v>11</v>
      </c>
      <c r="B18" s="38" t="n"/>
      <c r="C18" s="39" t="n"/>
      <c r="D18" s="39" t="n"/>
      <c r="E18" s="39" t="n"/>
      <c r="F18" s="40" t="n"/>
      <c r="G18" s="41">
        <f>IF(F18="","",ROUND(F18*0.16,2))</f>
        <v/>
      </c>
      <c r="H18" s="41">
        <f>IF(F18="","",F18+G18)</f>
        <v/>
      </c>
    </row>
    <row r="19" ht="20" customHeight="1">
      <c r="A19" s="37" t="n">
        <v>12</v>
      </c>
      <c r="B19" s="38" t="n"/>
      <c r="C19" s="39" t="n"/>
      <c r="D19" s="39" t="n"/>
      <c r="E19" s="39" t="n"/>
      <c r="F19" s="40" t="n"/>
      <c r="G19" s="41">
        <f>IF(F19="","",ROUND(F19*0.16,2))</f>
        <v/>
      </c>
      <c r="H19" s="41">
        <f>IF(F19="","",F19+G19)</f>
        <v/>
      </c>
    </row>
    <row r="20" ht="20" customHeight="1">
      <c r="A20" s="37" t="n">
        <v>13</v>
      </c>
      <c r="B20" s="38" t="n"/>
      <c r="C20" s="39" t="n"/>
      <c r="D20" s="39" t="n"/>
      <c r="E20" s="39" t="n"/>
      <c r="F20" s="40" t="n"/>
      <c r="G20" s="41">
        <f>IF(F20="","",ROUND(F20*0.16,2))</f>
        <v/>
      </c>
      <c r="H20" s="41">
        <f>IF(F20="","",F20+G20)</f>
        <v/>
      </c>
    </row>
    <row r="21" ht="20" customHeight="1">
      <c r="A21" s="37" t="n">
        <v>14</v>
      </c>
      <c r="B21" s="38" t="n"/>
      <c r="C21" s="39" t="n"/>
      <c r="D21" s="39" t="n"/>
      <c r="E21" s="39" t="n"/>
      <c r="F21" s="40" t="n"/>
      <c r="G21" s="41">
        <f>IF(F21="","",ROUND(F21*0.16,2))</f>
        <v/>
      </c>
      <c r="H21" s="41">
        <f>IF(F21="","",F21+G21)</f>
        <v/>
      </c>
    </row>
    <row r="22" ht="20" customHeight="1">
      <c r="A22" s="37" t="n">
        <v>15</v>
      </c>
      <c r="B22" s="38" t="n"/>
      <c r="C22" s="39" t="n"/>
      <c r="D22" s="39" t="n"/>
      <c r="E22" s="39" t="n"/>
      <c r="F22" s="40" t="n"/>
      <c r="G22" s="41">
        <f>IF(F22="","",ROUND(F22*0.16,2))</f>
        <v/>
      </c>
      <c r="H22" s="41">
        <f>IF(F22="","",F22+G22)</f>
        <v/>
      </c>
    </row>
    <row r="23" ht="20" customHeight="1">
      <c r="A23" s="37" t="n">
        <v>16</v>
      </c>
      <c r="B23" s="38" t="n"/>
      <c r="C23" s="39" t="n"/>
      <c r="D23" s="39" t="n"/>
      <c r="E23" s="39" t="n"/>
      <c r="F23" s="40" t="n"/>
      <c r="G23" s="41">
        <f>IF(F23="","",ROUND(F23*0.16,2))</f>
        <v/>
      </c>
      <c r="H23" s="41">
        <f>IF(F23="","",F23+G23)</f>
        <v/>
      </c>
    </row>
    <row r="24" ht="20" customHeight="1">
      <c r="A24" s="37" t="n">
        <v>17</v>
      </c>
      <c r="B24" s="38" t="n"/>
      <c r="C24" s="39" t="n"/>
      <c r="D24" s="39" t="n"/>
      <c r="E24" s="39" t="n"/>
      <c r="F24" s="40" t="n"/>
      <c r="G24" s="41">
        <f>IF(F24="","",ROUND(F24*0.16,2))</f>
        <v/>
      </c>
      <c r="H24" s="41">
        <f>IF(F24="","",F24+G24)</f>
        <v/>
      </c>
    </row>
    <row r="25" ht="20" customHeight="1">
      <c r="A25" s="37" t="n">
        <v>18</v>
      </c>
      <c r="B25" s="38" t="n"/>
      <c r="C25" s="39" t="n"/>
      <c r="D25" s="39" t="n"/>
      <c r="E25" s="39" t="n"/>
      <c r="F25" s="40" t="n"/>
      <c r="G25" s="41">
        <f>IF(F25="","",ROUND(F25*0.16,2))</f>
        <v/>
      </c>
      <c r="H25" s="41">
        <f>IF(F25="","",F25+G25)</f>
        <v/>
      </c>
    </row>
    <row r="26" ht="20" customHeight="1">
      <c r="A26" s="37" t="n">
        <v>19</v>
      </c>
      <c r="B26" s="38" t="n"/>
      <c r="C26" s="39" t="n"/>
      <c r="D26" s="39" t="n"/>
      <c r="E26" s="39" t="n"/>
      <c r="F26" s="40" t="n"/>
      <c r="G26" s="41">
        <f>IF(F26="","",ROUND(F26*0.16,2))</f>
        <v/>
      </c>
      <c r="H26" s="41">
        <f>IF(F26="","",F26+G26)</f>
        <v/>
      </c>
    </row>
    <row r="27" ht="20" customHeight="1">
      <c r="A27" s="37" t="n">
        <v>20</v>
      </c>
      <c r="B27" s="38" t="n"/>
      <c r="C27" s="39" t="n"/>
      <c r="D27" s="39" t="n"/>
      <c r="E27" s="39" t="n"/>
      <c r="F27" s="40" t="n"/>
      <c r="G27" s="41">
        <f>IF(F27="","",ROUND(F27*0.16,2))</f>
        <v/>
      </c>
      <c r="H27" s="41">
        <f>IF(F27="","",F27+G27)</f>
        <v/>
      </c>
    </row>
    <row r="28" ht="20" customHeight="1">
      <c r="A28" s="37" t="n">
        <v>21</v>
      </c>
      <c r="B28" s="38" t="n"/>
      <c r="C28" s="39" t="n"/>
      <c r="D28" s="39" t="n"/>
      <c r="E28" s="39" t="n"/>
      <c r="F28" s="40" t="n"/>
      <c r="G28" s="41">
        <f>IF(F28="","",ROUND(F28*0.16,2))</f>
        <v/>
      </c>
      <c r="H28" s="41">
        <f>IF(F28="","",F28+G28)</f>
        <v/>
      </c>
    </row>
    <row r="29" ht="20" customHeight="1">
      <c r="A29" s="37" t="n">
        <v>22</v>
      </c>
      <c r="B29" s="38" t="n"/>
      <c r="C29" s="39" t="n"/>
      <c r="D29" s="39" t="n"/>
      <c r="E29" s="39" t="n"/>
      <c r="F29" s="40" t="n"/>
      <c r="G29" s="41">
        <f>IF(F29="","",ROUND(F29*0.16,2))</f>
        <v/>
      </c>
      <c r="H29" s="41">
        <f>IF(F29="","",F29+G29)</f>
        <v/>
      </c>
    </row>
    <row r="30" ht="20" customHeight="1">
      <c r="A30" s="37" t="n">
        <v>23</v>
      </c>
      <c r="B30" s="38" t="n"/>
      <c r="C30" s="39" t="n"/>
      <c r="D30" s="39" t="n"/>
      <c r="E30" s="39" t="n"/>
      <c r="F30" s="40" t="n"/>
      <c r="G30" s="41">
        <f>IF(F30="","",ROUND(F30*0.16,2))</f>
        <v/>
      </c>
      <c r="H30" s="41">
        <f>IF(F30="","",F30+G30)</f>
        <v/>
      </c>
    </row>
    <row r="31" ht="20" customHeight="1">
      <c r="A31" s="37" t="n">
        <v>24</v>
      </c>
      <c r="B31" s="38" t="n"/>
      <c r="C31" s="39" t="n"/>
      <c r="D31" s="39" t="n"/>
      <c r="E31" s="39" t="n"/>
      <c r="F31" s="40" t="n"/>
      <c r="G31" s="41">
        <f>IF(F31="","",ROUND(F31*0.16,2))</f>
        <v/>
      </c>
      <c r="H31" s="41">
        <f>IF(F31="","",F31+G31)</f>
        <v/>
      </c>
    </row>
    <row r="32" ht="20" customHeight="1">
      <c r="A32" s="37" t="n">
        <v>25</v>
      </c>
      <c r="B32" s="38" t="n"/>
      <c r="C32" s="39" t="n"/>
      <c r="D32" s="39" t="n"/>
      <c r="E32" s="39" t="n"/>
      <c r="F32" s="40" t="n"/>
      <c r="G32" s="41">
        <f>IF(F32="","",ROUND(F32*0.16,2))</f>
        <v/>
      </c>
      <c r="H32" s="41">
        <f>IF(F32="","",F32+G32)</f>
        <v/>
      </c>
    </row>
    <row r="33" ht="20" customHeight="1">
      <c r="A33" s="37" t="n">
        <v>26</v>
      </c>
      <c r="B33" s="38" t="n"/>
      <c r="C33" s="39" t="n"/>
      <c r="D33" s="39" t="n"/>
      <c r="E33" s="39" t="n"/>
      <c r="F33" s="40" t="n"/>
      <c r="G33" s="41">
        <f>IF(F33="","",ROUND(F33*0.16,2))</f>
        <v/>
      </c>
      <c r="H33" s="41">
        <f>IF(F33="","",F33+G33)</f>
        <v/>
      </c>
    </row>
    <row r="34" ht="20" customHeight="1">
      <c r="A34" s="37" t="n">
        <v>27</v>
      </c>
      <c r="B34" s="38" t="n"/>
      <c r="C34" s="39" t="n"/>
      <c r="D34" s="39" t="n"/>
      <c r="E34" s="39" t="n"/>
      <c r="F34" s="40" t="n"/>
      <c r="G34" s="41">
        <f>IF(F34="","",ROUND(F34*0.16,2))</f>
        <v/>
      </c>
      <c r="H34" s="41">
        <f>IF(F34="","",F34+G34)</f>
        <v/>
      </c>
    </row>
    <row r="35" ht="20" customHeight="1">
      <c r="A35" s="37" t="n">
        <v>28</v>
      </c>
      <c r="B35" s="38" t="n"/>
      <c r="C35" s="39" t="n"/>
      <c r="D35" s="39" t="n"/>
      <c r="E35" s="39" t="n"/>
      <c r="F35" s="40" t="n"/>
      <c r="G35" s="41">
        <f>IF(F35="","",ROUND(F35*0.16,2))</f>
        <v/>
      </c>
      <c r="H35" s="41">
        <f>IF(F35="","",F35+G35)</f>
        <v/>
      </c>
    </row>
    <row r="36" ht="20" customHeight="1">
      <c r="A36" s="37" t="n">
        <v>29</v>
      </c>
      <c r="B36" s="38" t="n"/>
      <c r="C36" s="39" t="n"/>
      <c r="D36" s="39" t="n"/>
      <c r="E36" s="39" t="n"/>
      <c r="F36" s="40" t="n"/>
      <c r="G36" s="41">
        <f>IF(F36="","",ROUND(F36*0.16,2))</f>
        <v/>
      </c>
      <c r="H36" s="41">
        <f>IF(F36="","",F36+G36)</f>
        <v/>
      </c>
    </row>
    <row r="37" ht="20" customHeight="1">
      <c r="A37" s="37" t="n">
        <v>30</v>
      </c>
      <c r="B37" s="38" t="n"/>
      <c r="C37" s="39" t="n"/>
      <c r="D37" s="39" t="n"/>
      <c r="E37" s="39" t="n"/>
      <c r="F37" s="40" t="n"/>
      <c r="G37" s="41">
        <f>IF(F37="","",ROUND(F37*0.16,2))</f>
        <v/>
      </c>
      <c r="H37" s="41">
        <f>IF(F37="","",F37+G37)</f>
        <v/>
      </c>
    </row>
    <row r="38" ht="20" customHeight="1">
      <c r="A38" s="37" t="n">
        <v>31</v>
      </c>
      <c r="B38" s="38" t="n"/>
      <c r="C38" s="39" t="n"/>
      <c r="D38" s="39" t="n"/>
      <c r="E38" s="39" t="n"/>
      <c r="F38" s="40" t="n"/>
      <c r="G38" s="41">
        <f>IF(F38="","",ROUND(F38*0.16,2))</f>
        <v/>
      </c>
      <c r="H38" s="41">
        <f>IF(F38="","",F38+G38)</f>
        <v/>
      </c>
    </row>
    <row r="39" ht="20" customHeight="1">
      <c r="A39" s="37" t="n">
        <v>32</v>
      </c>
      <c r="B39" s="38" t="n"/>
      <c r="C39" s="39" t="n"/>
      <c r="D39" s="39" t="n"/>
      <c r="E39" s="39" t="n"/>
      <c r="F39" s="40" t="n"/>
      <c r="G39" s="41">
        <f>IF(F39="","",ROUND(F39*0.16,2))</f>
        <v/>
      </c>
      <c r="H39" s="41">
        <f>IF(F39="","",F39+G39)</f>
        <v/>
      </c>
    </row>
    <row r="40" ht="20" customHeight="1">
      <c r="A40" s="37" t="n">
        <v>33</v>
      </c>
      <c r="B40" s="38" t="n"/>
      <c r="C40" s="39" t="n"/>
      <c r="D40" s="39" t="n"/>
      <c r="E40" s="39" t="n"/>
      <c r="F40" s="40" t="n"/>
      <c r="G40" s="41">
        <f>IF(F40="","",ROUND(F40*0.16,2))</f>
        <v/>
      </c>
      <c r="H40" s="41">
        <f>IF(F40="","",F40+G40)</f>
        <v/>
      </c>
    </row>
    <row r="41" ht="20" customHeight="1">
      <c r="A41" s="37" t="n">
        <v>34</v>
      </c>
      <c r="B41" s="38" t="n"/>
      <c r="C41" s="39" t="n"/>
      <c r="D41" s="39" t="n"/>
      <c r="E41" s="39" t="n"/>
      <c r="F41" s="40" t="n"/>
      <c r="G41" s="41">
        <f>IF(F41="","",ROUND(F41*0.16,2))</f>
        <v/>
      </c>
      <c r="H41" s="41">
        <f>IF(F41="","",F41+G41)</f>
        <v/>
      </c>
    </row>
    <row r="42" ht="20" customHeight="1">
      <c r="A42" s="37" t="n">
        <v>35</v>
      </c>
      <c r="B42" s="38" t="n"/>
      <c r="C42" s="39" t="n"/>
      <c r="D42" s="39" t="n"/>
      <c r="E42" s="39" t="n"/>
      <c r="F42" s="40" t="n"/>
      <c r="G42" s="41">
        <f>IF(F42="","",ROUND(F42*0.16,2))</f>
        <v/>
      </c>
      <c r="H42" s="41">
        <f>IF(F42="","",F42+G42)</f>
        <v/>
      </c>
    </row>
    <row r="43" ht="20" customHeight="1">
      <c r="A43" s="37" t="n">
        <v>36</v>
      </c>
      <c r="B43" s="38" t="n"/>
      <c r="C43" s="39" t="n"/>
      <c r="D43" s="39" t="n"/>
      <c r="E43" s="39" t="n"/>
      <c r="F43" s="40" t="n"/>
      <c r="G43" s="41">
        <f>IF(F43="","",ROUND(F43*0.16,2))</f>
        <v/>
      </c>
      <c r="H43" s="41">
        <f>IF(F43="","",F43+G43)</f>
        <v/>
      </c>
    </row>
    <row r="44" ht="20" customHeight="1">
      <c r="A44" s="37" t="n">
        <v>37</v>
      </c>
      <c r="B44" s="38" t="n"/>
      <c r="C44" s="39" t="n"/>
      <c r="D44" s="39" t="n"/>
      <c r="E44" s="39" t="n"/>
      <c r="F44" s="40" t="n"/>
      <c r="G44" s="41">
        <f>IF(F44="","",ROUND(F44*0.16,2))</f>
        <v/>
      </c>
      <c r="H44" s="41">
        <f>IF(F44="","",F44+G44)</f>
        <v/>
      </c>
    </row>
    <row r="45" ht="20" customHeight="1">
      <c r="A45" s="37" t="n">
        <v>38</v>
      </c>
      <c r="B45" s="38" t="n"/>
      <c r="C45" s="39" t="n"/>
      <c r="D45" s="39" t="n"/>
      <c r="E45" s="39" t="n"/>
      <c r="F45" s="40" t="n"/>
      <c r="G45" s="41">
        <f>IF(F45="","",ROUND(F45*0.16,2))</f>
        <v/>
      </c>
      <c r="H45" s="41">
        <f>IF(F45="","",F45+G45)</f>
        <v/>
      </c>
    </row>
    <row r="46" ht="20" customHeight="1">
      <c r="A46" s="37" t="n">
        <v>39</v>
      </c>
      <c r="B46" s="38" t="n"/>
      <c r="C46" s="39" t="n"/>
      <c r="D46" s="39" t="n"/>
      <c r="E46" s="39" t="n"/>
      <c r="F46" s="40" t="n"/>
      <c r="G46" s="41">
        <f>IF(F46="","",ROUND(F46*0.16,2))</f>
        <v/>
      </c>
      <c r="H46" s="41">
        <f>IF(F46="","",F46+G46)</f>
        <v/>
      </c>
    </row>
    <row r="47" ht="20" customHeight="1">
      <c r="A47" s="37" t="n">
        <v>40</v>
      </c>
      <c r="B47" s="38" t="n"/>
      <c r="C47" s="39" t="n"/>
      <c r="D47" s="39" t="n"/>
      <c r="E47" s="39" t="n"/>
      <c r="F47" s="40" t="n"/>
      <c r="G47" s="41">
        <f>IF(F47="","",ROUND(F47*0.16,2))</f>
        <v/>
      </c>
      <c r="H47" s="41">
        <f>IF(F47="","",F47+G47)</f>
        <v/>
      </c>
    </row>
    <row r="48" ht="20" customHeight="1">
      <c r="A48" s="37" t="n">
        <v>41</v>
      </c>
      <c r="B48" s="38" t="n"/>
      <c r="C48" s="39" t="n"/>
      <c r="D48" s="39" t="n"/>
      <c r="E48" s="39" t="n"/>
      <c r="F48" s="40" t="n"/>
      <c r="G48" s="41">
        <f>IF(F48="","",ROUND(F48*0.16,2))</f>
        <v/>
      </c>
      <c r="H48" s="41">
        <f>IF(F48="","",F48+G48)</f>
        <v/>
      </c>
    </row>
    <row r="49" ht="20" customHeight="1">
      <c r="A49" s="37" t="n">
        <v>42</v>
      </c>
      <c r="B49" s="38" t="n"/>
      <c r="C49" s="39" t="n"/>
      <c r="D49" s="39" t="n"/>
      <c r="E49" s="39" t="n"/>
      <c r="F49" s="40" t="n"/>
      <c r="G49" s="41">
        <f>IF(F49="","",ROUND(F49*0.16,2))</f>
        <v/>
      </c>
      <c r="H49" s="41">
        <f>IF(F49="","",F49+G49)</f>
        <v/>
      </c>
    </row>
    <row r="50" ht="20" customHeight="1">
      <c r="A50" s="37" t="n">
        <v>43</v>
      </c>
      <c r="B50" s="38" t="n"/>
      <c r="C50" s="39" t="n"/>
      <c r="D50" s="39" t="n"/>
      <c r="E50" s="39" t="n"/>
      <c r="F50" s="40" t="n"/>
      <c r="G50" s="41">
        <f>IF(F50="","",ROUND(F50*0.16,2))</f>
        <v/>
      </c>
      <c r="H50" s="41">
        <f>IF(F50="","",F50+G50)</f>
        <v/>
      </c>
    </row>
    <row r="51" ht="20" customHeight="1">
      <c r="A51" s="37" t="n">
        <v>44</v>
      </c>
      <c r="B51" s="38" t="n"/>
      <c r="C51" s="39" t="n"/>
      <c r="D51" s="39" t="n"/>
      <c r="E51" s="39" t="n"/>
      <c r="F51" s="40" t="n"/>
      <c r="G51" s="41">
        <f>IF(F51="","",ROUND(F51*0.16,2))</f>
        <v/>
      </c>
      <c r="H51" s="41">
        <f>IF(F51="","",F51+G51)</f>
        <v/>
      </c>
    </row>
    <row r="52" ht="20" customHeight="1">
      <c r="A52" s="37" t="n">
        <v>45</v>
      </c>
      <c r="B52" s="38" t="n"/>
      <c r="C52" s="39" t="n"/>
      <c r="D52" s="39" t="n"/>
      <c r="E52" s="39" t="n"/>
      <c r="F52" s="40" t="n"/>
      <c r="G52" s="41">
        <f>IF(F52="","",ROUND(F52*0.16,2))</f>
        <v/>
      </c>
      <c r="H52" s="41">
        <f>IF(F52="","",F52+G52)</f>
        <v/>
      </c>
    </row>
    <row r="53" ht="20" customHeight="1">
      <c r="A53" s="37" t="n">
        <v>46</v>
      </c>
      <c r="B53" s="38" t="n"/>
      <c r="C53" s="39" t="n"/>
      <c r="D53" s="39" t="n"/>
      <c r="E53" s="39" t="n"/>
      <c r="F53" s="40" t="n"/>
      <c r="G53" s="41">
        <f>IF(F53="","",ROUND(F53*0.16,2))</f>
        <v/>
      </c>
      <c r="H53" s="41">
        <f>IF(F53="","",F53+G53)</f>
        <v/>
      </c>
    </row>
    <row r="54" ht="20" customHeight="1">
      <c r="A54" s="37" t="n">
        <v>47</v>
      </c>
      <c r="B54" s="38" t="n"/>
      <c r="C54" s="39" t="n"/>
      <c r="D54" s="39" t="n"/>
      <c r="E54" s="39" t="n"/>
      <c r="F54" s="40" t="n"/>
      <c r="G54" s="41">
        <f>IF(F54="","",ROUND(F54*0.16,2))</f>
        <v/>
      </c>
      <c r="H54" s="41">
        <f>IF(F54="","",F54+G54)</f>
        <v/>
      </c>
    </row>
    <row r="55" ht="20" customHeight="1">
      <c r="A55" s="37" t="n">
        <v>48</v>
      </c>
      <c r="B55" s="38" t="n"/>
      <c r="C55" s="39" t="n"/>
      <c r="D55" s="39" t="n"/>
      <c r="E55" s="39" t="n"/>
      <c r="F55" s="40" t="n"/>
      <c r="G55" s="41">
        <f>IF(F55="","",ROUND(F55*0.16,2))</f>
        <v/>
      </c>
      <c r="H55" s="41">
        <f>IF(F55="","",F55+G55)</f>
        <v/>
      </c>
    </row>
    <row r="56" ht="20" customHeight="1">
      <c r="A56" s="37" t="n">
        <v>49</v>
      </c>
      <c r="B56" s="38" t="n"/>
      <c r="C56" s="39" t="n"/>
      <c r="D56" s="39" t="n"/>
      <c r="E56" s="39" t="n"/>
      <c r="F56" s="40" t="n"/>
      <c r="G56" s="41">
        <f>IF(F56="","",ROUND(F56*0.16,2))</f>
        <v/>
      </c>
      <c r="H56" s="41">
        <f>IF(F56="","",F56+G56)</f>
        <v/>
      </c>
    </row>
    <row r="57" ht="20" customHeight="1">
      <c r="A57" s="37" t="n">
        <v>50</v>
      </c>
      <c r="B57" s="38" t="n"/>
      <c r="C57" s="39" t="n"/>
      <c r="D57" s="39" t="n"/>
      <c r="E57" s="39" t="n"/>
      <c r="F57" s="40" t="n"/>
      <c r="G57" s="41">
        <f>IF(F57="","",ROUND(F57*0.16,2))</f>
        <v/>
      </c>
      <c r="H57" s="41">
        <f>IF(F57="","",F57+G57)</f>
        <v/>
      </c>
    </row>
    <row r="58" ht="20" customHeight="1">
      <c r="A58" s="37" t="n">
        <v>51</v>
      </c>
      <c r="B58" s="38" t="n"/>
      <c r="C58" s="39" t="n"/>
      <c r="D58" s="39" t="n"/>
      <c r="E58" s="39" t="n"/>
      <c r="F58" s="40" t="n"/>
      <c r="G58" s="41">
        <f>IF(F58="","",ROUND(F58*0.16,2))</f>
        <v/>
      </c>
      <c r="H58" s="41">
        <f>IF(F58="","",F58+G58)</f>
        <v/>
      </c>
    </row>
    <row r="59" ht="20" customHeight="1">
      <c r="A59" s="37" t="n">
        <v>52</v>
      </c>
      <c r="B59" s="38" t="n"/>
      <c r="C59" s="39" t="n"/>
      <c r="D59" s="39" t="n"/>
      <c r="E59" s="39" t="n"/>
      <c r="F59" s="40" t="n"/>
      <c r="G59" s="41">
        <f>IF(F59="","",ROUND(F59*0.16,2))</f>
        <v/>
      </c>
      <c r="H59" s="41">
        <f>IF(F59="","",F59+G59)</f>
        <v/>
      </c>
    </row>
    <row r="60" ht="20" customHeight="1">
      <c r="A60" s="37" t="n">
        <v>53</v>
      </c>
      <c r="B60" s="38" t="n"/>
      <c r="C60" s="39" t="n"/>
      <c r="D60" s="39" t="n"/>
      <c r="E60" s="39" t="n"/>
      <c r="F60" s="40" t="n"/>
      <c r="G60" s="41">
        <f>IF(F60="","",ROUND(F60*0.16,2))</f>
        <v/>
      </c>
      <c r="H60" s="41">
        <f>IF(F60="","",F60+G60)</f>
        <v/>
      </c>
    </row>
    <row r="61" ht="20" customHeight="1">
      <c r="A61" s="37" t="n">
        <v>54</v>
      </c>
      <c r="B61" s="38" t="n"/>
      <c r="C61" s="39" t="n"/>
      <c r="D61" s="39" t="n"/>
      <c r="E61" s="39" t="n"/>
      <c r="F61" s="40" t="n"/>
      <c r="G61" s="41">
        <f>IF(F61="","",ROUND(F61*0.16,2))</f>
        <v/>
      </c>
      <c r="H61" s="41">
        <f>IF(F61="","",F61+G61)</f>
        <v/>
      </c>
    </row>
    <row r="62" ht="20" customHeight="1">
      <c r="A62" s="37" t="n">
        <v>55</v>
      </c>
      <c r="B62" s="38" t="n"/>
      <c r="C62" s="39" t="n"/>
      <c r="D62" s="39" t="n"/>
      <c r="E62" s="39" t="n"/>
      <c r="F62" s="40" t="n"/>
      <c r="G62" s="41">
        <f>IF(F62="","",ROUND(F62*0.16,2))</f>
        <v/>
      </c>
      <c r="H62" s="41">
        <f>IF(F62="","",F62+G62)</f>
        <v/>
      </c>
    </row>
    <row r="63" ht="20" customHeight="1">
      <c r="A63" s="37" t="n">
        <v>56</v>
      </c>
      <c r="B63" s="38" t="n"/>
      <c r="C63" s="39" t="n"/>
      <c r="D63" s="39" t="n"/>
      <c r="E63" s="39" t="n"/>
      <c r="F63" s="40" t="n"/>
      <c r="G63" s="41">
        <f>IF(F63="","",ROUND(F63*0.16,2))</f>
        <v/>
      </c>
      <c r="H63" s="41">
        <f>IF(F63="","",F63+G63)</f>
        <v/>
      </c>
    </row>
    <row r="64" ht="20" customHeight="1">
      <c r="A64" s="37" t="n">
        <v>57</v>
      </c>
      <c r="B64" s="38" t="n"/>
      <c r="C64" s="39" t="n"/>
      <c r="D64" s="39" t="n"/>
      <c r="E64" s="39" t="n"/>
      <c r="F64" s="40" t="n"/>
      <c r="G64" s="41">
        <f>IF(F64="","",ROUND(F64*0.16,2))</f>
        <v/>
      </c>
      <c r="H64" s="41">
        <f>IF(F64="","",F64+G64)</f>
        <v/>
      </c>
    </row>
    <row r="65" ht="20" customHeight="1">
      <c r="A65" s="37" t="n">
        <v>58</v>
      </c>
      <c r="B65" s="38" t="n"/>
      <c r="C65" s="39" t="n"/>
      <c r="D65" s="39" t="n"/>
      <c r="E65" s="39" t="n"/>
      <c r="F65" s="40" t="n"/>
      <c r="G65" s="41">
        <f>IF(F65="","",ROUND(F65*0.16,2))</f>
        <v/>
      </c>
      <c r="H65" s="41">
        <f>IF(F65="","",F65+G65)</f>
        <v/>
      </c>
    </row>
    <row r="66" ht="20" customHeight="1">
      <c r="A66" s="37" t="n">
        <v>59</v>
      </c>
      <c r="B66" s="38" t="n"/>
      <c r="C66" s="39" t="n"/>
      <c r="D66" s="39" t="n"/>
      <c r="E66" s="39" t="n"/>
      <c r="F66" s="40" t="n"/>
      <c r="G66" s="41">
        <f>IF(F66="","",ROUND(F66*0.16,2))</f>
        <v/>
      </c>
      <c r="H66" s="41">
        <f>IF(F66="","",F66+G66)</f>
        <v/>
      </c>
    </row>
    <row r="67" ht="20" customHeight="1">
      <c r="A67" s="37" t="n">
        <v>60</v>
      </c>
      <c r="B67" s="38" t="n"/>
      <c r="C67" s="39" t="n"/>
      <c r="D67" s="39" t="n"/>
      <c r="E67" s="39" t="n"/>
      <c r="F67" s="40" t="n"/>
      <c r="G67" s="41">
        <f>IF(F67="","",ROUND(F67*0.16,2))</f>
        <v/>
      </c>
      <c r="H67" s="41">
        <f>IF(F67="","",F67+G67)</f>
        <v/>
      </c>
    </row>
    <row r="68" ht="20" customHeight="1">
      <c r="A68" s="37" t="n">
        <v>61</v>
      </c>
      <c r="B68" s="38" t="n"/>
      <c r="C68" s="39" t="n"/>
      <c r="D68" s="39" t="n"/>
      <c r="E68" s="39" t="n"/>
      <c r="F68" s="40" t="n"/>
      <c r="G68" s="41">
        <f>IF(F68="","",ROUND(F68*0.16,2))</f>
        <v/>
      </c>
      <c r="H68" s="41">
        <f>IF(F68="","",F68+G68)</f>
        <v/>
      </c>
    </row>
    <row r="69" ht="20" customHeight="1">
      <c r="A69" s="37" t="n">
        <v>62</v>
      </c>
      <c r="B69" s="38" t="n"/>
      <c r="C69" s="39" t="n"/>
      <c r="D69" s="39" t="n"/>
      <c r="E69" s="39" t="n"/>
      <c r="F69" s="40" t="n"/>
      <c r="G69" s="41">
        <f>IF(F69="","",ROUND(F69*0.16,2))</f>
        <v/>
      </c>
      <c r="H69" s="41">
        <f>IF(F69="","",F69+G69)</f>
        <v/>
      </c>
    </row>
    <row r="70" ht="20" customHeight="1">
      <c r="A70" s="37" t="n">
        <v>63</v>
      </c>
      <c r="B70" s="38" t="n"/>
      <c r="C70" s="39" t="n"/>
      <c r="D70" s="39" t="n"/>
      <c r="E70" s="39" t="n"/>
      <c r="F70" s="40" t="n"/>
      <c r="G70" s="41">
        <f>IF(F70="","",ROUND(F70*0.16,2))</f>
        <v/>
      </c>
      <c r="H70" s="41">
        <f>IF(F70="","",F70+G70)</f>
        <v/>
      </c>
    </row>
    <row r="71" ht="20" customHeight="1">
      <c r="A71" s="37" t="n">
        <v>64</v>
      </c>
      <c r="B71" s="38" t="n"/>
      <c r="C71" s="39" t="n"/>
      <c r="D71" s="39" t="n"/>
      <c r="E71" s="39" t="n"/>
      <c r="F71" s="40" t="n"/>
      <c r="G71" s="41">
        <f>IF(F71="","",ROUND(F71*0.16,2))</f>
        <v/>
      </c>
      <c r="H71" s="41">
        <f>IF(F71="","",F71+G71)</f>
        <v/>
      </c>
    </row>
    <row r="72" ht="20" customHeight="1">
      <c r="A72" s="37" t="n">
        <v>65</v>
      </c>
      <c r="B72" s="38" t="n"/>
      <c r="C72" s="39" t="n"/>
      <c r="D72" s="39" t="n"/>
      <c r="E72" s="39" t="n"/>
      <c r="F72" s="40" t="n"/>
      <c r="G72" s="41">
        <f>IF(F72="","",ROUND(F72*0.16,2))</f>
        <v/>
      </c>
      <c r="H72" s="41">
        <f>IF(F72="","",F72+G72)</f>
        <v/>
      </c>
    </row>
    <row r="73" ht="20" customHeight="1">
      <c r="A73" s="37" t="n">
        <v>66</v>
      </c>
      <c r="B73" s="38" t="n"/>
      <c r="C73" s="39" t="n"/>
      <c r="D73" s="39" t="n"/>
      <c r="E73" s="39" t="n"/>
      <c r="F73" s="40" t="n"/>
      <c r="G73" s="41">
        <f>IF(F73="","",ROUND(F73*0.16,2))</f>
        <v/>
      </c>
      <c r="H73" s="41">
        <f>IF(F73="","",F73+G73)</f>
        <v/>
      </c>
    </row>
    <row r="74" ht="20" customHeight="1">
      <c r="A74" s="37" t="n">
        <v>67</v>
      </c>
      <c r="B74" s="38" t="n"/>
      <c r="C74" s="39" t="n"/>
      <c r="D74" s="39" t="n"/>
      <c r="E74" s="39" t="n"/>
      <c r="F74" s="40" t="n"/>
      <c r="G74" s="41">
        <f>IF(F74="","",ROUND(F74*0.16,2))</f>
        <v/>
      </c>
      <c r="H74" s="41">
        <f>IF(F74="","",F74+G74)</f>
        <v/>
      </c>
    </row>
    <row r="75" ht="20" customHeight="1">
      <c r="A75" s="37" t="n">
        <v>68</v>
      </c>
      <c r="B75" s="38" t="n"/>
      <c r="C75" s="39" t="n"/>
      <c r="D75" s="39" t="n"/>
      <c r="E75" s="39" t="n"/>
      <c r="F75" s="40" t="n"/>
      <c r="G75" s="41">
        <f>IF(F75="","",ROUND(F75*0.16,2))</f>
        <v/>
      </c>
      <c r="H75" s="41">
        <f>IF(F75="","",F75+G75)</f>
        <v/>
      </c>
    </row>
    <row r="76" ht="20" customHeight="1">
      <c r="A76" s="37" t="n">
        <v>69</v>
      </c>
      <c r="B76" s="38" t="n"/>
      <c r="C76" s="39" t="n"/>
      <c r="D76" s="39" t="n"/>
      <c r="E76" s="39" t="n"/>
      <c r="F76" s="40" t="n"/>
      <c r="G76" s="41">
        <f>IF(F76="","",ROUND(F76*0.16,2))</f>
        <v/>
      </c>
      <c r="H76" s="41">
        <f>IF(F76="","",F76+G76)</f>
        <v/>
      </c>
    </row>
    <row r="77" ht="20" customHeight="1">
      <c r="A77" s="37" t="n">
        <v>70</v>
      </c>
      <c r="B77" s="38" t="n"/>
      <c r="C77" s="39" t="n"/>
      <c r="D77" s="39" t="n"/>
      <c r="E77" s="39" t="n"/>
      <c r="F77" s="40" t="n"/>
      <c r="G77" s="41">
        <f>IF(F77="","",ROUND(F77*0.16,2))</f>
        <v/>
      </c>
      <c r="H77" s="41">
        <f>IF(F77="","",F77+G77)</f>
        <v/>
      </c>
    </row>
    <row r="78" ht="20" customHeight="1">
      <c r="A78" s="37" t="n">
        <v>71</v>
      </c>
      <c r="B78" s="38" t="n"/>
      <c r="C78" s="39" t="n"/>
      <c r="D78" s="39" t="n"/>
      <c r="E78" s="39" t="n"/>
      <c r="F78" s="40" t="n"/>
      <c r="G78" s="41">
        <f>IF(F78="","",ROUND(F78*0.16,2))</f>
        <v/>
      </c>
      <c r="H78" s="41">
        <f>IF(F78="","",F78+G78)</f>
        <v/>
      </c>
    </row>
    <row r="79" ht="20" customHeight="1">
      <c r="A79" s="37" t="n">
        <v>72</v>
      </c>
      <c r="B79" s="38" t="n"/>
      <c r="C79" s="39" t="n"/>
      <c r="D79" s="39" t="n"/>
      <c r="E79" s="39" t="n"/>
      <c r="F79" s="40" t="n"/>
      <c r="G79" s="41">
        <f>IF(F79="","",ROUND(F79*0.16,2))</f>
        <v/>
      </c>
      <c r="H79" s="41">
        <f>IF(F79="","",F79+G79)</f>
        <v/>
      </c>
    </row>
    <row r="80" ht="20" customHeight="1">
      <c r="A80" s="37" t="n">
        <v>73</v>
      </c>
      <c r="B80" s="38" t="n"/>
      <c r="C80" s="39" t="n"/>
      <c r="D80" s="39" t="n"/>
      <c r="E80" s="39" t="n"/>
      <c r="F80" s="40" t="n"/>
      <c r="G80" s="41">
        <f>IF(F80="","",ROUND(F80*0.16,2))</f>
        <v/>
      </c>
      <c r="H80" s="41">
        <f>IF(F80="","",F80+G80)</f>
        <v/>
      </c>
    </row>
    <row r="81" ht="20" customHeight="1">
      <c r="A81" s="37" t="n">
        <v>74</v>
      </c>
      <c r="B81" s="38" t="n"/>
      <c r="C81" s="39" t="n"/>
      <c r="D81" s="39" t="n"/>
      <c r="E81" s="39" t="n"/>
      <c r="F81" s="40" t="n"/>
      <c r="G81" s="41">
        <f>IF(F81="","",ROUND(F81*0.16,2))</f>
        <v/>
      </c>
      <c r="H81" s="41">
        <f>IF(F81="","",F81+G81)</f>
        <v/>
      </c>
    </row>
    <row r="82" ht="20" customHeight="1">
      <c r="A82" s="37" t="n">
        <v>75</v>
      </c>
      <c r="B82" s="38" t="n"/>
      <c r="C82" s="39" t="n"/>
      <c r="D82" s="39" t="n"/>
      <c r="E82" s="39" t="n"/>
      <c r="F82" s="40" t="n"/>
      <c r="G82" s="41">
        <f>IF(F82="","",ROUND(F82*0.16,2))</f>
        <v/>
      </c>
      <c r="H82" s="41">
        <f>IF(F82="","",F82+G82)</f>
        <v/>
      </c>
    </row>
    <row r="83" ht="20" customHeight="1">
      <c r="A83" s="37" t="n">
        <v>76</v>
      </c>
      <c r="B83" s="38" t="n"/>
      <c r="C83" s="39" t="n"/>
      <c r="D83" s="39" t="n"/>
      <c r="E83" s="39" t="n"/>
      <c r="F83" s="40" t="n"/>
      <c r="G83" s="41">
        <f>IF(F83="","",ROUND(F83*0.16,2))</f>
        <v/>
      </c>
      <c r="H83" s="41">
        <f>IF(F83="","",F83+G83)</f>
        <v/>
      </c>
    </row>
    <row r="84" ht="20" customHeight="1">
      <c r="A84" s="37" t="n">
        <v>77</v>
      </c>
      <c r="B84" s="38" t="n"/>
      <c r="C84" s="39" t="n"/>
      <c r="D84" s="39" t="n"/>
      <c r="E84" s="39" t="n"/>
      <c r="F84" s="40" t="n"/>
      <c r="G84" s="41">
        <f>IF(F84="","",ROUND(F84*0.16,2))</f>
        <v/>
      </c>
      <c r="H84" s="41">
        <f>IF(F84="","",F84+G84)</f>
        <v/>
      </c>
    </row>
    <row r="85" ht="20" customHeight="1">
      <c r="A85" s="37" t="n">
        <v>78</v>
      </c>
      <c r="B85" s="38" t="n"/>
      <c r="C85" s="39" t="n"/>
      <c r="D85" s="39" t="n"/>
      <c r="E85" s="39" t="n"/>
      <c r="F85" s="40" t="n"/>
      <c r="G85" s="41">
        <f>IF(F85="","",ROUND(F85*0.16,2))</f>
        <v/>
      </c>
      <c r="H85" s="41">
        <f>IF(F85="","",F85+G85)</f>
        <v/>
      </c>
    </row>
    <row r="86" ht="20" customHeight="1">
      <c r="A86" s="37" t="n">
        <v>79</v>
      </c>
      <c r="B86" s="38" t="n"/>
      <c r="C86" s="39" t="n"/>
      <c r="D86" s="39" t="n"/>
      <c r="E86" s="39" t="n"/>
      <c r="F86" s="40" t="n"/>
      <c r="G86" s="41">
        <f>IF(F86="","",ROUND(F86*0.16,2))</f>
        <v/>
      </c>
      <c r="H86" s="41">
        <f>IF(F86="","",F86+G86)</f>
        <v/>
      </c>
    </row>
    <row r="87" ht="20" customHeight="1">
      <c r="A87" s="37" t="n">
        <v>80</v>
      </c>
      <c r="B87" s="38" t="n"/>
      <c r="C87" s="39" t="n"/>
      <c r="D87" s="39" t="n"/>
      <c r="E87" s="39" t="n"/>
      <c r="F87" s="40" t="n"/>
      <c r="G87" s="41">
        <f>IF(F87="","",ROUND(F87*0.16,2))</f>
        <v/>
      </c>
      <c r="H87" s="41">
        <f>IF(F87="","",F87+G87)</f>
        <v/>
      </c>
    </row>
    <row r="88" ht="20" customHeight="1">
      <c r="A88" s="37" t="n">
        <v>81</v>
      </c>
      <c r="B88" s="38" t="n"/>
      <c r="C88" s="39" t="n"/>
      <c r="D88" s="39" t="n"/>
      <c r="E88" s="39" t="n"/>
      <c r="F88" s="40" t="n"/>
      <c r="G88" s="41">
        <f>IF(F88="","",ROUND(F88*0.16,2))</f>
        <v/>
      </c>
      <c r="H88" s="41">
        <f>IF(F88="","",F88+G88)</f>
        <v/>
      </c>
    </row>
    <row r="89" ht="20" customHeight="1">
      <c r="A89" s="37" t="n">
        <v>82</v>
      </c>
      <c r="B89" s="38" t="n"/>
      <c r="C89" s="39" t="n"/>
      <c r="D89" s="39" t="n"/>
      <c r="E89" s="39" t="n"/>
      <c r="F89" s="40" t="n"/>
      <c r="G89" s="41">
        <f>IF(F89="","",ROUND(F89*0.16,2))</f>
        <v/>
      </c>
      <c r="H89" s="41">
        <f>IF(F89="","",F89+G89)</f>
        <v/>
      </c>
    </row>
    <row r="90" ht="20" customHeight="1">
      <c r="A90" s="37" t="n">
        <v>83</v>
      </c>
      <c r="B90" s="38" t="n"/>
      <c r="C90" s="39" t="n"/>
      <c r="D90" s="39" t="n"/>
      <c r="E90" s="39" t="n"/>
      <c r="F90" s="40" t="n"/>
      <c r="G90" s="41">
        <f>IF(F90="","",ROUND(F90*0.16,2))</f>
        <v/>
      </c>
      <c r="H90" s="41">
        <f>IF(F90="","",F90+G90)</f>
        <v/>
      </c>
    </row>
    <row r="91" ht="20" customHeight="1">
      <c r="A91" s="37" t="n">
        <v>84</v>
      </c>
      <c r="B91" s="38" t="n"/>
      <c r="C91" s="39" t="n"/>
      <c r="D91" s="39" t="n"/>
      <c r="E91" s="39" t="n"/>
      <c r="F91" s="40" t="n"/>
      <c r="G91" s="41">
        <f>IF(F91="","",ROUND(F91*0.16,2))</f>
        <v/>
      </c>
      <c r="H91" s="41">
        <f>IF(F91="","",F91+G91)</f>
        <v/>
      </c>
    </row>
    <row r="92" ht="20" customHeight="1">
      <c r="A92" s="37" t="n">
        <v>85</v>
      </c>
      <c r="B92" s="38" t="n"/>
      <c r="C92" s="39" t="n"/>
      <c r="D92" s="39" t="n"/>
      <c r="E92" s="39" t="n"/>
      <c r="F92" s="40" t="n"/>
      <c r="G92" s="41">
        <f>IF(F92="","",ROUND(F92*0.16,2))</f>
        <v/>
      </c>
      <c r="H92" s="41">
        <f>IF(F92="","",F92+G92)</f>
        <v/>
      </c>
    </row>
    <row r="93" ht="20" customHeight="1">
      <c r="A93" s="37" t="n">
        <v>86</v>
      </c>
      <c r="B93" s="38" t="n"/>
      <c r="C93" s="39" t="n"/>
      <c r="D93" s="39" t="n"/>
      <c r="E93" s="39" t="n"/>
      <c r="F93" s="40" t="n"/>
      <c r="G93" s="41">
        <f>IF(F93="","",ROUND(F93*0.16,2))</f>
        <v/>
      </c>
      <c r="H93" s="41">
        <f>IF(F93="","",F93+G93)</f>
        <v/>
      </c>
    </row>
    <row r="94" ht="20" customHeight="1">
      <c r="A94" s="37" t="n">
        <v>87</v>
      </c>
      <c r="B94" s="38" t="n"/>
      <c r="C94" s="39" t="n"/>
      <c r="D94" s="39" t="n"/>
      <c r="E94" s="39" t="n"/>
      <c r="F94" s="40" t="n"/>
      <c r="G94" s="41">
        <f>IF(F94="","",ROUND(F94*0.16,2))</f>
        <v/>
      </c>
      <c r="H94" s="41">
        <f>IF(F94="","",F94+G94)</f>
        <v/>
      </c>
    </row>
    <row r="95" ht="20" customHeight="1">
      <c r="A95" s="37" t="n">
        <v>88</v>
      </c>
      <c r="B95" s="38" t="n"/>
      <c r="C95" s="39" t="n"/>
      <c r="D95" s="39" t="n"/>
      <c r="E95" s="39" t="n"/>
      <c r="F95" s="40" t="n"/>
      <c r="G95" s="41">
        <f>IF(F95="","",ROUND(F95*0.16,2))</f>
        <v/>
      </c>
      <c r="H95" s="41">
        <f>IF(F95="","",F95+G95)</f>
        <v/>
      </c>
    </row>
    <row r="96" ht="20" customHeight="1">
      <c r="A96" s="37" t="n">
        <v>89</v>
      </c>
      <c r="B96" s="38" t="n"/>
      <c r="C96" s="39" t="n"/>
      <c r="D96" s="39" t="n"/>
      <c r="E96" s="39" t="n"/>
      <c r="F96" s="40" t="n"/>
      <c r="G96" s="41">
        <f>IF(F96="","",ROUND(F96*0.16,2))</f>
        <v/>
      </c>
      <c r="H96" s="41">
        <f>IF(F96="","",F96+G96)</f>
        <v/>
      </c>
    </row>
    <row r="97" ht="20" customHeight="1">
      <c r="A97" s="37" t="n">
        <v>90</v>
      </c>
      <c r="B97" s="38" t="n"/>
      <c r="C97" s="39" t="n"/>
      <c r="D97" s="39" t="n"/>
      <c r="E97" s="39" t="n"/>
      <c r="F97" s="40" t="n"/>
      <c r="G97" s="41">
        <f>IF(F97="","",ROUND(F97*0.16,2))</f>
        <v/>
      </c>
      <c r="H97" s="41">
        <f>IF(F97="","",F97+G97)</f>
        <v/>
      </c>
    </row>
    <row r="98" ht="20" customHeight="1">
      <c r="A98" s="37" t="n">
        <v>91</v>
      </c>
      <c r="B98" s="38" t="n"/>
      <c r="C98" s="39" t="n"/>
      <c r="D98" s="39" t="n"/>
      <c r="E98" s="39" t="n"/>
      <c r="F98" s="40" t="n"/>
      <c r="G98" s="41">
        <f>IF(F98="","",ROUND(F98*0.16,2))</f>
        <v/>
      </c>
      <c r="H98" s="41">
        <f>IF(F98="","",F98+G98)</f>
        <v/>
      </c>
    </row>
    <row r="99" ht="20" customHeight="1">
      <c r="A99" s="37" t="n">
        <v>92</v>
      </c>
      <c r="B99" s="38" t="n"/>
      <c r="C99" s="39" t="n"/>
      <c r="D99" s="39" t="n"/>
      <c r="E99" s="39" t="n"/>
      <c r="F99" s="40" t="n"/>
      <c r="G99" s="41">
        <f>IF(F99="","",ROUND(F99*0.16,2))</f>
        <v/>
      </c>
      <c r="H99" s="41">
        <f>IF(F99="","",F99+G99)</f>
        <v/>
      </c>
    </row>
    <row r="100" ht="20" customHeight="1">
      <c r="A100" s="37" t="n">
        <v>93</v>
      </c>
      <c r="B100" s="38" t="n"/>
      <c r="C100" s="39" t="n"/>
      <c r="D100" s="39" t="n"/>
      <c r="E100" s="39" t="n"/>
      <c r="F100" s="40" t="n"/>
      <c r="G100" s="41">
        <f>IF(F100="","",ROUND(F100*0.16,2))</f>
        <v/>
      </c>
      <c r="H100" s="41">
        <f>IF(F100="","",F100+G100)</f>
        <v/>
      </c>
    </row>
    <row r="101" ht="20" customHeight="1">
      <c r="A101" s="37" t="n">
        <v>94</v>
      </c>
      <c r="B101" s="38" t="n"/>
      <c r="C101" s="39" t="n"/>
      <c r="D101" s="39" t="n"/>
      <c r="E101" s="39" t="n"/>
      <c r="F101" s="40" t="n"/>
      <c r="G101" s="41">
        <f>IF(F101="","",ROUND(F101*0.16,2))</f>
        <v/>
      </c>
      <c r="H101" s="41">
        <f>IF(F101="","",F101+G101)</f>
        <v/>
      </c>
    </row>
    <row r="102" ht="20" customHeight="1">
      <c r="A102" s="37" t="n">
        <v>95</v>
      </c>
      <c r="B102" s="38" t="n"/>
      <c r="C102" s="39" t="n"/>
      <c r="D102" s="39" t="n"/>
      <c r="E102" s="39" t="n"/>
      <c r="F102" s="40" t="n"/>
      <c r="G102" s="41">
        <f>IF(F102="","",ROUND(F102*0.16,2))</f>
        <v/>
      </c>
      <c r="H102" s="41">
        <f>IF(F102="","",F102+G102)</f>
        <v/>
      </c>
    </row>
    <row r="103" ht="20" customHeight="1">
      <c r="A103" s="37" t="n">
        <v>96</v>
      </c>
      <c r="B103" s="38" t="n"/>
      <c r="C103" s="39" t="n"/>
      <c r="D103" s="39" t="n"/>
      <c r="E103" s="39" t="n"/>
      <c r="F103" s="40" t="n"/>
      <c r="G103" s="41">
        <f>IF(F103="","",ROUND(F103*0.16,2))</f>
        <v/>
      </c>
      <c r="H103" s="41">
        <f>IF(F103="","",F103+G103)</f>
        <v/>
      </c>
    </row>
    <row r="104" ht="20" customHeight="1">
      <c r="A104" s="37" t="n">
        <v>97</v>
      </c>
      <c r="B104" s="38" t="n"/>
      <c r="C104" s="39" t="n"/>
      <c r="D104" s="39" t="n"/>
      <c r="E104" s="39" t="n"/>
      <c r="F104" s="40" t="n"/>
      <c r="G104" s="41">
        <f>IF(F104="","",ROUND(F104*0.16,2))</f>
        <v/>
      </c>
      <c r="H104" s="41">
        <f>IF(F104="","",F104+G104)</f>
        <v/>
      </c>
    </row>
    <row r="105" ht="20" customHeight="1">
      <c r="A105" s="37" t="n">
        <v>98</v>
      </c>
      <c r="B105" s="38" t="n"/>
      <c r="C105" s="39" t="n"/>
      <c r="D105" s="39" t="n"/>
      <c r="E105" s="39" t="n"/>
      <c r="F105" s="40" t="n"/>
      <c r="G105" s="41">
        <f>IF(F105="","",ROUND(F105*0.16,2))</f>
        <v/>
      </c>
      <c r="H105" s="41">
        <f>IF(F105="","",F105+G105)</f>
        <v/>
      </c>
    </row>
    <row r="106" ht="20" customHeight="1">
      <c r="A106" s="37" t="n">
        <v>99</v>
      </c>
      <c r="B106" s="38" t="n"/>
      <c r="C106" s="39" t="n"/>
      <c r="D106" s="39" t="n"/>
      <c r="E106" s="39" t="n"/>
      <c r="F106" s="40" t="n"/>
      <c r="G106" s="41">
        <f>IF(F106="","",ROUND(F106*0.16,2))</f>
        <v/>
      </c>
      <c r="H106" s="41">
        <f>IF(F106="","",F106+G106)</f>
        <v/>
      </c>
    </row>
    <row r="107" ht="20" customHeight="1">
      <c r="A107" s="37" t="n">
        <v>100</v>
      </c>
      <c r="B107" s="38" t="n"/>
      <c r="C107" s="39" t="n"/>
      <c r="D107" s="39" t="n"/>
      <c r="E107" s="39" t="n"/>
      <c r="F107" s="40" t="n"/>
      <c r="G107" s="41">
        <f>IF(F107="","",ROUND(F107*0.16,2))</f>
        <v/>
      </c>
      <c r="H107" s="41">
        <f>IF(F107="","",F107+G107)</f>
        <v/>
      </c>
    </row>
    <row r="108">
      <c r="A108" s="4" t="n"/>
      <c r="B108" s="4" t="n"/>
      <c r="C108" s="4" t="n"/>
      <c r="D108" s="4" t="n"/>
      <c r="E108" s="42" t="inlineStr">
        <is>
          <t>TOTAL</t>
        </is>
      </c>
      <c r="F108" s="43">
        <f>SUM(F8:F107)</f>
        <v/>
      </c>
      <c r="G108" s="43">
        <f>SUM(G8:G107)</f>
        <v/>
      </c>
      <c r="H108" s="43">
        <f>SUM(H8:H107)</f>
        <v/>
      </c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</row>
    <row r="110">
      <c r="A110" s="44" t="inlineStr">
        <is>
          <t>TOTAL GASTADO</t>
        </is>
      </c>
      <c r="B110" s="35">
        <f>H108</f>
        <v/>
      </c>
      <c r="C110" s="20" t="n"/>
      <c r="D110" s="4" t="n"/>
      <c r="E110" s="4" t="n"/>
      <c r="F110" s="4" t="n"/>
      <c r="G110" s="4" t="n"/>
      <c r="H110" s="4" t="n"/>
    </row>
    <row r="111">
      <c r="A111" s="44" t="inlineStr">
        <is>
          <t>EFECTIVO EN CAJA</t>
        </is>
      </c>
      <c r="B111" s="35" t="n"/>
      <c r="C111" s="20" t="n"/>
      <c r="D111" s="4" t="n"/>
      <c r="E111" s="4" t="n"/>
      <c r="F111" s="4" t="n"/>
      <c r="G111" s="4" t="n"/>
      <c r="H111" s="4" t="n"/>
    </row>
    <row r="112">
      <c r="A112" s="33" t="inlineStr">
        <is>
          <t>FONDO - GASTOS</t>
        </is>
      </c>
      <c r="B112" s="35">
        <f>B5-H108</f>
        <v/>
      </c>
      <c r="C112" s="20" t="n"/>
      <c r="D112" s="4" t="n"/>
      <c r="E112" s="4" t="n"/>
      <c r="F112" s="4" t="n"/>
      <c r="G112" s="4" t="n"/>
      <c r="H112" s="4" t="n"/>
    </row>
    <row r="113">
      <c r="A113" s="33" t="inlineStr">
        <is>
          <t>DIFERENCIA</t>
        </is>
      </c>
      <c r="B113" s="35">
        <f>C111-C112</f>
        <v/>
      </c>
      <c r="C113" s="20" t="n"/>
      <c r="D113" s="4" t="n"/>
      <c r="E113" s="4" t="n"/>
      <c r="F113" s="4" t="n"/>
      <c r="G113" s="4" t="n"/>
      <c r="H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</row>
    <row r="116">
      <c r="A116" s="45" t="n"/>
      <c r="B116" s="4" t="n"/>
      <c r="C116" s="45" t="n"/>
      <c r="D116" s="4" t="n"/>
      <c r="E116" s="45" t="n"/>
      <c r="F116" s="4" t="n"/>
      <c r="G116" s="4" t="n"/>
      <c r="H116" s="4" t="n"/>
    </row>
    <row r="117">
      <c r="A117" s="46" t="inlineStr">
        <is>
          <t>ELABORÓ</t>
        </is>
      </c>
      <c r="B117" s="4" t="n"/>
      <c r="C117" s="46" t="inlineStr">
        <is>
          <t>REVISÓ</t>
        </is>
      </c>
      <c r="D117" s="4" t="n"/>
      <c r="E117" s="46" t="inlineStr">
        <is>
          <t>AUTORIZÓ</t>
        </is>
      </c>
      <c r="F117" s="4" t="n"/>
      <c r="G117" s="4" t="n"/>
      <c r="H117" s="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6">
    <mergeCell ref="A2:F2"/>
    <mergeCell ref="F4:G4"/>
    <mergeCell ref="E116"/>
    <mergeCell ref="B5:D5"/>
    <mergeCell ref="B112:C112"/>
    <mergeCell ref="A1:F1"/>
    <mergeCell ref="B111:C111"/>
    <mergeCell ref="B4:D4"/>
    <mergeCell ref="G1:H2"/>
    <mergeCell ref="C117"/>
    <mergeCell ref="E117"/>
    <mergeCell ref="B110:C110"/>
    <mergeCell ref="C116"/>
    <mergeCell ref="A116"/>
    <mergeCell ref="A117"/>
    <mergeCell ref="B113:C113"/>
  </mergeCells>
  <conditionalFormatting sqref="H8:H107">
    <cfRule type="dataBar" priority="1">
      <dataBar showValue="1">
        <cfvo type="num" val="0"/>
        <cfvo type="max"/>
        <color rgb="0012A0A8"/>
      </dataBar>
    </cfRule>
  </conditionalFormatting>
  <dataValidations count="2">
    <dataValidation sqref="B8:B107" showDropDown="0" showInputMessage="1" showErrorMessage="1" allowBlank="1" errorTitle="FECHA NO VÁLIDA" error="Escribe una fecha válida, por ejemplo 15/03/2026." promptTitle="FECHA" prompt="Formato DD/MM/AAAA" type="date" errorStyle="warning" operator="greaterThan">
      <formula1>36526</formula1>
    </dataValidation>
    <dataValidation sqref="F8:F107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</dataValidations>
  <printOptions horizontalCentered="1"/>
  <pageMargins left="0.75" right="0.75" top="1" bottom="1" header="0.5" footer="0.5"/>
  <pageSetup orientation="landscape" fitToHeight="0" fitToWidth="1" firstPageNumber="1" useFirstPageNumber="1"/>
  <headerFooter>
    <oddHeader/>
    <oddFooter>&amp;C&amp;8 Página &amp;P&amp;R&amp;8 Impreso: &amp;D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J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" customWidth="1" min="10" max="10"/>
  </cols>
  <sheetData>
    <row r="1" ht="44" customHeight="1">
      <c r="A1" s="26" t="inlineStr">
        <is>
          <t>RESUMEN DE CAJA CHICA</t>
        </is>
      </c>
      <c r="B1" s="1" t="n"/>
      <c r="C1" s="1" t="n"/>
      <c r="D1" s="1" t="n"/>
      <c r="E1" s="1" t="n"/>
      <c r="F1" s="1" t="n"/>
      <c r="G1" s="1" t="n"/>
      <c r="H1" s="27" t="inlineStr">
        <is>
          <t>INSERTE SU LOGO
(clic derecho &gt; Insertar imagen)</t>
        </is>
      </c>
      <c r="I1" s="47" t="n"/>
      <c r="J1" s="28" t="n"/>
    </row>
    <row r="2" ht="26" customHeight="1">
      <c r="A2" s="29" t="inlineStr">
        <is>
          <t>Uso del fondo fijo y comprobación de gastos</t>
        </is>
      </c>
      <c r="B2" s="30" t="n"/>
      <c r="C2" s="30" t="n"/>
      <c r="D2" s="30" t="n"/>
      <c r="E2" s="30" t="n"/>
      <c r="F2" s="30" t="n"/>
      <c r="G2" s="30" t="n"/>
      <c r="H2" s="31" t="n"/>
      <c r="I2" s="48" t="n"/>
      <c r="J2" s="32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 ht="22" customHeight="1">
      <c r="A4" s="4" t="n"/>
      <c r="B4" s="49" t="inlineStr">
        <is>
          <t>FONDO FIJO</t>
        </is>
      </c>
      <c r="C4" s="50" t="n"/>
      <c r="D4" s="49" t="inlineStr">
        <is>
          <t>TOTAL GASTADO</t>
        </is>
      </c>
      <c r="E4" s="50" t="n"/>
      <c r="F4" s="49" t="inlineStr">
        <is>
          <t>DISPONIBLE</t>
        </is>
      </c>
      <c r="G4" s="50" t="n"/>
      <c r="H4" s="49" t="inlineStr">
        <is>
          <t>% DEL FONDO USADO</t>
        </is>
      </c>
      <c r="I4" s="50" t="n"/>
      <c r="J4" s="4" t="n"/>
    </row>
    <row r="5" ht="46" customHeight="1">
      <c r="A5" s="4" t="n"/>
      <c r="B5" s="51">
        <f>FORMATO!B5</f>
        <v/>
      </c>
      <c r="C5" s="52" t="n"/>
      <c r="D5" s="51">
        <f>FORMATO!H108</f>
        <v/>
      </c>
      <c r="E5" s="52" t="n"/>
      <c r="F5" s="51">
        <f>B5-D5</f>
        <v/>
      </c>
      <c r="G5" s="52" t="n"/>
      <c r="H5" s="53">
        <f>IFERROR(D5/B5,0)</f>
        <v/>
      </c>
      <c r="I5" s="52" t="n"/>
      <c r="J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 ht="32" customHeight="1">
      <c r="A25" s="4" t="n"/>
      <c r="B25" s="36" t="inlineStr">
        <is>
          <t>CONCEPTO</t>
        </is>
      </c>
      <c r="C25" s="36" t="inlineStr">
        <is>
          <t>IMPORTE</t>
        </is>
      </c>
      <c r="D25" s="4" t="n"/>
      <c r="E25" s="4" t="n"/>
      <c r="F25" s="4" t="n"/>
      <c r="G25" s="4" t="n"/>
      <c r="H25" s="4" t="n"/>
      <c r="I25" s="4" t="n"/>
      <c r="J25" s="4" t="n"/>
    </row>
    <row r="26" ht="22" customHeight="1">
      <c r="A26" s="4" t="n"/>
      <c r="B26" s="54" t="inlineStr">
        <is>
          <t>GASTADO</t>
        </is>
      </c>
      <c r="C26" s="55">
        <f>D5</f>
        <v/>
      </c>
      <c r="D26" s="4" t="n"/>
      <c r="E26" s="4" t="n"/>
      <c r="F26" s="49" t="inlineStr">
        <is>
          <t>IVA ACUMULADO</t>
        </is>
      </c>
      <c r="G26" s="50" t="n"/>
      <c r="H26" s="49" t="inlineStr">
        <is>
          <t>VALES REGISTRADOS</t>
        </is>
      </c>
      <c r="I26" s="50" t="n"/>
      <c r="J26" s="4" t="n"/>
    </row>
    <row r="27" ht="46" customHeight="1">
      <c r="A27" s="4" t="n"/>
      <c r="B27" s="54" t="inlineStr">
        <is>
          <t>DISPONIBLE</t>
        </is>
      </c>
      <c r="C27" s="55">
        <f>MAX(0,F5)</f>
        <v/>
      </c>
      <c r="D27" s="4" t="n"/>
      <c r="E27" s="4" t="n"/>
      <c r="F27" s="51">
        <f>FORMATO!G108</f>
        <v/>
      </c>
      <c r="G27" s="52" t="n"/>
      <c r="H27" s="56">
        <f>COUNT(FORMATO!F8:F107)</f>
        <v/>
      </c>
      <c r="I27" s="52" t="n"/>
      <c r="J27" s="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5">
    <mergeCell ref="F4:G4"/>
    <mergeCell ref="H1:J2"/>
    <mergeCell ref="A1:G1"/>
    <mergeCell ref="B5:C5"/>
    <mergeCell ref="F5:G5"/>
    <mergeCell ref="D5:E5"/>
    <mergeCell ref="A2:G2"/>
    <mergeCell ref="D4:E4"/>
    <mergeCell ref="H5:I5"/>
    <mergeCell ref="H4:I4"/>
    <mergeCell ref="F26:G26"/>
    <mergeCell ref="F27:G27"/>
    <mergeCell ref="B4:C4"/>
    <mergeCell ref="H27:I27"/>
    <mergeCell ref="H26:I26"/>
  </mergeCells>
  <printOptions horizontalCentered="1"/>
  <pageMargins left="0.75" right="0.75" top="1" bottom="1" header="0.5" footer="0.5"/>
  <pageSetup orientation="landscape" fitToHeight="1" fitToWidth="1" firstPageNumber="1" useFirstPageNumber="1"/>
  <headerFooter>
    <oddHeader/>
    <oddFooter>&amp;C&amp;8 Página &amp;P&amp;R&amp;8 Impreso: &amp;D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0E7C8B"/>
    <outlinePr summaryBelow="1" summaryRight="1"/>
    <pageSetUpPr fitToPage="1"/>
  </sheetPr>
  <dimension ref="A1:E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8" customWidth="1" min="3" max="3"/>
    <col width="80" customWidth="1" min="4" max="4"/>
    <col width="3" customWidth="1" min="5" max="5"/>
  </cols>
  <sheetData>
    <row r="1" ht="30" customHeight="1">
      <c r="A1" s="1" t="n"/>
      <c r="B1" s="57" t="inlineStr">
        <is>
          <t>AYUDA Y PREGUNTAS FRECUENTES</t>
        </is>
      </c>
      <c r="C1" s="4" t="n"/>
      <c r="D1" s="4" t="n"/>
      <c r="E1" s="1" t="n"/>
    </row>
    <row r="2">
      <c r="A2" s="1" t="n"/>
      <c r="B2" s="58" t="inlineStr">
        <is>
          <t>CONTROL DE CAJA CHICA</t>
        </is>
      </c>
      <c r="C2" s="4" t="n"/>
      <c r="D2" s="4" t="n"/>
      <c r="E2" s="1" t="n"/>
    </row>
    <row r="3">
      <c r="A3" s="8" t="n"/>
      <c r="B3" s="8" t="n"/>
      <c r="C3" s="8" t="n"/>
      <c r="D3" s="8" t="n"/>
      <c r="E3" s="8" t="n"/>
    </row>
    <row r="4">
      <c r="A4" s="4" t="n"/>
      <c r="B4" s="4" t="n"/>
      <c r="C4" s="4" t="n"/>
      <c r="D4" s="4" t="n"/>
      <c r="E4" s="4" t="n"/>
    </row>
    <row r="5" ht="24" customHeight="1">
      <c r="A5" s="4" t="n"/>
      <c r="B5" s="9" t="inlineStr">
        <is>
          <t>PREGUNTAS FRECUENTES</t>
        </is>
      </c>
      <c r="C5" s="10" t="n"/>
      <c r="D5" s="10" t="n"/>
      <c r="E5" s="4" t="n"/>
    </row>
    <row r="6" ht="38" customHeight="1">
      <c r="A6" s="4" t="n"/>
      <c r="B6" s="4" t="n"/>
      <c r="C6" s="59" t="inlineStr">
        <is>
          <t>¿Cuánto debe ser el fondo fijo?</t>
        </is>
      </c>
      <c r="D6" s="60" t="inlineStr">
        <is>
          <t>Lo suficiente para cubrir de una a dos semanas de gastos menores. Lo más común es entre $1,500 y $5,000 MXN.</t>
        </is>
      </c>
      <c r="E6" s="4" t="n"/>
    </row>
    <row r="7" ht="38" customHeight="1">
      <c r="A7" s="4" t="n"/>
      <c r="B7" s="4" t="n"/>
      <c r="C7" s="59" t="inlineStr">
        <is>
          <t>¿El IVA siempre es 16%?</t>
        </is>
      </c>
      <c r="D7" s="60" t="inlineStr">
        <is>
          <t>En la zona fronteriza puede ser 8%. Si un gasto no genera IVA acreditable, sobrescribe la celda de IVA con 0.</t>
        </is>
      </c>
      <c r="E7" s="4" t="n"/>
    </row>
    <row r="8" ht="53" customHeight="1">
      <c r="A8" s="4" t="n"/>
      <c r="B8" s="4" t="n"/>
      <c r="C8" s="59" t="inlineStr">
        <is>
          <t>¿Por qué no puedo escribir en algunas celdas?</t>
        </is>
      </c>
      <c r="D8" s="60" t="inlineStr">
        <is>
          <t>La hoja está protegida para que no se borren fórmulas por accidente. Solo se editan las celdas de captura (color crema). Si necesitas modificar algo más: pestaña Revisar &gt; Desproteger hoja (no tiene contraseña).</t>
        </is>
      </c>
      <c r="E8" s="4" t="n"/>
    </row>
    <row r="9" ht="38" customHeight="1">
      <c r="A9" s="4" t="n"/>
      <c r="B9" s="4" t="n"/>
      <c r="C9" s="59" t="inlineStr">
        <is>
          <t>¿Cómo agrego mi logotipo?</t>
        </is>
      </c>
      <c r="D9" s="60" t="inlineStr">
        <is>
          <t>Haz clic en el recuadro punteado de la esquina superior derecha del formato y usa Insertar &gt; Imágenes. Ajusta el tamaño sin salirte del recuadro.</t>
        </is>
      </c>
      <c r="E9" s="4" t="n"/>
    </row>
    <row r="10" ht="38" customHeight="1">
      <c r="A10" s="4" t="n"/>
      <c r="B10" s="4" t="n"/>
      <c r="C10" s="59" t="inlineStr">
        <is>
          <t>¿Cómo lo imprimo o lo convierto a PDF?</t>
        </is>
      </c>
      <c r="D10" s="60" t="inlineStr">
        <is>
          <t>Archivo &gt; Imprimir (ya está ajustado a una hoja de ancho). Para PDF elige 'Microsoft Print to PDF' o Archivo &gt; Exportar &gt; PDF.</t>
        </is>
      </c>
      <c r="E10" s="4" t="n"/>
    </row>
    <row r="11" ht="38" customHeight="1">
      <c r="A11" s="4" t="n"/>
      <c r="B11" s="4" t="n"/>
      <c r="C11" s="59" t="inlineStr">
        <is>
          <t>¿Con qué versiones de Excel funciona?</t>
        </is>
      </c>
      <c r="D11" s="60" t="inlineStr">
        <is>
          <t>Excel 2016, 2019, 2021 y Microsoft 365 (Windows y Mac). Funciona en LibreOffice y Google Sheets, aunque algunas gráficas y formatos pueden verse distintos.</t>
        </is>
      </c>
      <c r="E11" s="4" t="n"/>
    </row>
    <row r="12" ht="38" customHeight="1">
      <c r="A12" s="4" t="n"/>
      <c r="B12" s="4" t="n"/>
      <c r="C12" s="59" t="inlineStr">
        <is>
          <t>¿Puedo cambiar la letra?</t>
        </is>
      </c>
      <c r="D12" s="60" t="inlineStr">
        <is>
          <t>El diseño usa la fuente Arial, disponible en Windows, Mac y Google Sheets. Si necesitas otra, selecciona todo (Ctrl+E) y cambia la fuente; no afecta el funcionamiento.</t>
        </is>
      </c>
      <c r="E12" s="4" t="n"/>
    </row>
    <row r="13" ht="38" customHeight="1">
      <c r="A13" s="4" t="n"/>
      <c r="B13" s="4" t="n"/>
      <c r="C13" s="59" t="inlineStr">
        <is>
          <t>¿Puedo usarlo en varias empresas o por varios años?</t>
        </is>
      </c>
      <c r="D13" s="60" t="inlineStr">
        <is>
          <t>Sí. Guarda una copia del archivo por empresa o por periodo (Archivo &gt; Guardar como) y deja el original en blanco como plantilla maestra.</t>
        </is>
      </c>
      <c r="E13" s="4" t="n"/>
    </row>
    <row r="14">
      <c r="A14" s="4" t="n"/>
      <c r="B14" s="4" t="n"/>
      <c r="C14" s="4" t="n"/>
      <c r="D14" s="4" t="n"/>
      <c r="E14" s="4" t="n"/>
    </row>
    <row r="15" ht="24" customHeight="1">
      <c r="A15" s="4" t="n"/>
      <c r="B15" s="9" t="inlineStr">
        <is>
          <t>GLOSARIO</t>
        </is>
      </c>
      <c r="C15" s="10" t="n"/>
      <c r="D15" s="10" t="n"/>
      <c r="E15" s="4" t="n"/>
    </row>
    <row r="16" ht="21" customHeight="1">
      <c r="A16" s="4" t="n"/>
      <c r="B16" s="4" t="n"/>
      <c r="C16" s="61" t="inlineStr">
        <is>
          <t>FONDO FIJO</t>
        </is>
      </c>
      <c r="D16" s="62" t="inlineStr">
        <is>
          <t>Monto asignado a caja chica que se repone periódicamente.</t>
        </is>
      </c>
      <c r="E16" s="4" t="n"/>
    </row>
    <row r="17" ht="21" customHeight="1">
      <c r="A17" s="4" t="n"/>
      <c r="B17" s="4" t="n"/>
      <c r="C17" s="61" t="inlineStr">
        <is>
          <t>VALE</t>
        </is>
      </c>
      <c r="D17" s="62" t="inlineStr">
        <is>
          <t>Comprobante interno firmado por quien recibe el dinero.</t>
        </is>
      </c>
      <c r="E17" s="4" t="n"/>
    </row>
    <row r="18" ht="21" customHeight="1">
      <c r="A18" s="4" t="n"/>
      <c r="B18" s="4" t="n"/>
      <c r="C18" s="61" t="inlineStr">
        <is>
          <t>ARQUEO</t>
        </is>
      </c>
      <c r="D18" s="62" t="inlineStr">
        <is>
          <t>Conteo físico del efectivo y comprobantes para comparar con el fondo.</t>
        </is>
      </c>
      <c r="E18" s="4" t="n"/>
    </row>
    <row r="19" ht="21" customHeight="1">
      <c r="A19" s="4" t="n"/>
      <c r="B19" s="4" t="n"/>
      <c r="C19" s="61" t="inlineStr">
        <is>
          <t>REEMBOLSO</t>
        </is>
      </c>
      <c r="D19" s="62" t="inlineStr">
        <is>
          <t>Reposición del efectivo gastado.</t>
        </is>
      </c>
      <c r="E19" s="4" t="n"/>
    </row>
    <row r="20">
      <c r="A20" s="4" t="n"/>
      <c r="B20" s="4" t="n"/>
      <c r="C20" s="4" t="n"/>
      <c r="D20" s="4" t="n"/>
      <c r="E20" s="4" t="n"/>
    </row>
    <row r="21" ht="24" customHeight="1">
      <c r="A21" s="4" t="n"/>
      <c r="B21" s="9" t="inlineStr">
        <is>
          <t>LISTA DE VERIFICACIÓN (marca ☑ al completar)</t>
        </is>
      </c>
      <c r="C21" s="10" t="n"/>
      <c r="D21" s="10" t="n"/>
      <c r="E21" s="4" t="n"/>
    </row>
    <row r="22" ht="20" customHeight="1">
      <c r="A22" s="4" t="n"/>
      <c r="B22" s="63" t="inlineStr">
        <is>
          <t>☐</t>
        </is>
      </c>
      <c r="C22" s="64" t="inlineStr">
        <is>
          <t>Fondo fijo autorizado por escrito</t>
        </is>
      </c>
      <c r="D22" s="4" t="n"/>
      <c r="E22" s="4" t="n"/>
    </row>
    <row r="23" ht="20" customHeight="1">
      <c r="A23" s="4" t="n"/>
      <c r="B23" s="63" t="inlineStr">
        <is>
          <t>☐</t>
        </is>
      </c>
      <c r="C23" s="64" t="inlineStr">
        <is>
          <t>Vales numerados y firmados</t>
        </is>
      </c>
      <c r="D23" s="4" t="n"/>
      <c r="E23" s="4" t="n"/>
    </row>
    <row r="24" ht="20" customHeight="1">
      <c r="A24" s="4" t="n"/>
      <c r="B24" s="63" t="inlineStr">
        <is>
          <t>☐</t>
        </is>
      </c>
      <c r="C24" s="64" t="inlineStr">
        <is>
          <t>Arqueo realizado y firmado</t>
        </is>
      </c>
      <c r="D24" s="4" t="n"/>
      <c r="E24" s="4" t="n"/>
    </row>
    <row r="25" ht="20" customHeight="1">
      <c r="A25" s="4" t="n"/>
      <c r="B25" s="63" t="inlineStr">
        <is>
          <t>☐</t>
        </is>
      </c>
      <c r="C25" s="64" t="inlineStr">
        <is>
          <t>Comprobantes entregados a contabilidad</t>
        </is>
      </c>
      <c r="D25" s="4" t="n"/>
      <c r="E25" s="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6">
    <mergeCell ref="C24:D24"/>
    <mergeCell ref="B1:D1"/>
    <mergeCell ref="C25:D25"/>
    <mergeCell ref="C22:D22"/>
    <mergeCell ref="C23:D23"/>
    <mergeCell ref="B2:D2"/>
  </mergeCells>
  <dataValidations count="1">
    <dataValidation sqref="B22 B23 B24 B25" showDropDown="0" showInputMessage="0" showErrorMessage="0" allowBlank="0" type="list">
      <formula1>"☐,☑"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2026-10-07T22:57:51Z</dcterms:created>
  <dcterms:modified xmlns:dcterms="http://purl.org/dc/terms/" xmlns:xsi="http://www.w3.org/2001/XMLSchema-instance" xsi:type="dcterms:W3CDTF">2026-10-07T22:57:51Z</dcterms:modified>
</cp:coreProperties>
</file>