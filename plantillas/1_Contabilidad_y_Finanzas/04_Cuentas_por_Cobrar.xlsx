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i val="1"/>
      <color rgb="00A6A6A6"/>
      <sz val="8"/>
    </font>
    <font>
      <b val="1"/>
    </font>
    <font>
      <b val="1"/>
      <color rgb="00FFFFFF"/>
    </font>
    <font>
      <b val="1"/>
      <color rgb="001F4E78"/>
    </font>
    <font>
      <b val="1"/>
      <color rgb="001F4E78"/>
      <sz val="16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5" pivotButton="0" quotePrefix="0" xfId="0"/>
    <xf numFmtId="0" fontId="0" fillId="4" borderId="5" pivotButton="0" quotePrefix="0" xfId="0"/>
    <xf numFmtId="164" fontId="0" fillId="4" borderId="5" pivotButton="0" quotePrefix="0" xfId="0"/>
    <xf numFmtId="0" fontId="5" fillId="2" borderId="5" applyAlignment="1" pivotButton="0" quotePrefix="0" xfId="0">
      <alignment horizontal="center" vertical="center" wrapText="1"/>
    </xf>
    <xf numFmtId="0" fontId="0" fillId="5" borderId="5" pivotButton="0" quotePrefix="0" xfId="0"/>
    <xf numFmtId="164" fontId="0" fillId="5" borderId="5" pivotButton="0" quotePrefix="0" xfId="0"/>
    <xf numFmtId="165" fontId="0" fillId="4" borderId="5" pivotButton="0" quotePrefix="0" xfId="0"/>
    <xf numFmtId="165" fontId="0" fillId="5" borderId="5" pivotButton="0" quotePrefix="0" xfId="0"/>
    <xf numFmtId="0" fontId="4" fillId="0" borderId="0" applyAlignment="1" pivotButton="0" quotePrefix="0" xfId="0">
      <alignment horizontal="right"/>
    </xf>
    <xf numFmtId="165" fontId="4" fillId="3" borderId="5" pivotButton="0" quotePrefix="0" xfId="0"/>
    <xf numFmtId="0" fontId="6" fillId="0" borderId="0" pivotButton="0" quotePrefix="0" xfId="0"/>
    <xf numFmtId="0" fontId="0" fillId="0" borderId="5" pivotButton="0" quotePrefix="0" xfId="0"/>
    <xf numFmtId="165" fontId="0" fillId="0" borderId="5" pivotButton="0" quotePrefix="0" xfId="0"/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28" customWidth="1" min="2" max="2"/>
    <col width="14" customWidth="1" min="3" max="3"/>
    <col width="13" customWidth="1" min="4" max="4"/>
    <col width="13" customWidth="1" min="5" max="5"/>
    <col width="18.1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</cols>
  <sheetData>
    <row r="1" ht="38" customHeight="1">
      <c r="A1" s="1" t="inlineStr">
        <is>
          <t>CUENTAS POR COBRAR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INSERTE SU LOGO
(clic derecho &gt; Insertar imagen)</t>
        </is>
      </c>
      <c r="K1" s="4" t="n"/>
    </row>
    <row r="2" ht="24" customHeight="1">
      <c r="A2" s="5" t="inlineStr">
        <is>
          <t>Seguimiento de facturas, vencimientos y antigüedad de saldos</t>
        </is>
      </c>
      <c r="J2" s="6" t="n"/>
      <c r="K2" s="7" t="n"/>
    </row>
    <row r="4">
      <c r="A4" s="8" t="inlineStr">
        <is>
          <t>Empresa</t>
        </is>
      </c>
      <c r="B4" s="9" t="n"/>
      <c r="C4" s="9" t="n"/>
      <c r="D4" s="9" t="n"/>
      <c r="F4" s="8" t="inlineStr">
        <is>
          <t>Fecha de corte</t>
        </is>
      </c>
      <c r="G4" s="10">
        <f>TODAY()</f>
        <v/>
      </c>
      <c r="H4" s="9" t="n"/>
    </row>
    <row r="6" ht="32" customHeight="1">
      <c r="A6" s="11" t="inlineStr">
        <is>
          <t>No.</t>
        </is>
      </c>
      <c r="B6" s="11" t="inlineStr">
        <is>
          <t>Cliente</t>
        </is>
      </c>
      <c r="C6" s="11" t="inlineStr">
        <is>
          <t>Folio factura</t>
        </is>
      </c>
      <c r="D6" s="11" t="inlineStr">
        <is>
          <t>Fecha emisión</t>
        </is>
      </c>
      <c r="E6" s="11" t="inlineStr">
        <is>
          <t>Días crédito</t>
        </is>
      </c>
      <c r="F6" s="11" t="inlineStr">
        <is>
          <t>Vence</t>
        </is>
      </c>
      <c r="G6" s="11" t="inlineStr">
        <is>
          <t>Importe</t>
        </is>
      </c>
      <c r="H6" s="11" t="inlineStr">
        <is>
          <t>Abonos</t>
        </is>
      </c>
      <c r="I6" s="11" t="inlineStr">
        <is>
          <t>Saldo</t>
        </is>
      </c>
      <c r="J6" s="11" t="inlineStr">
        <is>
          <t>Días vencido</t>
        </is>
      </c>
      <c r="K6" s="11" t="inlineStr">
        <is>
          <t>Estatus</t>
        </is>
      </c>
    </row>
    <row r="7">
      <c r="A7" s="12" t="n">
        <v>1</v>
      </c>
      <c r="B7" s="9" t="n"/>
      <c r="C7" s="9" t="n"/>
      <c r="D7" s="10" t="n"/>
      <c r="E7" s="9" t="n"/>
      <c r="F7" s="13">
        <f>IF(D7="","",D7+E7)</f>
        <v/>
      </c>
      <c r="G7" s="14" t="n"/>
      <c r="H7" s="14" t="n"/>
      <c r="I7" s="15">
        <f>IF(G7="","",G7-H7)</f>
        <v/>
      </c>
      <c r="J7" s="12">
        <f>IF(OR(F7="",I7=""),"",IF(I7&lt;=0,0,MAX(0,$G$4-F7)))</f>
        <v/>
      </c>
      <c r="K7" s="12">
        <f>IF(I7="","",IF(I7&lt;=0,"Pagada",IF(J7&gt;0,"Vencida","Vigente")))</f>
        <v/>
      </c>
    </row>
    <row r="8">
      <c r="A8" s="12" t="n">
        <v>2</v>
      </c>
      <c r="B8" s="9" t="n"/>
      <c r="C8" s="9" t="n"/>
      <c r="D8" s="10" t="n"/>
      <c r="E8" s="9" t="n"/>
      <c r="F8" s="13">
        <f>IF(D8="","",D8+E8)</f>
        <v/>
      </c>
      <c r="G8" s="14" t="n"/>
      <c r="H8" s="14" t="n"/>
      <c r="I8" s="15">
        <f>IF(G8="","",G8-H8)</f>
        <v/>
      </c>
      <c r="J8" s="12">
        <f>IF(OR(F8="",I8=""),"",IF(I8&lt;=0,0,MAX(0,$G$4-F8)))</f>
        <v/>
      </c>
      <c r="K8" s="12">
        <f>IF(I8="","",IF(I8&lt;=0,"Pagada",IF(J8&gt;0,"Vencida","Vigente")))</f>
        <v/>
      </c>
    </row>
    <row r="9">
      <c r="A9" s="12" t="n">
        <v>3</v>
      </c>
      <c r="B9" s="9" t="n"/>
      <c r="C9" s="9" t="n"/>
      <c r="D9" s="10" t="n"/>
      <c r="E9" s="9" t="n"/>
      <c r="F9" s="13">
        <f>IF(D9="","",D9+E9)</f>
        <v/>
      </c>
      <c r="G9" s="14" t="n"/>
      <c r="H9" s="14" t="n"/>
      <c r="I9" s="15">
        <f>IF(G9="","",G9-H9)</f>
        <v/>
      </c>
      <c r="J9" s="12">
        <f>IF(OR(F9="",I9=""),"",IF(I9&lt;=0,0,MAX(0,$G$4-F9)))</f>
        <v/>
      </c>
      <c r="K9" s="12">
        <f>IF(I9="","",IF(I9&lt;=0,"Pagada",IF(J9&gt;0,"Vencida","Vigente")))</f>
        <v/>
      </c>
    </row>
    <row r="10">
      <c r="A10" s="12" t="n">
        <v>4</v>
      </c>
      <c r="B10" s="9" t="n"/>
      <c r="C10" s="9" t="n"/>
      <c r="D10" s="10" t="n"/>
      <c r="E10" s="9" t="n"/>
      <c r="F10" s="13">
        <f>IF(D10="","",D10+E10)</f>
        <v/>
      </c>
      <c r="G10" s="14" t="n"/>
      <c r="H10" s="14" t="n"/>
      <c r="I10" s="15">
        <f>IF(G10="","",G10-H10)</f>
        <v/>
      </c>
      <c r="J10" s="12">
        <f>IF(OR(F10="",I10=""),"",IF(I10&lt;=0,0,MAX(0,$G$4-F10)))</f>
        <v/>
      </c>
      <c r="K10" s="12">
        <f>IF(I10="","",IF(I10&lt;=0,"Pagada",IF(J10&gt;0,"Vencida","Vigente")))</f>
        <v/>
      </c>
    </row>
    <row r="11">
      <c r="A11" s="12" t="n">
        <v>5</v>
      </c>
      <c r="B11" s="9" t="n"/>
      <c r="C11" s="9" t="n"/>
      <c r="D11" s="10" t="n"/>
      <c r="E11" s="9" t="n"/>
      <c r="F11" s="13">
        <f>IF(D11="","",D11+E11)</f>
        <v/>
      </c>
      <c r="G11" s="14" t="n"/>
      <c r="H11" s="14" t="n"/>
      <c r="I11" s="15">
        <f>IF(G11="","",G11-H11)</f>
        <v/>
      </c>
      <c r="J11" s="12">
        <f>IF(OR(F11="",I11=""),"",IF(I11&lt;=0,0,MAX(0,$G$4-F11)))</f>
        <v/>
      </c>
      <c r="K11" s="12">
        <f>IF(I11="","",IF(I11&lt;=0,"Pagada",IF(J11&gt;0,"Vencida","Vigente")))</f>
        <v/>
      </c>
    </row>
    <row r="12">
      <c r="A12" s="12" t="n">
        <v>6</v>
      </c>
      <c r="B12" s="9" t="n"/>
      <c r="C12" s="9" t="n"/>
      <c r="D12" s="10" t="n"/>
      <c r="E12" s="9" t="n"/>
      <c r="F12" s="13">
        <f>IF(D12="","",D12+E12)</f>
        <v/>
      </c>
      <c r="G12" s="14" t="n"/>
      <c r="H12" s="14" t="n"/>
      <c r="I12" s="15">
        <f>IF(G12="","",G12-H12)</f>
        <v/>
      </c>
      <c r="J12" s="12">
        <f>IF(OR(F12="",I12=""),"",IF(I12&lt;=0,0,MAX(0,$G$4-F12)))</f>
        <v/>
      </c>
      <c r="K12" s="12">
        <f>IF(I12="","",IF(I12&lt;=0,"Pagada",IF(J12&gt;0,"Vencida","Vigente")))</f>
        <v/>
      </c>
    </row>
    <row r="13">
      <c r="A13" s="12" t="n">
        <v>7</v>
      </c>
      <c r="B13" s="9" t="n"/>
      <c r="C13" s="9" t="n"/>
      <c r="D13" s="10" t="n"/>
      <c r="E13" s="9" t="n"/>
      <c r="F13" s="13">
        <f>IF(D13="","",D13+E13)</f>
        <v/>
      </c>
      <c r="G13" s="14" t="n"/>
      <c r="H13" s="14" t="n"/>
      <c r="I13" s="15">
        <f>IF(G13="","",G13-H13)</f>
        <v/>
      </c>
      <c r="J13" s="12">
        <f>IF(OR(F13="",I13=""),"",IF(I13&lt;=0,0,MAX(0,$G$4-F13)))</f>
        <v/>
      </c>
      <c r="K13" s="12">
        <f>IF(I13="","",IF(I13&lt;=0,"Pagada",IF(J13&gt;0,"Vencida","Vigente")))</f>
        <v/>
      </c>
    </row>
    <row r="14">
      <c r="A14" s="12" t="n">
        <v>8</v>
      </c>
      <c r="B14" s="9" t="n"/>
      <c r="C14" s="9" t="n"/>
      <c r="D14" s="10" t="n"/>
      <c r="E14" s="9" t="n"/>
      <c r="F14" s="13">
        <f>IF(D14="","",D14+E14)</f>
        <v/>
      </c>
      <c r="G14" s="14" t="n"/>
      <c r="H14" s="14" t="n"/>
      <c r="I14" s="15">
        <f>IF(G14="","",G14-H14)</f>
        <v/>
      </c>
      <c r="J14" s="12">
        <f>IF(OR(F14="",I14=""),"",IF(I14&lt;=0,0,MAX(0,$G$4-F14)))</f>
        <v/>
      </c>
      <c r="K14" s="12">
        <f>IF(I14="","",IF(I14&lt;=0,"Pagada",IF(J14&gt;0,"Vencida","Vigente")))</f>
        <v/>
      </c>
    </row>
    <row r="15">
      <c r="A15" s="12" t="n">
        <v>9</v>
      </c>
      <c r="B15" s="9" t="n"/>
      <c r="C15" s="9" t="n"/>
      <c r="D15" s="10" t="n"/>
      <c r="E15" s="9" t="n"/>
      <c r="F15" s="13">
        <f>IF(D15="","",D15+E15)</f>
        <v/>
      </c>
      <c r="G15" s="14" t="n"/>
      <c r="H15" s="14" t="n"/>
      <c r="I15" s="15">
        <f>IF(G15="","",G15-H15)</f>
        <v/>
      </c>
      <c r="J15" s="12">
        <f>IF(OR(F15="",I15=""),"",IF(I15&lt;=0,0,MAX(0,$G$4-F15)))</f>
        <v/>
      </c>
      <c r="K15" s="12">
        <f>IF(I15="","",IF(I15&lt;=0,"Pagada",IF(J15&gt;0,"Vencida","Vigente")))</f>
        <v/>
      </c>
    </row>
    <row r="16">
      <c r="A16" s="12" t="n">
        <v>10</v>
      </c>
      <c r="B16" s="9" t="n"/>
      <c r="C16" s="9" t="n"/>
      <c r="D16" s="10" t="n"/>
      <c r="E16" s="9" t="n"/>
      <c r="F16" s="13">
        <f>IF(D16="","",D16+E16)</f>
        <v/>
      </c>
      <c r="G16" s="14" t="n"/>
      <c r="H16" s="14" t="n"/>
      <c r="I16" s="15">
        <f>IF(G16="","",G16-H16)</f>
        <v/>
      </c>
      <c r="J16" s="12">
        <f>IF(OR(F16="",I16=""),"",IF(I16&lt;=0,0,MAX(0,$G$4-F16)))</f>
        <v/>
      </c>
      <c r="K16" s="12">
        <f>IF(I16="","",IF(I16&lt;=0,"Pagada",IF(J16&gt;0,"Vencida","Vigente")))</f>
        <v/>
      </c>
    </row>
    <row r="17">
      <c r="A17" s="12" t="n">
        <v>11</v>
      </c>
      <c r="B17" s="9" t="n"/>
      <c r="C17" s="9" t="n"/>
      <c r="D17" s="10" t="n"/>
      <c r="E17" s="9" t="n"/>
      <c r="F17" s="13">
        <f>IF(D17="","",D17+E17)</f>
        <v/>
      </c>
      <c r="G17" s="14" t="n"/>
      <c r="H17" s="14" t="n"/>
      <c r="I17" s="15">
        <f>IF(G17="","",G17-H17)</f>
        <v/>
      </c>
      <c r="J17" s="12">
        <f>IF(OR(F17="",I17=""),"",IF(I17&lt;=0,0,MAX(0,$G$4-F17)))</f>
        <v/>
      </c>
      <c r="K17" s="12">
        <f>IF(I17="","",IF(I17&lt;=0,"Pagada",IF(J17&gt;0,"Vencida","Vigente")))</f>
        <v/>
      </c>
    </row>
    <row r="18">
      <c r="A18" s="12" t="n">
        <v>12</v>
      </c>
      <c r="B18" s="9" t="n"/>
      <c r="C18" s="9" t="n"/>
      <c r="D18" s="10" t="n"/>
      <c r="E18" s="9" t="n"/>
      <c r="F18" s="13">
        <f>IF(D18="","",D18+E18)</f>
        <v/>
      </c>
      <c r="G18" s="14" t="n"/>
      <c r="H18" s="14" t="n"/>
      <c r="I18" s="15">
        <f>IF(G18="","",G18-H18)</f>
        <v/>
      </c>
      <c r="J18" s="12">
        <f>IF(OR(F18="",I18=""),"",IF(I18&lt;=0,0,MAX(0,$G$4-F18)))</f>
        <v/>
      </c>
      <c r="K18" s="12">
        <f>IF(I18="","",IF(I18&lt;=0,"Pagada",IF(J18&gt;0,"Vencida","Vigente")))</f>
        <v/>
      </c>
    </row>
    <row r="19">
      <c r="A19" s="12" t="n">
        <v>13</v>
      </c>
      <c r="B19" s="9" t="n"/>
      <c r="C19" s="9" t="n"/>
      <c r="D19" s="10" t="n"/>
      <c r="E19" s="9" t="n"/>
      <c r="F19" s="13">
        <f>IF(D19="","",D19+E19)</f>
        <v/>
      </c>
      <c r="G19" s="14" t="n"/>
      <c r="H19" s="14" t="n"/>
      <c r="I19" s="15">
        <f>IF(G19="","",G19-H19)</f>
        <v/>
      </c>
      <c r="J19" s="12">
        <f>IF(OR(F19="",I19=""),"",IF(I19&lt;=0,0,MAX(0,$G$4-F19)))</f>
        <v/>
      </c>
      <c r="K19" s="12">
        <f>IF(I19="","",IF(I19&lt;=0,"Pagada",IF(J19&gt;0,"Vencida","Vigente")))</f>
        <v/>
      </c>
    </row>
    <row r="20">
      <c r="A20" s="12" t="n">
        <v>14</v>
      </c>
      <c r="B20" s="9" t="n"/>
      <c r="C20" s="9" t="n"/>
      <c r="D20" s="10" t="n"/>
      <c r="E20" s="9" t="n"/>
      <c r="F20" s="13">
        <f>IF(D20="","",D20+E20)</f>
        <v/>
      </c>
      <c r="G20" s="14" t="n"/>
      <c r="H20" s="14" t="n"/>
      <c r="I20" s="15">
        <f>IF(G20="","",G20-H20)</f>
        <v/>
      </c>
      <c r="J20" s="12">
        <f>IF(OR(F20="",I20=""),"",IF(I20&lt;=0,0,MAX(0,$G$4-F20)))</f>
        <v/>
      </c>
      <c r="K20" s="12">
        <f>IF(I20="","",IF(I20&lt;=0,"Pagada",IF(J20&gt;0,"Vencida","Vigente")))</f>
        <v/>
      </c>
    </row>
    <row r="21">
      <c r="A21" s="12" t="n">
        <v>15</v>
      </c>
      <c r="B21" s="9" t="n"/>
      <c r="C21" s="9" t="n"/>
      <c r="D21" s="10" t="n"/>
      <c r="E21" s="9" t="n"/>
      <c r="F21" s="13">
        <f>IF(D21="","",D21+E21)</f>
        <v/>
      </c>
      <c r="G21" s="14" t="n"/>
      <c r="H21" s="14" t="n"/>
      <c r="I21" s="15">
        <f>IF(G21="","",G21-H21)</f>
        <v/>
      </c>
      <c r="J21" s="12">
        <f>IF(OR(F21="",I21=""),"",IF(I21&lt;=0,0,MAX(0,$G$4-F21)))</f>
        <v/>
      </c>
      <c r="K21" s="12">
        <f>IF(I21="","",IF(I21&lt;=0,"Pagada",IF(J21&gt;0,"Vencida","Vigente")))</f>
        <v/>
      </c>
    </row>
    <row r="22">
      <c r="A22" s="12" t="n">
        <v>16</v>
      </c>
      <c r="B22" s="9" t="n"/>
      <c r="C22" s="9" t="n"/>
      <c r="D22" s="10" t="n"/>
      <c r="E22" s="9" t="n"/>
      <c r="F22" s="13">
        <f>IF(D22="","",D22+E22)</f>
        <v/>
      </c>
      <c r="G22" s="14" t="n"/>
      <c r="H22" s="14" t="n"/>
      <c r="I22" s="15">
        <f>IF(G22="","",G22-H22)</f>
        <v/>
      </c>
      <c r="J22" s="12">
        <f>IF(OR(F22="",I22=""),"",IF(I22&lt;=0,0,MAX(0,$G$4-F22)))</f>
        <v/>
      </c>
      <c r="K22" s="12">
        <f>IF(I22="","",IF(I22&lt;=0,"Pagada",IF(J22&gt;0,"Vencida","Vigente")))</f>
        <v/>
      </c>
    </row>
    <row r="23">
      <c r="A23" s="12" t="n">
        <v>17</v>
      </c>
      <c r="B23" s="9" t="n"/>
      <c r="C23" s="9" t="n"/>
      <c r="D23" s="10" t="n"/>
      <c r="E23" s="9" t="n"/>
      <c r="F23" s="13">
        <f>IF(D23="","",D23+E23)</f>
        <v/>
      </c>
      <c r="G23" s="14" t="n"/>
      <c r="H23" s="14" t="n"/>
      <c r="I23" s="15">
        <f>IF(G23="","",G23-H23)</f>
        <v/>
      </c>
      <c r="J23" s="12">
        <f>IF(OR(F23="",I23=""),"",IF(I23&lt;=0,0,MAX(0,$G$4-F23)))</f>
        <v/>
      </c>
      <c r="K23" s="12">
        <f>IF(I23="","",IF(I23&lt;=0,"Pagada",IF(J23&gt;0,"Vencida","Vigente")))</f>
        <v/>
      </c>
    </row>
    <row r="24">
      <c r="A24" s="12" t="n">
        <v>18</v>
      </c>
      <c r="B24" s="9" t="n"/>
      <c r="C24" s="9" t="n"/>
      <c r="D24" s="10" t="n"/>
      <c r="E24" s="9" t="n"/>
      <c r="F24" s="13">
        <f>IF(D24="","",D24+E24)</f>
        <v/>
      </c>
      <c r="G24" s="14" t="n"/>
      <c r="H24" s="14" t="n"/>
      <c r="I24" s="15">
        <f>IF(G24="","",G24-H24)</f>
        <v/>
      </c>
      <c r="J24" s="12">
        <f>IF(OR(F24="",I24=""),"",IF(I24&lt;=0,0,MAX(0,$G$4-F24)))</f>
        <v/>
      </c>
      <c r="K24" s="12">
        <f>IF(I24="","",IF(I24&lt;=0,"Pagada",IF(J24&gt;0,"Vencida","Vigente")))</f>
        <v/>
      </c>
    </row>
    <row r="25">
      <c r="A25" s="12" t="n">
        <v>19</v>
      </c>
      <c r="B25" s="9" t="n"/>
      <c r="C25" s="9" t="n"/>
      <c r="D25" s="10" t="n"/>
      <c r="E25" s="9" t="n"/>
      <c r="F25" s="13">
        <f>IF(D25="","",D25+E25)</f>
        <v/>
      </c>
      <c r="G25" s="14" t="n"/>
      <c r="H25" s="14" t="n"/>
      <c r="I25" s="15">
        <f>IF(G25="","",G25-H25)</f>
        <v/>
      </c>
      <c r="J25" s="12">
        <f>IF(OR(F25="",I25=""),"",IF(I25&lt;=0,0,MAX(0,$G$4-F25)))</f>
        <v/>
      </c>
      <c r="K25" s="12">
        <f>IF(I25="","",IF(I25&lt;=0,"Pagada",IF(J25&gt;0,"Vencida","Vigente")))</f>
        <v/>
      </c>
    </row>
    <row r="26">
      <c r="A26" s="12" t="n">
        <v>20</v>
      </c>
      <c r="B26" s="9" t="n"/>
      <c r="C26" s="9" t="n"/>
      <c r="D26" s="10" t="n"/>
      <c r="E26" s="9" t="n"/>
      <c r="F26" s="13">
        <f>IF(D26="","",D26+E26)</f>
        <v/>
      </c>
      <c r="G26" s="14" t="n"/>
      <c r="H26" s="14" t="n"/>
      <c r="I26" s="15">
        <f>IF(G26="","",G26-H26)</f>
        <v/>
      </c>
      <c r="J26" s="12">
        <f>IF(OR(F26="",I26=""),"",IF(I26&lt;=0,0,MAX(0,$G$4-F26)))</f>
        <v/>
      </c>
      <c r="K26" s="12">
        <f>IF(I26="","",IF(I26&lt;=0,"Pagada",IF(J26&gt;0,"Vencida","Vigente")))</f>
        <v/>
      </c>
    </row>
    <row r="27">
      <c r="A27" s="12" t="n">
        <v>21</v>
      </c>
      <c r="B27" s="9" t="n"/>
      <c r="C27" s="9" t="n"/>
      <c r="D27" s="10" t="n"/>
      <c r="E27" s="9" t="n"/>
      <c r="F27" s="13">
        <f>IF(D27="","",D27+E27)</f>
        <v/>
      </c>
      <c r="G27" s="14" t="n"/>
      <c r="H27" s="14" t="n"/>
      <c r="I27" s="15">
        <f>IF(G27="","",G27-H27)</f>
        <v/>
      </c>
      <c r="J27" s="12">
        <f>IF(OR(F27="",I27=""),"",IF(I27&lt;=0,0,MAX(0,$G$4-F27)))</f>
        <v/>
      </c>
      <c r="K27" s="12">
        <f>IF(I27="","",IF(I27&lt;=0,"Pagada",IF(J27&gt;0,"Vencida","Vigente")))</f>
        <v/>
      </c>
    </row>
    <row r="28">
      <c r="A28" s="12" t="n">
        <v>22</v>
      </c>
      <c r="B28" s="9" t="n"/>
      <c r="C28" s="9" t="n"/>
      <c r="D28" s="10" t="n"/>
      <c r="E28" s="9" t="n"/>
      <c r="F28" s="13">
        <f>IF(D28="","",D28+E28)</f>
        <v/>
      </c>
      <c r="G28" s="14" t="n"/>
      <c r="H28" s="14" t="n"/>
      <c r="I28" s="15">
        <f>IF(G28="","",G28-H28)</f>
        <v/>
      </c>
      <c r="J28" s="12">
        <f>IF(OR(F28="",I28=""),"",IF(I28&lt;=0,0,MAX(0,$G$4-F28)))</f>
        <v/>
      </c>
      <c r="K28" s="12">
        <f>IF(I28="","",IF(I28&lt;=0,"Pagada",IF(J28&gt;0,"Vencida","Vigente")))</f>
        <v/>
      </c>
    </row>
    <row r="29">
      <c r="A29" s="12" t="n">
        <v>23</v>
      </c>
      <c r="B29" s="9" t="n"/>
      <c r="C29" s="9" t="n"/>
      <c r="D29" s="10" t="n"/>
      <c r="E29" s="9" t="n"/>
      <c r="F29" s="13">
        <f>IF(D29="","",D29+E29)</f>
        <v/>
      </c>
      <c r="G29" s="14" t="n"/>
      <c r="H29" s="14" t="n"/>
      <c r="I29" s="15">
        <f>IF(G29="","",G29-H29)</f>
        <v/>
      </c>
      <c r="J29" s="12">
        <f>IF(OR(F29="",I29=""),"",IF(I29&lt;=0,0,MAX(0,$G$4-F29)))</f>
        <v/>
      </c>
      <c r="K29" s="12">
        <f>IF(I29="","",IF(I29&lt;=0,"Pagada",IF(J29&gt;0,"Vencida","Vigente")))</f>
        <v/>
      </c>
    </row>
    <row r="30">
      <c r="A30" s="12" t="n">
        <v>24</v>
      </c>
      <c r="B30" s="9" t="n"/>
      <c r="C30" s="9" t="n"/>
      <c r="D30" s="10" t="n"/>
      <c r="E30" s="9" t="n"/>
      <c r="F30" s="13">
        <f>IF(D30="","",D30+E30)</f>
        <v/>
      </c>
      <c r="G30" s="14" t="n"/>
      <c r="H30" s="14" t="n"/>
      <c r="I30" s="15">
        <f>IF(G30="","",G30-H30)</f>
        <v/>
      </c>
      <c r="J30" s="12">
        <f>IF(OR(F30="",I30=""),"",IF(I30&lt;=0,0,MAX(0,$G$4-F30)))</f>
        <v/>
      </c>
      <c r="K30" s="12">
        <f>IF(I30="","",IF(I30&lt;=0,"Pagada",IF(J30&gt;0,"Vencida","Vigente")))</f>
        <v/>
      </c>
    </row>
    <row r="31">
      <c r="A31" s="12" t="n">
        <v>25</v>
      </c>
      <c r="B31" s="9" t="n"/>
      <c r="C31" s="9" t="n"/>
      <c r="D31" s="10" t="n"/>
      <c r="E31" s="9" t="n"/>
      <c r="F31" s="13">
        <f>IF(D31="","",D31+E31)</f>
        <v/>
      </c>
      <c r="G31" s="14" t="n"/>
      <c r="H31" s="14" t="n"/>
      <c r="I31" s="15">
        <f>IF(G31="","",G31-H31)</f>
        <v/>
      </c>
      <c r="J31" s="12">
        <f>IF(OR(F31="",I31=""),"",IF(I31&lt;=0,0,MAX(0,$G$4-F31)))</f>
        <v/>
      </c>
      <c r="K31" s="12">
        <f>IF(I31="","",IF(I31&lt;=0,"Pagada",IF(J31&gt;0,"Vencida","Vigente")))</f>
        <v/>
      </c>
    </row>
    <row r="32">
      <c r="A32" s="12" t="n">
        <v>26</v>
      </c>
      <c r="B32" s="9" t="n"/>
      <c r="C32" s="9" t="n"/>
      <c r="D32" s="10" t="n"/>
      <c r="E32" s="9" t="n"/>
      <c r="F32" s="13">
        <f>IF(D32="","",D32+E32)</f>
        <v/>
      </c>
      <c r="G32" s="14" t="n"/>
      <c r="H32" s="14" t="n"/>
      <c r="I32" s="15">
        <f>IF(G32="","",G32-H32)</f>
        <v/>
      </c>
      <c r="J32" s="12">
        <f>IF(OR(F32="",I32=""),"",IF(I32&lt;=0,0,MAX(0,$G$4-F32)))</f>
        <v/>
      </c>
      <c r="K32" s="12">
        <f>IF(I32="","",IF(I32&lt;=0,"Pagada",IF(J32&gt;0,"Vencida","Vigente")))</f>
        <v/>
      </c>
    </row>
    <row r="33">
      <c r="A33" s="12" t="n">
        <v>27</v>
      </c>
      <c r="B33" s="9" t="n"/>
      <c r="C33" s="9" t="n"/>
      <c r="D33" s="10" t="n"/>
      <c r="E33" s="9" t="n"/>
      <c r="F33" s="13">
        <f>IF(D33="","",D33+E33)</f>
        <v/>
      </c>
      <c r="G33" s="14" t="n"/>
      <c r="H33" s="14" t="n"/>
      <c r="I33" s="15">
        <f>IF(G33="","",G33-H33)</f>
        <v/>
      </c>
      <c r="J33" s="12">
        <f>IF(OR(F33="",I33=""),"",IF(I33&lt;=0,0,MAX(0,$G$4-F33)))</f>
        <v/>
      </c>
      <c r="K33" s="12">
        <f>IF(I33="","",IF(I33&lt;=0,"Pagada",IF(J33&gt;0,"Vencida","Vigente")))</f>
        <v/>
      </c>
    </row>
    <row r="34">
      <c r="A34" s="12" t="n">
        <v>28</v>
      </c>
      <c r="B34" s="9" t="n"/>
      <c r="C34" s="9" t="n"/>
      <c r="D34" s="10" t="n"/>
      <c r="E34" s="9" t="n"/>
      <c r="F34" s="13">
        <f>IF(D34="","",D34+E34)</f>
        <v/>
      </c>
      <c r="G34" s="14" t="n"/>
      <c r="H34" s="14" t="n"/>
      <c r="I34" s="15">
        <f>IF(G34="","",G34-H34)</f>
        <v/>
      </c>
      <c r="J34" s="12">
        <f>IF(OR(F34="",I34=""),"",IF(I34&lt;=0,0,MAX(0,$G$4-F34)))</f>
        <v/>
      </c>
      <c r="K34" s="12">
        <f>IF(I34="","",IF(I34&lt;=0,"Pagada",IF(J34&gt;0,"Vencida","Vigente")))</f>
        <v/>
      </c>
    </row>
    <row r="35">
      <c r="A35" s="12" t="n">
        <v>29</v>
      </c>
      <c r="B35" s="9" t="n"/>
      <c r="C35" s="9" t="n"/>
      <c r="D35" s="10" t="n"/>
      <c r="E35" s="9" t="n"/>
      <c r="F35" s="13">
        <f>IF(D35="","",D35+E35)</f>
        <v/>
      </c>
      <c r="G35" s="14" t="n"/>
      <c r="H35" s="14" t="n"/>
      <c r="I35" s="15">
        <f>IF(G35="","",G35-H35)</f>
        <v/>
      </c>
      <c r="J35" s="12">
        <f>IF(OR(F35="",I35=""),"",IF(I35&lt;=0,0,MAX(0,$G$4-F35)))</f>
        <v/>
      </c>
      <c r="K35" s="12">
        <f>IF(I35="","",IF(I35&lt;=0,"Pagada",IF(J35&gt;0,"Vencida","Vigente")))</f>
        <v/>
      </c>
    </row>
    <row r="36">
      <c r="A36" s="12" t="n">
        <v>30</v>
      </c>
      <c r="B36" s="9" t="n"/>
      <c r="C36" s="9" t="n"/>
      <c r="D36" s="10" t="n"/>
      <c r="E36" s="9" t="n"/>
      <c r="F36" s="13">
        <f>IF(D36="","",D36+E36)</f>
        <v/>
      </c>
      <c r="G36" s="14" t="n"/>
      <c r="H36" s="14" t="n"/>
      <c r="I36" s="15">
        <f>IF(G36="","",G36-H36)</f>
        <v/>
      </c>
      <c r="J36" s="12">
        <f>IF(OR(F36="",I36=""),"",IF(I36&lt;=0,0,MAX(0,$G$4-F36)))</f>
        <v/>
      </c>
      <c r="K36" s="12">
        <f>IF(I36="","",IF(I36&lt;=0,"Pagada",IF(J36&gt;0,"Vencida","Vigente")))</f>
        <v/>
      </c>
    </row>
    <row r="37">
      <c r="A37" s="12" t="n">
        <v>31</v>
      </c>
      <c r="B37" s="9" t="n"/>
      <c r="C37" s="9" t="n"/>
      <c r="D37" s="10" t="n"/>
      <c r="E37" s="9" t="n"/>
      <c r="F37" s="13">
        <f>IF(D37="","",D37+E37)</f>
        <v/>
      </c>
      <c r="G37" s="14" t="n"/>
      <c r="H37" s="14" t="n"/>
      <c r="I37" s="15">
        <f>IF(G37="","",G37-H37)</f>
        <v/>
      </c>
      <c r="J37" s="12">
        <f>IF(OR(F37="",I37=""),"",IF(I37&lt;=0,0,MAX(0,$G$4-F37)))</f>
        <v/>
      </c>
      <c r="K37" s="12">
        <f>IF(I37="","",IF(I37&lt;=0,"Pagada",IF(J37&gt;0,"Vencida","Vigente")))</f>
        <v/>
      </c>
    </row>
    <row r="38">
      <c r="A38" s="12" t="n">
        <v>32</v>
      </c>
      <c r="B38" s="9" t="n"/>
      <c r="C38" s="9" t="n"/>
      <c r="D38" s="10" t="n"/>
      <c r="E38" s="9" t="n"/>
      <c r="F38" s="13">
        <f>IF(D38="","",D38+E38)</f>
        <v/>
      </c>
      <c r="G38" s="14" t="n"/>
      <c r="H38" s="14" t="n"/>
      <c r="I38" s="15">
        <f>IF(G38="","",G38-H38)</f>
        <v/>
      </c>
      <c r="J38" s="12">
        <f>IF(OR(F38="",I38=""),"",IF(I38&lt;=0,0,MAX(0,$G$4-F38)))</f>
        <v/>
      </c>
      <c r="K38" s="12">
        <f>IF(I38="","",IF(I38&lt;=0,"Pagada",IF(J38&gt;0,"Vencida","Vigente")))</f>
        <v/>
      </c>
    </row>
    <row r="39">
      <c r="A39" s="12" t="n">
        <v>33</v>
      </c>
      <c r="B39" s="9" t="n"/>
      <c r="C39" s="9" t="n"/>
      <c r="D39" s="10" t="n"/>
      <c r="E39" s="9" t="n"/>
      <c r="F39" s="13">
        <f>IF(D39="","",D39+E39)</f>
        <v/>
      </c>
      <c r="G39" s="14" t="n"/>
      <c r="H39" s="14" t="n"/>
      <c r="I39" s="15">
        <f>IF(G39="","",G39-H39)</f>
        <v/>
      </c>
      <c r="J39" s="12">
        <f>IF(OR(F39="",I39=""),"",IF(I39&lt;=0,0,MAX(0,$G$4-F39)))</f>
        <v/>
      </c>
      <c r="K39" s="12">
        <f>IF(I39="","",IF(I39&lt;=0,"Pagada",IF(J39&gt;0,"Vencida","Vigente")))</f>
        <v/>
      </c>
    </row>
    <row r="40">
      <c r="A40" s="12" t="n">
        <v>34</v>
      </c>
      <c r="B40" s="9" t="n"/>
      <c r="C40" s="9" t="n"/>
      <c r="D40" s="10" t="n"/>
      <c r="E40" s="9" t="n"/>
      <c r="F40" s="13">
        <f>IF(D40="","",D40+E40)</f>
        <v/>
      </c>
      <c r="G40" s="14" t="n"/>
      <c r="H40" s="14" t="n"/>
      <c r="I40" s="15">
        <f>IF(G40="","",G40-H40)</f>
        <v/>
      </c>
      <c r="J40" s="12">
        <f>IF(OR(F40="",I40=""),"",IF(I40&lt;=0,0,MAX(0,$G$4-F40)))</f>
        <v/>
      </c>
      <c r="K40" s="12">
        <f>IF(I40="","",IF(I40&lt;=0,"Pagada",IF(J40&gt;0,"Vencida","Vigente")))</f>
        <v/>
      </c>
    </row>
    <row r="41">
      <c r="A41" s="12" t="n">
        <v>35</v>
      </c>
      <c r="B41" s="9" t="n"/>
      <c r="C41" s="9" t="n"/>
      <c r="D41" s="10" t="n"/>
      <c r="E41" s="9" t="n"/>
      <c r="F41" s="13">
        <f>IF(D41="","",D41+E41)</f>
        <v/>
      </c>
      <c r="G41" s="14" t="n"/>
      <c r="H41" s="14" t="n"/>
      <c r="I41" s="15">
        <f>IF(G41="","",G41-H41)</f>
        <v/>
      </c>
      <c r="J41" s="12">
        <f>IF(OR(F41="",I41=""),"",IF(I41&lt;=0,0,MAX(0,$G$4-F41)))</f>
        <v/>
      </c>
      <c r="K41" s="12">
        <f>IF(I41="","",IF(I41&lt;=0,"Pagada",IF(J41&gt;0,"Vencida","Vigente")))</f>
        <v/>
      </c>
    </row>
    <row r="42">
      <c r="A42" s="12" t="n">
        <v>36</v>
      </c>
      <c r="B42" s="9" t="n"/>
      <c r="C42" s="9" t="n"/>
      <c r="D42" s="10" t="n"/>
      <c r="E42" s="9" t="n"/>
      <c r="F42" s="13">
        <f>IF(D42="","",D42+E42)</f>
        <v/>
      </c>
      <c r="G42" s="14" t="n"/>
      <c r="H42" s="14" t="n"/>
      <c r="I42" s="15">
        <f>IF(G42="","",G42-H42)</f>
        <v/>
      </c>
      <c r="J42" s="12">
        <f>IF(OR(F42="",I42=""),"",IF(I42&lt;=0,0,MAX(0,$G$4-F42)))</f>
        <v/>
      </c>
      <c r="K42" s="12">
        <f>IF(I42="","",IF(I42&lt;=0,"Pagada",IF(J42&gt;0,"Vencida","Vigente")))</f>
        <v/>
      </c>
    </row>
    <row r="43">
      <c r="A43" s="12" t="n">
        <v>37</v>
      </c>
      <c r="B43" s="9" t="n"/>
      <c r="C43" s="9" t="n"/>
      <c r="D43" s="10" t="n"/>
      <c r="E43" s="9" t="n"/>
      <c r="F43" s="13">
        <f>IF(D43="","",D43+E43)</f>
        <v/>
      </c>
      <c r="G43" s="14" t="n"/>
      <c r="H43" s="14" t="n"/>
      <c r="I43" s="15">
        <f>IF(G43="","",G43-H43)</f>
        <v/>
      </c>
      <c r="J43" s="12">
        <f>IF(OR(F43="",I43=""),"",IF(I43&lt;=0,0,MAX(0,$G$4-F43)))</f>
        <v/>
      </c>
      <c r="K43" s="12">
        <f>IF(I43="","",IF(I43&lt;=0,"Pagada",IF(J43&gt;0,"Vencida","Vigente")))</f>
        <v/>
      </c>
    </row>
    <row r="44">
      <c r="A44" s="12" t="n">
        <v>38</v>
      </c>
      <c r="B44" s="9" t="n"/>
      <c r="C44" s="9" t="n"/>
      <c r="D44" s="10" t="n"/>
      <c r="E44" s="9" t="n"/>
      <c r="F44" s="13">
        <f>IF(D44="","",D44+E44)</f>
        <v/>
      </c>
      <c r="G44" s="14" t="n"/>
      <c r="H44" s="14" t="n"/>
      <c r="I44" s="15">
        <f>IF(G44="","",G44-H44)</f>
        <v/>
      </c>
      <c r="J44" s="12">
        <f>IF(OR(F44="",I44=""),"",IF(I44&lt;=0,0,MAX(0,$G$4-F44)))</f>
        <v/>
      </c>
      <c r="K44" s="12">
        <f>IF(I44="","",IF(I44&lt;=0,"Pagada",IF(J44&gt;0,"Vencida","Vigente")))</f>
        <v/>
      </c>
    </row>
    <row r="45">
      <c r="A45" s="12" t="n">
        <v>39</v>
      </c>
      <c r="B45" s="9" t="n"/>
      <c r="C45" s="9" t="n"/>
      <c r="D45" s="10" t="n"/>
      <c r="E45" s="9" t="n"/>
      <c r="F45" s="13">
        <f>IF(D45="","",D45+E45)</f>
        <v/>
      </c>
      <c r="G45" s="14" t="n"/>
      <c r="H45" s="14" t="n"/>
      <c r="I45" s="15">
        <f>IF(G45="","",G45-H45)</f>
        <v/>
      </c>
      <c r="J45" s="12">
        <f>IF(OR(F45="",I45=""),"",IF(I45&lt;=0,0,MAX(0,$G$4-F45)))</f>
        <v/>
      </c>
      <c r="K45" s="12">
        <f>IF(I45="","",IF(I45&lt;=0,"Pagada",IF(J45&gt;0,"Vencida","Vigente")))</f>
        <v/>
      </c>
    </row>
    <row r="46">
      <c r="A46" s="12" t="n">
        <v>40</v>
      </c>
      <c r="B46" s="9" t="n"/>
      <c r="C46" s="9" t="n"/>
      <c r="D46" s="10" t="n"/>
      <c r="E46" s="9" t="n"/>
      <c r="F46" s="13">
        <f>IF(D46="","",D46+E46)</f>
        <v/>
      </c>
      <c r="G46" s="14" t="n"/>
      <c r="H46" s="14" t="n"/>
      <c r="I46" s="15">
        <f>IF(G46="","",G46-H46)</f>
        <v/>
      </c>
      <c r="J46" s="12">
        <f>IF(OR(F46="",I46=""),"",IF(I46&lt;=0,0,MAX(0,$G$4-F46)))</f>
        <v/>
      </c>
      <c r="K46" s="12">
        <f>IF(I46="","",IF(I46&lt;=0,"Pagada",IF(J46&gt;0,"Vencida","Vigente")))</f>
        <v/>
      </c>
    </row>
    <row r="47">
      <c r="A47" s="12" t="n">
        <v>41</v>
      </c>
      <c r="B47" s="9" t="n"/>
      <c r="C47" s="9" t="n"/>
      <c r="D47" s="10" t="n"/>
      <c r="E47" s="9" t="n"/>
      <c r="F47" s="13">
        <f>IF(D47="","",D47+E47)</f>
        <v/>
      </c>
      <c r="G47" s="14" t="n"/>
      <c r="H47" s="14" t="n"/>
      <c r="I47" s="15">
        <f>IF(G47="","",G47-H47)</f>
        <v/>
      </c>
      <c r="J47" s="12">
        <f>IF(OR(F47="",I47=""),"",IF(I47&lt;=0,0,MAX(0,$G$4-F47)))</f>
        <v/>
      </c>
      <c r="K47" s="12">
        <f>IF(I47="","",IF(I47&lt;=0,"Pagada",IF(J47&gt;0,"Vencida","Vigente")))</f>
        <v/>
      </c>
    </row>
    <row r="48">
      <c r="A48" s="12" t="n">
        <v>42</v>
      </c>
      <c r="B48" s="9" t="n"/>
      <c r="C48" s="9" t="n"/>
      <c r="D48" s="10" t="n"/>
      <c r="E48" s="9" t="n"/>
      <c r="F48" s="13">
        <f>IF(D48="","",D48+E48)</f>
        <v/>
      </c>
      <c r="G48" s="14" t="n"/>
      <c r="H48" s="14" t="n"/>
      <c r="I48" s="15">
        <f>IF(G48="","",G48-H48)</f>
        <v/>
      </c>
      <c r="J48" s="12">
        <f>IF(OR(F48="",I48=""),"",IF(I48&lt;=0,0,MAX(0,$G$4-F48)))</f>
        <v/>
      </c>
      <c r="K48" s="12">
        <f>IF(I48="","",IF(I48&lt;=0,"Pagada",IF(J48&gt;0,"Vencida","Vigente")))</f>
        <v/>
      </c>
    </row>
    <row r="49">
      <c r="A49" s="12" t="n">
        <v>43</v>
      </c>
      <c r="B49" s="9" t="n"/>
      <c r="C49" s="9" t="n"/>
      <c r="D49" s="10" t="n"/>
      <c r="E49" s="9" t="n"/>
      <c r="F49" s="13">
        <f>IF(D49="","",D49+E49)</f>
        <v/>
      </c>
      <c r="G49" s="14" t="n"/>
      <c r="H49" s="14" t="n"/>
      <c r="I49" s="15">
        <f>IF(G49="","",G49-H49)</f>
        <v/>
      </c>
      <c r="J49" s="12">
        <f>IF(OR(F49="",I49=""),"",IF(I49&lt;=0,0,MAX(0,$G$4-F49)))</f>
        <v/>
      </c>
      <c r="K49" s="12">
        <f>IF(I49="","",IF(I49&lt;=0,"Pagada",IF(J49&gt;0,"Vencida","Vigente")))</f>
        <v/>
      </c>
    </row>
    <row r="50">
      <c r="A50" s="12" t="n">
        <v>44</v>
      </c>
      <c r="B50" s="9" t="n"/>
      <c r="C50" s="9" t="n"/>
      <c r="D50" s="10" t="n"/>
      <c r="E50" s="9" t="n"/>
      <c r="F50" s="13">
        <f>IF(D50="","",D50+E50)</f>
        <v/>
      </c>
      <c r="G50" s="14" t="n"/>
      <c r="H50" s="14" t="n"/>
      <c r="I50" s="15">
        <f>IF(G50="","",G50-H50)</f>
        <v/>
      </c>
      <c r="J50" s="12">
        <f>IF(OR(F50="",I50=""),"",IF(I50&lt;=0,0,MAX(0,$G$4-F50)))</f>
        <v/>
      </c>
      <c r="K50" s="12">
        <f>IF(I50="","",IF(I50&lt;=0,"Pagada",IF(J50&gt;0,"Vencida","Vigente")))</f>
        <v/>
      </c>
    </row>
    <row r="51">
      <c r="A51" s="12" t="n">
        <v>45</v>
      </c>
      <c r="B51" s="9" t="n"/>
      <c r="C51" s="9" t="n"/>
      <c r="D51" s="10" t="n"/>
      <c r="E51" s="9" t="n"/>
      <c r="F51" s="13">
        <f>IF(D51="","",D51+E51)</f>
        <v/>
      </c>
      <c r="G51" s="14" t="n"/>
      <c r="H51" s="14" t="n"/>
      <c r="I51" s="15">
        <f>IF(G51="","",G51-H51)</f>
        <v/>
      </c>
      <c r="J51" s="12">
        <f>IF(OR(F51="",I51=""),"",IF(I51&lt;=0,0,MAX(0,$G$4-F51)))</f>
        <v/>
      </c>
      <c r="K51" s="12">
        <f>IF(I51="","",IF(I51&lt;=0,"Pagada",IF(J51&gt;0,"Vencida","Vigente")))</f>
        <v/>
      </c>
    </row>
    <row r="52">
      <c r="A52" s="12" t="n">
        <v>46</v>
      </c>
      <c r="B52" s="9" t="n"/>
      <c r="C52" s="9" t="n"/>
      <c r="D52" s="10" t="n"/>
      <c r="E52" s="9" t="n"/>
      <c r="F52" s="13">
        <f>IF(D52="","",D52+E52)</f>
        <v/>
      </c>
      <c r="G52" s="14" t="n"/>
      <c r="H52" s="14" t="n"/>
      <c r="I52" s="15">
        <f>IF(G52="","",G52-H52)</f>
        <v/>
      </c>
      <c r="J52" s="12">
        <f>IF(OR(F52="",I52=""),"",IF(I52&lt;=0,0,MAX(0,$G$4-F52)))</f>
        <v/>
      </c>
      <c r="K52" s="12">
        <f>IF(I52="","",IF(I52&lt;=0,"Pagada",IF(J52&gt;0,"Vencida","Vigente")))</f>
        <v/>
      </c>
    </row>
    <row r="53">
      <c r="A53" s="12" t="n">
        <v>47</v>
      </c>
      <c r="B53" s="9" t="n"/>
      <c r="C53" s="9" t="n"/>
      <c r="D53" s="10" t="n"/>
      <c r="E53" s="9" t="n"/>
      <c r="F53" s="13">
        <f>IF(D53="","",D53+E53)</f>
        <v/>
      </c>
      <c r="G53" s="14" t="n"/>
      <c r="H53" s="14" t="n"/>
      <c r="I53" s="15">
        <f>IF(G53="","",G53-H53)</f>
        <v/>
      </c>
      <c r="J53" s="12">
        <f>IF(OR(F53="",I53=""),"",IF(I53&lt;=0,0,MAX(0,$G$4-F53)))</f>
        <v/>
      </c>
      <c r="K53" s="12">
        <f>IF(I53="","",IF(I53&lt;=0,"Pagada",IF(J53&gt;0,"Vencida","Vigente")))</f>
        <v/>
      </c>
    </row>
    <row r="54">
      <c r="A54" s="12" t="n">
        <v>48</v>
      </c>
      <c r="B54" s="9" t="n"/>
      <c r="C54" s="9" t="n"/>
      <c r="D54" s="10" t="n"/>
      <c r="E54" s="9" t="n"/>
      <c r="F54" s="13">
        <f>IF(D54="","",D54+E54)</f>
        <v/>
      </c>
      <c r="G54" s="14" t="n"/>
      <c r="H54" s="14" t="n"/>
      <c r="I54" s="15">
        <f>IF(G54="","",G54-H54)</f>
        <v/>
      </c>
      <c r="J54" s="12">
        <f>IF(OR(F54="",I54=""),"",IF(I54&lt;=0,0,MAX(0,$G$4-F54)))</f>
        <v/>
      </c>
      <c r="K54" s="12">
        <f>IF(I54="","",IF(I54&lt;=0,"Pagada",IF(J54&gt;0,"Vencida","Vigente")))</f>
        <v/>
      </c>
    </row>
    <row r="55">
      <c r="A55" s="12" t="n">
        <v>49</v>
      </c>
      <c r="B55" s="9" t="n"/>
      <c r="C55" s="9" t="n"/>
      <c r="D55" s="10" t="n"/>
      <c r="E55" s="9" t="n"/>
      <c r="F55" s="13">
        <f>IF(D55="","",D55+E55)</f>
        <v/>
      </c>
      <c r="G55" s="14" t="n"/>
      <c r="H55" s="14" t="n"/>
      <c r="I55" s="15">
        <f>IF(G55="","",G55-H55)</f>
        <v/>
      </c>
      <c r="J55" s="12">
        <f>IF(OR(F55="",I55=""),"",IF(I55&lt;=0,0,MAX(0,$G$4-F55)))</f>
        <v/>
      </c>
      <c r="K55" s="12">
        <f>IF(I55="","",IF(I55&lt;=0,"Pagada",IF(J55&gt;0,"Vencida","Vigente")))</f>
        <v/>
      </c>
    </row>
    <row r="56">
      <c r="A56" s="12" t="n">
        <v>50</v>
      </c>
      <c r="B56" s="9" t="n"/>
      <c r="C56" s="9" t="n"/>
      <c r="D56" s="10" t="n"/>
      <c r="E56" s="9" t="n"/>
      <c r="F56" s="13">
        <f>IF(D56="","",D56+E56)</f>
        <v/>
      </c>
      <c r="G56" s="14" t="n"/>
      <c r="H56" s="14" t="n"/>
      <c r="I56" s="15">
        <f>IF(G56="","",G56-H56)</f>
        <v/>
      </c>
      <c r="J56" s="12">
        <f>IF(OR(F56="",I56=""),"",IF(I56&lt;=0,0,MAX(0,$G$4-F56)))</f>
        <v/>
      </c>
      <c r="K56" s="12">
        <f>IF(I56="","",IF(I56&lt;=0,"Pagada",IF(J56&gt;0,"Vencida","Vigente")))</f>
        <v/>
      </c>
    </row>
    <row r="57">
      <c r="F57" s="16" t="inlineStr">
        <is>
          <t>TOTAL</t>
        </is>
      </c>
      <c r="G57" s="17">
        <f>SUM(G7:G56)</f>
        <v/>
      </c>
      <c r="H57" s="17">
        <f>SUM(H7:H56)</f>
        <v/>
      </c>
      <c r="I57" s="17">
        <f>SUM(I7:I56)</f>
        <v/>
      </c>
    </row>
    <row r="59">
      <c r="B59" s="18" t="inlineStr">
        <is>
          <t>ANTIGÜEDAD DE SALDOS</t>
        </is>
      </c>
    </row>
    <row r="60">
      <c r="B60" s="19" t="inlineStr">
        <is>
          <t>Vigente</t>
        </is>
      </c>
      <c r="C60" s="20">
        <f>SUMIFS(I7:I56,K7:K56,"Vigente")</f>
        <v/>
      </c>
    </row>
    <row r="61">
      <c r="B61" s="19" t="inlineStr">
        <is>
          <t>1 a 30 días</t>
        </is>
      </c>
      <c r="C61" s="20">
        <f>SUMIFS(I7:I56,J7:J56,"&gt;=1",J7:J56,"&lt;=30")</f>
        <v/>
      </c>
    </row>
    <row r="62">
      <c r="B62" s="19" t="inlineStr">
        <is>
          <t>31 a 60 días</t>
        </is>
      </c>
      <c r="C62" s="20">
        <f>SUMIFS(I7:I56,J7:J56,"&gt;=31",J7:J56,"&lt;=60")</f>
        <v/>
      </c>
    </row>
    <row r="63">
      <c r="B63" s="19" t="inlineStr">
        <is>
          <t>61 a 90 días</t>
        </is>
      </c>
      <c r="C63" s="20">
        <f>SUMIFS(I7:I56,J7:J56,"&gt;=61",J7:J56,"&lt;=90")</f>
        <v/>
      </c>
    </row>
    <row r="64">
      <c r="B64" s="19" t="inlineStr">
        <is>
          <t>Más de 90 días</t>
        </is>
      </c>
      <c r="C64" s="20">
        <f>SUMIFS(I7:I56,J7:J56,"&gt;90")</f>
        <v/>
      </c>
    </row>
  </sheetData>
  <mergeCells count="5">
    <mergeCell ref="G4:H4"/>
    <mergeCell ref="A2:I2"/>
    <mergeCell ref="B4:D4"/>
    <mergeCell ref="A1:I1"/>
    <mergeCell ref="J1:K2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21" t="inlineStr">
        <is>
          <t>Cuentas por cobrar</t>
        </is>
      </c>
    </row>
    <row r="2">
      <c r="B2" s="22" t="inlineStr">
        <is>
          <t>Guía de uso</t>
        </is>
      </c>
    </row>
    <row r="4">
      <c r="A4" s="18" t="n">
        <v>1</v>
      </c>
      <c r="B4" s="23" t="inlineStr">
        <is>
          <t>Registra cada factura emitida con fecha, días de crédito e importe.</t>
        </is>
      </c>
    </row>
    <row r="5">
      <c r="A5" s="18" t="n">
        <v>2</v>
      </c>
      <c r="B5" s="23" t="inlineStr">
        <is>
          <t>Cuando recibas un pago, captura el acumulado en la columna Abonos.</t>
        </is>
      </c>
    </row>
    <row r="6">
      <c r="A6" s="18" t="n">
        <v>3</v>
      </c>
      <c r="B6" s="23" t="inlineStr">
        <is>
          <t>El sistema calcula vencimiento, saldo, días vencidos y estatus (Vigente / Vencida / Pagada).</t>
        </is>
      </c>
    </row>
    <row r="7">
      <c r="A7" s="18" t="n">
        <v>4</v>
      </c>
      <c r="B7" s="23" t="inlineStr">
        <is>
          <t>La fecha de corte usa HOY() por defecto; puedes escribir una fecha fija.</t>
        </is>
      </c>
    </row>
    <row r="8">
      <c r="A8" s="18" t="n">
        <v>5</v>
      </c>
      <c r="B8" s="23" t="inlineStr">
        <is>
          <t>Al final verás el resumen de antigüedad de saldos para priorizar tu cobranza.</t>
        </is>
      </c>
    </row>
    <row r="9">
      <c r="A9" s="18" t="n">
        <v>6</v>
      </c>
      <c r="B9" s="23" t="inlineStr">
        <is>
          <t>Personaliza: en el recuadro punteado de la esquina superior derecha inserta tu logo (Insertar &gt; Imágenes) y captura los datos de tu empresa en las celdas amarillas.</t>
        </is>
      </c>
    </row>
    <row r="11">
      <c r="B11" s="24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2026-10-07T17:49:15Z</dcterms:created>
  <dcterms:modified xmlns:dcterms="http://purl.org/dc/terms/" xmlns:xsi="http://www.w3.org/2001/XMLSchema-instance" xsi:type="dcterms:W3CDTF">2026-10-07T17:49:15Z</dcterms:modified>
</cp:coreProperties>
</file>