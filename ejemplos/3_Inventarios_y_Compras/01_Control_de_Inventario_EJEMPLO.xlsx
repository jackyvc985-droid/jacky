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FORMATO" sheetId="2" state="visible" r:id="rId2"/>
    <sheet xmlns:r="http://schemas.openxmlformats.org/officeDocument/2006/relationships" name="RESUMEN" sheetId="3" state="visible" r:id="rId3"/>
    <sheet xmlns:r="http://schemas.openxmlformats.org/officeDocument/2006/relationships" name="AYUDA" sheetId="4" state="visible" r:id="rId4"/>
  </sheets>
  <definedNames>
    <definedName name="_xlnm.Print_Titles" localSheetId="1">'FORMATO'!$6:$6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&quot;$&quot;#,##0.00"/>
  </numFmts>
  <fonts count="29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5B6B78"/>
      <sz val="10"/>
    </font>
    <font>
      <name val="Arial"/>
      <i val="1"/>
      <color rgb="00A6A6A6"/>
      <sz val="8"/>
    </font>
    <font>
      <name val="Arial"/>
      <b val="1"/>
      <color rgb="000E7C8B"/>
    </font>
    <font>
      <name val="Arial"/>
      <b val="1"/>
      <color rgb="00FFFFFF"/>
    </font>
    <font>
      <name val="Arial"/>
      <b val="1"/>
    </font>
    <font>
      <name val="Arial"/>
      <b val="1"/>
      <color rgb="000B2A4A"/>
    </font>
    <font>
      <name val="Arial"/>
      <b val="1"/>
      <color rgb="000E7C8B"/>
      <sz val="9"/>
    </font>
    <font>
      <name val="Arial"/>
      <b val="1"/>
      <color rgb="000B2A4A"/>
      <sz val="24"/>
    </font>
    <font>
      <name val="Arial"/>
      <i val="1"/>
      <color rgb="000B2A4A"/>
      <sz val="10"/>
    </font>
    <font>
      <name val="Arial"/>
      <b val="1"/>
      <color rgb="00C9A227"/>
      <sz val="11"/>
    </font>
    <font>
      <name val="Arial"/>
      <b val="1"/>
      <color rgb="00C9D3DB"/>
      <sz val="9"/>
    </font>
    <font>
      <name val="Arial"/>
      <b val="1"/>
      <color rgb="00FFFFFF"/>
      <sz val="30"/>
    </font>
    <font>
      <name val="Arial"/>
      <i val="1"/>
      <color rgb="00C9D3DB"/>
      <sz val="12"/>
    </font>
    <font>
      <name val="Arial"/>
      <b val="1"/>
      <color rgb="00C9A227"/>
      <sz val="9"/>
    </font>
    <font>
      <name val="Arial"/>
      <b val="1"/>
      <color rgb="000E7C8B"/>
      <sz val="12"/>
    </font>
    <font>
      <name val="Arial"/>
      <b val="1"/>
      <color rgb="000E7C8B"/>
      <sz val="10"/>
      <u val="single"/>
    </font>
    <font>
      <name val="Arial"/>
      <color rgb="002B2B2B"/>
      <sz val="10"/>
    </font>
    <font>
      <name val="Arial"/>
      <b val="1"/>
      <color rgb="000B2A4A"/>
      <sz val="10"/>
    </font>
    <font>
      <name val="Arial"/>
      <b val="1"/>
      <color rgb="00C9A227"/>
      <sz val="12"/>
    </font>
    <font>
      <name val="Arial"/>
      <b val="1"/>
      <color rgb="000E7C8B"/>
      <sz val="11"/>
    </font>
    <font>
      <name val="Arial"/>
      <color rgb="005B6B78"/>
      <sz val="10"/>
    </font>
    <font>
      <name val="Arial"/>
      <color rgb="00C9D3DB"/>
      <sz val="9"/>
    </font>
    <font>
      <name val="Arial"/>
      <b val="1"/>
      <color rgb="00FFFFFF"/>
      <sz val="18"/>
    </font>
    <font>
      <name val="Arial"/>
      <b val="1"/>
      <color rgb="00C9A227"/>
      <sz val="10"/>
    </font>
    <font>
      <name val="Arial"/>
      <b val="1"/>
      <color rgb="000E7C8B"/>
      <sz val="10"/>
    </font>
    <font>
      <name val="Arial"/>
      <color rgb="000B2A4A"/>
      <sz val="12"/>
    </font>
    <font>
      <name val="Arial"/>
      <color theme="1"/>
      <sz val="10"/>
    </font>
  </fonts>
  <fills count="9">
    <fill>
      <patternFill/>
    </fill>
    <fill>
      <patternFill patternType="gray125"/>
    </fill>
    <fill>
      <patternFill patternType="solid">
        <fgColor rgb="000B2A4A"/>
      </patternFill>
    </fill>
    <fill>
      <patternFill patternType="solid">
        <fgColor rgb="00E6ECF1"/>
      </patternFill>
    </fill>
    <fill>
      <patternFill patternType="solid">
        <fgColor rgb="00FFFCF0"/>
      </patternFill>
    </fill>
    <fill>
      <gradientFill type="linear" degree="90">
        <stop position="0">
          <color rgb="0017426B"/>
        </stop>
        <stop position="1">
          <color rgb="000B2A4A"/>
        </stop>
      </gradientFill>
    </fill>
    <fill>
      <patternFill patternType="solid">
        <fgColor rgb="00EEF2F5"/>
      </patternFill>
    </fill>
    <fill>
      <patternFill patternType="solid">
        <fgColor rgb="00FFFFFF"/>
      </patternFill>
    </fill>
    <fill>
      <patternFill patternType="solid">
        <fgColor rgb="00FFF8E1"/>
      </patternFill>
    </fill>
  </fills>
  <borders count="45">
    <border>
      <left/>
      <right/>
      <top/>
      <bottom/>
      <diagonal/>
    </border>
    <border>
      <bottom style="medium">
        <color rgb="00C9A227"/>
      </bottom>
    </border>
    <border>
      <left/>
      <right/>
      <top/>
      <bottom style="medium">
        <color rgb="00C9A227"/>
      </bottom>
      <diagonal/>
    </border>
    <border>
      <left style="dashed">
        <color rgb="00A6A6A6"/>
      </left>
      <right style="dashed">
        <color rgb="00A6A6A6"/>
      </right>
      <top style="dashed">
        <color rgb="00A6A6A6"/>
      </top>
    </border>
    <border>
      <left style="dashed">
        <color rgb="00A6A6A6"/>
      </left>
      <right style="dashed">
        <color rgb="00A6A6A6"/>
      </right>
      <bottom style="dashed">
        <color rgb="00A6A6A6"/>
      </bottom>
    </border>
    <border>
      <left style="thin">
        <color rgb="00C9D3DB"/>
      </left>
      <right style="thin">
        <color rgb="00C9D3DB"/>
      </right>
      <top style="thin">
        <color rgb="00C9D3DB"/>
      </top>
      <bottom style="thin">
        <color rgb="00C9D3DB"/>
      </bottom>
    </border>
    <border>
      <left style="thin">
        <color rgb="00C9D3DB"/>
      </left>
      <right style="thin">
        <color rgb="00C9D3DB"/>
      </right>
      <top style="medium">
        <color rgb="00C9A227"/>
      </top>
      <bottom style="thin">
        <color rgb="00C9D3DB"/>
      </bottom>
    </border>
    <border>
      <left style="dashed">
        <color rgb="00A6A6A6"/>
      </left>
      <top style="dashed">
        <color rgb="00A6A6A6"/>
      </top>
    </border>
    <border>
      <top style="dashed">
        <color rgb="00A6A6A6"/>
      </top>
    </border>
    <border>
      <right style="dashed">
        <color rgb="00A6A6A6"/>
      </right>
      <top style="dashed">
        <color rgb="00A6A6A6"/>
      </top>
    </border>
    <border>
      <left style="dashed">
        <color rgb="00A6A6A6"/>
      </left>
      <bottom style="dashed">
        <color rgb="00A6A6A6"/>
      </bottom>
    </border>
    <border>
      <bottom style="dashed">
        <color rgb="00A6A6A6"/>
      </bottom>
    </border>
    <border>
      <right style="dashed">
        <color rgb="00A6A6A6"/>
      </right>
      <bottom style="dashed">
        <color rgb="00A6A6A6"/>
      </bottom>
    </border>
    <border>
      <left style="thin">
        <color rgb="00C9D3DB"/>
      </left>
      <top style="medium">
        <color rgb="00C9A227"/>
      </top>
    </border>
    <border>
      <right style="thin">
        <color rgb="00C9D3DB"/>
      </right>
      <top style="medium">
        <color rgb="00C9A227"/>
      </top>
    </border>
    <border>
      <left style="thin">
        <color rgb="00C9D3DB"/>
      </left>
      <bottom style="thin">
        <color rgb="00C9D3DB"/>
      </bottom>
    </border>
    <border>
      <right style="thin">
        <color rgb="00C9D3DB"/>
      </right>
      <bottom style="thin">
        <color rgb="00C9D3DB"/>
      </bottom>
    </border>
    <border>
      <left style="thick">
        <color rgb="00C9A227"/>
      </left>
    </border>
    <border>
      <left style="thin">
        <color rgb="00C9A227"/>
      </left>
      <right style="thin">
        <color rgb="00C9A227"/>
      </right>
      <top style="thin">
        <color rgb="00C9A227"/>
      </top>
      <bottom style="thin">
        <color rgb="00C9A227"/>
      </bottom>
    </border>
    <border>
      <top style="thick">
        <color rgb="00C9A227"/>
      </top>
    </border>
    <border>
      <bottom style="thin">
        <color rgb="00E3E8ED"/>
      </bottom>
    </border>
    <border>
      <bottom style="thin">
        <color rgb="00C9D3DB"/>
      </bottom>
    </border>
    <border>
      <left/>
      <right/>
      <top/>
      <bottom style="thin">
        <color rgb="00E3E8ED"/>
      </bottom>
      <diagonal/>
    </border>
    <border>
      <left/>
      <right/>
      <top style="thin">
        <color rgb="00C9D3DB"/>
      </top>
      <bottom/>
      <diagonal/>
    </border>
    <border>
      <left/>
      <right style="thin">
        <color rgb="00C9D3DB"/>
      </right>
      <top style="thin">
        <color rgb="00C9D3DB"/>
      </top>
      <bottom/>
      <diagonal/>
    </border>
    <border>
      <left/>
      <right style="thin">
        <color rgb="00C9D3DB"/>
      </right>
      <top style="thin">
        <color rgb="00C9D3DB"/>
      </top>
      <bottom style="thin">
        <color rgb="00C9D3DB"/>
      </bottom>
      <diagonal/>
    </border>
    <border>
      <right/>
      <bottom style="medium">
        <color rgb="00C9A227"/>
      </bottom>
    </border>
    <border>
      <left/>
      <right/>
      <top style="thin">
        <color rgb="00C9D3DB"/>
      </top>
      <bottom style="thin">
        <color rgb="00C9D3DB"/>
      </bottom>
      <diagonal/>
    </border>
    <border>
      <left style="dashed">
        <color rgb="00A6A6A6"/>
      </left>
      <right style="dashed">
        <color rgb="00A6A6A6"/>
      </right>
      <top style="dashed">
        <color rgb="00A6A6A6"/>
      </top>
      <bottom style="dashed">
        <color rgb="00A6A6A6"/>
      </bottom>
    </border>
    <border>
      <left style="dashed">
        <color rgb="00A6A6A6"/>
      </left>
      <right/>
      <top/>
      <bottom/>
      <diagonal/>
    </border>
    <border>
      <left style="dashed">
        <color rgb="00A6A6A6"/>
      </left>
      <right style="dashed">
        <color rgb="00A6A6A6"/>
      </right>
      <top/>
      <bottom/>
      <diagonal/>
    </border>
    <border>
      <left style="dashed">
        <color rgb="00A6A6A6"/>
      </left>
      <right style="dashed">
        <color rgb="00A6A6A6"/>
      </right>
      <top/>
      <bottom style="dashed">
        <color rgb="00A6A6A6"/>
      </bottom>
      <diagonal/>
    </border>
    <border>
      <left style="thin">
        <color rgb="00C9D3DB"/>
      </left>
      <right style="thin">
        <color rgb="00C9D3DB"/>
      </right>
      <top style="medium">
        <color rgb="00C9A227"/>
      </top>
    </border>
    <border>
      <left/>
      <right/>
      <top style="medium">
        <color rgb="00C9A227"/>
      </top>
      <bottom/>
      <diagonal/>
    </border>
    <border>
      <left/>
      <right style="thin">
        <color rgb="00C9D3DB"/>
      </right>
      <top style="medium">
        <color rgb="00C9A227"/>
      </top>
      <bottom/>
      <diagonal/>
    </border>
    <border>
      <left/>
      <right/>
      <top style="dashed">
        <color rgb="00A6A6A6"/>
      </top>
      <bottom/>
      <diagonal/>
    </border>
    <border>
      <left/>
      <right style="dashed">
        <color rgb="00A6A6A6"/>
      </right>
      <top style="dashed">
        <color rgb="00A6A6A6"/>
      </top>
      <bottom/>
      <diagonal/>
    </border>
    <border>
      <left/>
      <right style="dashed">
        <color rgb="00A6A6A6"/>
      </right>
      <top/>
      <bottom/>
      <diagonal/>
    </border>
    <border>
      <left style="dashed">
        <color rgb="00A6A6A6"/>
      </left>
      <right/>
      <top/>
      <bottom style="dashed">
        <color rgb="00A6A6A6"/>
      </bottom>
      <diagonal/>
    </border>
    <border>
      <left/>
      <right/>
      <top/>
      <bottom style="dashed">
        <color rgb="00A6A6A6"/>
      </bottom>
      <diagonal/>
    </border>
    <border>
      <left/>
      <right style="dashed">
        <color rgb="00A6A6A6"/>
      </right>
      <top/>
      <bottom style="dashed">
        <color rgb="00A6A6A6"/>
      </bottom>
      <diagonal/>
    </border>
    <border>
      <left style="thick">
        <color rgb="00C9A227"/>
      </left>
      <right/>
      <bottom/>
    </border>
    <border>
      <left style="thin">
        <color rgb="00C9D3DB"/>
      </left>
      <right style="thin">
        <color rgb="00C9D3DB"/>
      </right>
      <bottom style="thin">
        <color rgb="00C9D3DB"/>
      </bottom>
    </border>
    <border>
      <left/>
      <right style="thin">
        <color rgb="00C9D3DB"/>
      </right>
      <top/>
      <bottom/>
      <diagonal/>
    </border>
    <border>
      <left/>
      <right style="thin">
        <color rgb="00C9D3DB"/>
      </right>
      <top/>
      <bottom style="thin">
        <color rgb="00C9D3DB"/>
      </bottom>
      <diagonal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28" fillId="2" borderId="0" pivotButton="0" quotePrefix="0" xfId="0"/>
    <xf numFmtId="0" fontId="11" fillId="2" borderId="0" pivotButton="0" quotePrefix="0" xfId="0"/>
    <xf numFmtId="0" fontId="12" fillId="2" borderId="0" applyAlignment="1" pivotButton="0" quotePrefix="0" xfId="0">
      <alignment horizontal="right" vertical="center"/>
    </xf>
    <xf numFmtId="0" fontId="28" fillId="0" borderId="0" pivotButton="0" quotePrefix="0" xfId="0"/>
    <xf numFmtId="0" fontId="13" fillId="2" borderId="0" applyAlignment="1" pivotButton="0" quotePrefix="0" xfId="0">
      <alignment vertical="center" wrapText="1"/>
    </xf>
    <xf numFmtId="0" fontId="14" fillId="2" borderId="0" pivotButton="0" quotePrefix="0" xfId="0"/>
    <xf numFmtId="0" fontId="15" fillId="2" borderId="18" applyAlignment="1" pivotButton="0" quotePrefix="0" xfId="0">
      <alignment horizontal="center" vertical="center"/>
    </xf>
    <xf numFmtId="0" fontId="28" fillId="0" borderId="19" pivotButton="0" quotePrefix="0" xfId="0"/>
    <xf numFmtId="0" fontId="16" fillId="0" borderId="1" pivotButton="0" quotePrefix="0" xfId="0"/>
    <xf numFmtId="0" fontId="28" fillId="0" borderId="1" pivotButton="0" quotePrefix="0" xfId="0"/>
    <xf numFmtId="0" fontId="11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 wrapText="1"/>
    </xf>
    <xf numFmtId="0" fontId="17" fillId="0" borderId="0" pivotButton="0" quotePrefix="0" xfId="0"/>
    <xf numFmtId="0" fontId="19" fillId="0" borderId="20" applyAlignment="1" pivotButton="0" quotePrefix="0" xfId="0">
      <alignment vertical="center"/>
    </xf>
    <xf numFmtId="0" fontId="18" fillId="0" borderId="20" applyAlignment="1" pivotButton="0" quotePrefix="0" xfId="0">
      <alignment vertical="center" wrapText="1"/>
    </xf>
    <xf numFmtId="0" fontId="28" fillId="0" borderId="20" pivotButton="0" quotePrefix="0" xfId="0"/>
    <xf numFmtId="0" fontId="20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8" fillId="4" borderId="5" applyProtection="1" pivotButton="0" quotePrefix="0" xfId="0">
      <protection locked="0" hidden="0"/>
    </xf>
    <xf numFmtId="0" fontId="22" fillId="0" borderId="0" pivotButton="0" quotePrefix="0" xfId="0"/>
    <xf numFmtId="0" fontId="28" fillId="6" borderId="5" pivotButton="0" quotePrefix="0" xfId="0"/>
    <xf numFmtId="0" fontId="28" fillId="2" borderId="5" pivotButton="0" quotePrefix="0" xfId="0"/>
    <xf numFmtId="0" fontId="28" fillId="7" borderId="5" pivotButton="0" quotePrefix="0" xfId="0"/>
    <xf numFmtId="0" fontId="23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8" fillId="0" borderId="2" pivotButton="0" quotePrefix="0" xfId="0"/>
    <xf numFmtId="0" fontId="28" fillId="0" borderId="4" pivotButton="0" quotePrefix="0" xfId="0"/>
    <xf numFmtId="0" fontId="4" fillId="3" borderId="5" pivotButton="0" quotePrefix="0" xfId="0"/>
    <xf numFmtId="164" fontId="28" fillId="4" borderId="5" applyProtection="1" pivotButton="0" quotePrefix="0" xfId="0">
      <protection locked="0" hidden="0"/>
    </xf>
    <xf numFmtId="0" fontId="5" fillId="5" borderId="6" applyAlignment="1" pivotButton="0" quotePrefix="0" xfId="0">
      <alignment horizontal="center" vertical="center" wrapText="1"/>
    </xf>
    <xf numFmtId="0" fontId="28" fillId="6" borderId="5" applyAlignment="1" pivotButton="0" quotePrefix="0" xfId="0">
      <alignment horizontal="center"/>
    </xf>
    <xf numFmtId="0" fontId="28" fillId="4" borderId="5" applyAlignment="1" applyProtection="1" pivotButton="0" quotePrefix="0" xfId="0">
      <alignment vertical="center"/>
      <protection locked="0" hidden="0"/>
    </xf>
    <xf numFmtId="3" fontId="28" fillId="4" borderId="5" applyAlignment="1" applyProtection="1" pivotButton="0" quotePrefix="0" xfId="0">
      <alignment vertical="center"/>
      <protection locked="0" hidden="0"/>
    </xf>
    <xf numFmtId="3" fontId="28" fillId="6" borderId="5" applyAlignment="1" pivotButton="0" quotePrefix="0" xfId="0">
      <alignment vertical="center"/>
    </xf>
    <xf numFmtId="165" fontId="28" fillId="4" borderId="5" applyAlignment="1" applyProtection="1" pivotButton="0" quotePrefix="0" xfId="0">
      <alignment vertical="center"/>
      <protection locked="0" hidden="0"/>
    </xf>
    <xf numFmtId="165" fontId="28" fillId="6" borderId="5" applyAlignment="1" pivotButton="0" quotePrefix="0" xfId="0">
      <alignment vertical="center"/>
    </xf>
    <xf numFmtId="0" fontId="28" fillId="6" borderId="5" applyAlignment="1" pivotButton="0" quotePrefix="0" xfId="0">
      <alignment vertical="center"/>
    </xf>
    <xf numFmtId="0" fontId="6" fillId="0" borderId="0" applyAlignment="1" pivotButton="0" quotePrefix="0" xfId="0">
      <alignment horizontal="right"/>
    </xf>
    <xf numFmtId="3" fontId="7" fillId="3" borderId="5" pivotButton="0" quotePrefix="0" xfId="0"/>
    <xf numFmtId="165" fontId="7" fillId="3" borderId="5" pivotButton="0" quotePrefix="0" xfId="0"/>
    <xf numFmtId="0" fontId="3" fillId="0" borderId="7" applyAlignment="1" pivotButton="0" quotePrefix="0" xfId="0">
      <alignment horizontal="center" vertical="center" wrapText="1"/>
    </xf>
    <xf numFmtId="0" fontId="28" fillId="0" borderId="8" pivotButton="0" quotePrefix="0" xfId="0"/>
    <xf numFmtId="0" fontId="28" fillId="0" borderId="9" pivotButton="0" quotePrefix="0" xfId="0"/>
    <xf numFmtId="0" fontId="28" fillId="0" borderId="10" pivotButton="0" quotePrefix="0" xfId="0"/>
    <xf numFmtId="0" fontId="28" fillId="0" borderId="11" pivotButton="0" quotePrefix="0" xfId="0"/>
    <xf numFmtId="0" fontId="28" fillId="0" borderId="12" pivotButton="0" quotePrefix="0" xfId="0"/>
    <xf numFmtId="0" fontId="8" fillId="3" borderId="13" applyAlignment="1" pivotButton="0" quotePrefix="0" xfId="0">
      <alignment horizontal="center" vertical="center"/>
    </xf>
    <xf numFmtId="0" fontId="28" fillId="3" borderId="14" pivotButton="0" quotePrefix="0" xfId="0"/>
    <xf numFmtId="165" fontId="9" fillId="7" borderId="15" applyAlignment="1" pivotButton="0" quotePrefix="0" xfId="0">
      <alignment horizontal="center" vertical="center"/>
    </xf>
    <xf numFmtId="0" fontId="28" fillId="7" borderId="16" pivotButton="0" quotePrefix="0" xfId="0"/>
    <xf numFmtId="1" fontId="9" fillId="7" borderId="15" applyAlignment="1" pivotButton="0" quotePrefix="0" xfId="0">
      <alignment horizontal="center" vertical="center"/>
    </xf>
    <xf numFmtId="0" fontId="10" fillId="8" borderId="17" applyAlignment="1" pivotButton="0" quotePrefix="0" xfId="0">
      <alignment vertical="center" wrapText="1"/>
    </xf>
    <xf numFmtId="0" fontId="28" fillId="0" borderId="5" pivotButton="0" quotePrefix="0" xfId="0"/>
    <xf numFmtId="0" fontId="24" fillId="2" borderId="0" applyAlignment="1" pivotButton="0" quotePrefix="0" xfId="0">
      <alignment vertical="center"/>
    </xf>
    <xf numFmtId="0" fontId="25" fillId="2" borderId="0" pivotButton="0" quotePrefix="0" xfId="0"/>
    <xf numFmtId="0" fontId="19" fillId="0" borderId="21" applyAlignment="1" pivotButton="0" quotePrefix="0" xfId="0">
      <alignment vertical="top" wrapText="1"/>
    </xf>
    <xf numFmtId="0" fontId="18" fillId="0" borderId="21" applyAlignment="1" pivotButton="0" quotePrefix="0" xfId="0">
      <alignment vertical="top" wrapText="1"/>
    </xf>
    <xf numFmtId="0" fontId="26" fillId="0" borderId="21" pivotButton="0" quotePrefix="0" xfId="0"/>
    <xf numFmtId="0" fontId="18" fillId="0" borderId="21" applyAlignment="1" pivotButton="0" quotePrefix="0" xfId="0">
      <alignment vertical="center" wrapText="1"/>
    </xf>
    <xf numFmtId="0" fontId="27" fillId="4" borderId="5" applyAlignment="1" applyProtection="1" pivotButton="0" quotePrefix="0" xfId="0">
      <alignment horizontal="center"/>
      <protection locked="0" hidden="0"/>
    </xf>
    <xf numFmtId="0" fontId="18" fillId="0" borderId="0" pivotButton="0" quotePrefix="0" xfId="0"/>
    <xf numFmtId="0" fontId="0" fillId="0" borderId="22" pivotButton="0" quotePrefix="0" xfId="0"/>
    <xf numFmtId="0" fontId="3" fillId="0" borderId="28" applyAlignment="1" pivotButton="0" quotePrefix="0" xfId="0">
      <alignment horizontal="center" vertical="center" wrapText="1"/>
    </xf>
    <xf numFmtId="0" fontId="2" fillId="0" borderId="2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1" pivotButton="0" quotePrefix="0" xfId="0"/>
    <xf numFmtId="0" fontId="0" fillId="0" borderId="27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0" fillId="0" borderId="35" pivotButton="0" quotePrefix="0" xfId="0"/>
    <xf numFmtId="0" fontId="0" fillId="0" borderId="36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8" fillId="3" borderId="32" applyAlignment="1" pivotButton="0" quotePrefix="0" xfId="0">
      <alignment horizontal="center" vertical="center"/>
    </xf>
    <xf numFmtId="0" fontId="0" fillId="0" borderId="34" pivotButton="0" quotePrefix="0" xfId="0"/>
    <xf numFmtId="165" fontId="9" fillId="7" borderId="42" applyAlignment="1" pivotButton="0" quotePrefix="0" xfId="0">
      <alignment horizontal="center" vertical="center"/>
    </xf>
    <xf numFmtId="0" fontId="0" fillId="0" borderId="44" pivotButton="0" quotePrefix="0" xfId="0"/>
    <xf numFmtId="1" fontId="9" fillId="7" borderId="42" applyAlignment="1" pivotButton="0" quotePrefix="0" xfId="0">
      <alignment horizontal="center" vertical="center"/>
    </xf>
    <xf numFmtId="0" fontId="10" fillId="8" borderId="41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bgColor rgb="00F8CBAD"/>
        </patternFill>
      </fill>
    </dxf>
    <dxf>
      <fill>
        <patternFill patternType="solid">
          <bgColor rgb="00FFE6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Estatus del inventario</a:t>
            </a:r>
          </a:p>
        </rich>
      </tx>
    </title>
    <plotArea>
      <pieChart>
        <varyColors val="1"/>
        <ser>
          <idx val="0"/>
          <order val="0"/>
          <tx>
            <strRef>
              <f>'RESUMEN'!C25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2A0A8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69F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4572E"/>
              </a:solidFill>
              <a:ln xmlns:a="http://schemas.openxmlformats.org/drawingml/2006/main">
                <a:prstDash val="solid"/>
              </a:ln>
            </spPr>
          </dPt>
          <cat>
            <numRef>
              <f>'RESUMEN'!$B$26:$B$28</f>
            </numRef>
          </cat>
          <val>
            <numRef>
              <f>'RESUMEN'!$C$26:$C$28</f>
            </numRef>
          </val>
        </ser>
        <dLbls>
          <showVal val="0"/>
          <showCatName val="0"/>
          <showSerName val="0"/>
          <showPercent val="1"/>
          <showLeaderLines val="0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7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FORMATO'!A1" TargetMode="External" Id="rId1"/><Relationship Type="http://schemas.openxmlformats.org/officeDocument/2006/relationships/hyperlink" Target="#'RESUMEN'!A1" TargetMode="External" Id="rId2"/><Relationship Type="http://schemas.openxmlformats.org/officeDocument/2006/relationships/hyperlink" Target="#'AYUDA'!A1" TargetMode="External" Id="rId3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G4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7" customWidth="1" min="3" max="3"/>
    <col width="27" customWidth="1" min="4" max="4"/>
    <col width="27" customWidth="1" min="5" max="5"/>
    <col width="27" customWidth="1" min="6" max="6"/>
    <col width="3" customWidth="1" min="7" max="7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</row>
    <row r="2" ht="22" customHeight="1">
      <c r="A2" s="1" t="n"/>
      <c r="B2" s="2" t="inlineStr">
        <is>
          <t>FORMATOS ADMINISTRATIVOS</t>
        </is>
      </c>
      <c r="C2" s="1" t="n"/>
      <c r="D2" s="1" t="n"/>
      <c r="E2" s="3" t="inlineStr">
        <is>
          <t>VERSIÓN 2.0  ·  MÉXICO</t>
        </is>
      </c>
      <c r="G2" s="1" t="n"/>
    </row>
    <row r="3">
      <c r="A3" s="1" t="n"/>
      <c r="B3" s="1" t="n"/>
      <c r="C3" s="1" t="n"/>
      <c r="D3" s="1" t="n"/>
      <c r="E3" s="1" t="n"/>
      <c r="F3" s="1" t="n"/>
      <c r="G3" s="1" t="n"/>
    </row>
    <row r="4" ht="30" customHeight="1">
      <c r="A4" s="1" t="n"/>
      <c r="B4" s="5" t="inlineStr">
        <is>
          <t>CONTROL DE INVENTARIO</t>
        </is>
      </c>
      <c r="G4" s="1" t="n"/>
    </row>
    <row r="5" ht="30" customHeight="1">
      <c r="A5" s="1" t="n"/>
      <c r="G5" s="1" t="n"/>
    </row>
    <row r="6" ht="22" customHeight="1">
      <c r="A6" s="1" t="n"/>
      <c r="B6" s="6" t="inlineStr">
        <is>
          <t>Formato administrativo profesional · editable · listo para imprimir</t>
        </is>
      </c>
      <c r="G6" s="1" t="n"/>
    </row>
    <row r="7">
      <c r="A7" s="1" t="n"/>
      <c r="B7" s="1" t="n"/>
      <c r="C7" s="1" t="n"/>
      <c r="D7" s="1" t="n"/>
      <c r="E7" s="1" t="n"/>
      <c r="F7" s="1" t="n"/>
      <c r="G7" s="1" t="n"/>
    </row>
    <row r="8" ht="4" customHeight="1">
      <c r="A8" s="1" t="n"/>
      <c r="B8" s="1" t="n"/>
      <c r="C8" s="1" t="n"/>
      <c r="D8" s="1" t="n"/>
      <c r="E8" s="1" t="n"/>
      <c r="F8" s="1" t="n"/>
      <c r="G8" s="1" t="n"/>
    </row>
    <row r="9" ht="24" customHeight="1">
      <c r="A9" s="1" t="n"/>
      <c r="B9" s="1" t="n"/>
      <c r="C9" s="7" t="inlineStr">
        <is>
          <t>FÓRMULAS AUTOMÁTICAS</t>
        </is>
      </c>
      <c r="D9" s="7" t="inlineStr">
        <is>
          <t>LISTAS DESPLEGABLES</t>
        </is>
      </c>
      <c r="E9" s="7" t="inlineStr">
        <is>
          <t>HOJAS PROTEGIDAS</t>
        </is>
      </c>
      <c r="F9" s="7" t="inlineStr">
        <is>
          <t>LISTO PARA IMPRIMIR</t>
        </is>
      </c>
      <c r="G9" s="1" t="n"/>
    </row>
    <row r="10">
      <c r="A10" s="1" t="n"/>
      <c r="B10" s="1" t="n"/>
      <c r="C10" s="1" t="n"/>
      <c r="D10" s="1" t="n"/>
      <c r="E10" s="1" t="n"/>
      <c r="F10" s="1" t="n"/>
      <c r="G10" s="1" t="n"/>
    </row>
    <row r="11">
      <c r="A11" s="1" t="n"/>
      <c r="B11" s="1" t="n"/>
      <c r="C11" s="1" t="n"/>
      <c r="D11" s="1" t="n"/>
      <c r="E11" s="1" t="n"/>
      <c r="F11" s="1" t="n"/>
      <c r="G11" s="1" t="n"/>
    </row>
    <row r="12">
      <c r="A12" s="1" t="n"/>
      <c r="B12" s="1" t="n"/>
      <c r="C12" s="1" t="n"/>
      <c r="D12" s="1" t="n"/>
      <c r="E12" s="1" t="n"/>
      <c r="F12" s="1" t="n"/>
      <c r="G12" s="1" t="n"/>
    </row>
    <row r="13" ht="6" customHeight="1">
      <c r="A13" s="8" t="n"/>
      <c r="B13" s="8" t="n"/>
      <c r="C13" s="8" t="n"/>
      <c r="D13" s="8" t="n"/>
      <c r="E13" s="8" t="n"/>
      <c r="F13" s="8" t="n"/>
      <c r="G13" s="8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 ht="24" customHeight="1">
      <c r="A15" s="4" t="n"/>
      <c r="B15" s="9" t="inlineStr">
        <is>
          <t>¿QUÉ INCLUYE ESTE ARCHIVO?</t>
        </is>
      </c>
      <c r="C15" s="10" t="n"/>
      <c r="D15" s="10" t="n"/>
      <c r="E15" s="10" t="n"/>
      <c r="F15" s="10" t="n"/>
      <c r="G15" s="4" t="n"/>
    </row>
    <row r="16" ht="36" customHeight="1">
      <c r="A16" s="4" t="n"/>
      <c r="B16" s="11" t="inlineStr">
        <is>
          <t>▸</t>
        </is>
      </c>
      <c r="C16" s="12" t="inlineStr">
        <is>
          <t>FORMATO</t>
        </is>
      </c>
      <c r="D16" s="13" t="inlineStr">
        <is>
          <t>Hoja principal de captura. Aquí registras tu información; las celdas grises calculan solas.</t>
        </is>
      </c>
      <c r="G16" s="4" t="n"/>
    </row>
    <row r="17" ht="36" customHeight="1">
      <c r="A17" s="4" t="n"/>
      <c r="B17" s="11" t="inlineStr">
        <is>
          <t>▸</t>
        </is>
      </c>
      <c r="C17" s="12" t="inlineStr">
        <is>
          <t>RESUMEN</t>
        </is>
      </c>
      <c r="D17" s="13" t="inlineStr">
        <is>
          <t>Tablero con indicadores y gráficas que se actualizan automáticamente con tus datos.</t>
        </is>
      </c>
      <c r="G17" s="4" t="n"/>
    </row>
    <row r="18" ht="21" customHeight="1">
      <c r="A18" s="4" t="n"/>
      <c r="B18" s="11" t="inlineStr">
        <is>
          <t>▸</t>
        </is>
      </c>
      <c r="C18" s="14" t="inlineStr">
        <is>
          <t>AYUDA</t>
        </is>
      </c>
      <c r="D18" s="13" t="inlineStr">
        <is>
          <t>Preguntas frecuentes, glosario y lista de verificación para cerrar tu periodo.</t>
        </is>
      </c>
      <c r="G18" s="4" t="n"/>
    </row>
    <row r="19">
      <c r="A19" s="4" t="n"/>
      <c r="B19" s="4" t="n"/>
      <c r="C19" s="4" t="n"/>
      <c r="D19" s="4" t="n"/>
      <c r="E19" s="4" t="n"/>
      <c r="F19" s="4" t="n"/>
      <c r="G19" s="4" t="n"/>
    </row>
    <row r="20" ht="24" customHeight="1">
      <c r="A20" s="4" t="n"/>
      <c r="B20" s="9" t="inlineStr">
        <is>
          <t>FICHA TÉCNICA</t>
        </is>
      </c>
      <c r="C20" s="10" t="n"/>
      <c r="D20" s="10" t="n"/>
      <c r="E20" s="10" t="n"/>
      <c r="F20" s="10" t="n"/>
      <c r="G20" s="4" t="n"/>
    </row>
    <row r="21" ht="21" customHeight="1">
      <c r="A21" s="4" t="n"/>
      <c r="B21" s="4" t="n"/>
      <c r="C21" s="15" t="inlineStr">
        <is>
          <t>Capacidad</t>
        </is>
      </c>
      <c r="D21" s="16" t="inlineStr">
        <is>
          <t>300 productos</t>
        </is>
      </c>
      <c r="E21" s="65" t="n"/>
      <c r="F21" s="65" t="n"/>
      <c r="G21" s="4" t="n"/>
    </row>
    <row r="22" ht="21" customHeight="1">
      <c r="A22" s="4" t="n"/>
      <c r="B22" s="4" t="n"/>
      <c r="C22" s="15" t="inlineStr">
        <is>
          <t>Compatibilidad</t>
        </is>
      </c>
      <c r="D22" s="16" t="inlineStr">
        <is>
          <t>Excel 2016, 2019, 2021 y Microsoft 365 (Windows y Mac)</t>
        </is>
      </c>
      <c r="E22" s="65" t="n"/>
      <c r="F22" s="65" t="n"/>
      <c r="G22" s="4" t="n"/>
    </row>
    <row r="23" ht="21" customHeight="1">
      <c r="A23" s="4" t="n"/>
      <c r="B23" s="4" t="n"/>
      <c r="C23" s="15" t="inlineStr">
        <is>
          <t>Idioma y moneda</t>
        </is>
      </c>
      <c r="D23" s="16" t="inlineStr">
        <is>
          <t>Español (México) · Pesos mexicanos (MXN) · IVA 16%</t>
        </is>
      </c>
      <c r="E23" s="65" t="n"/>
      <c r="F23" s="65" t="n"/>
      <c r="G23" s="4" t="n"/>
    </row>
    <row r="24" ht="21" customHeight="1">
      <c r="A24" s="4" t="n"/>
      <c r="B24" s="4" t="n"/>
      <c r="C24" s="15" t="inlineStr">
        <is>
          <t>Protección</t>
        </is>
      </c>
      <c r="D24" s="16" t="inlineStr">
        <is>
          <t>Hojas protegidas sin contraseña (Revisar &gt; Desproteger hoja)</t>
        </is>
      </c>
      <c r="E24" s="65" t="n"/>
      <c r="F24" s="65" t="n"/>
      <c r="G24" s="4" t="n"/>
    </row>
    <row r="25" ht="21" customHeight="1">
      <c r="A25" s="4" t="n"/>
      <c r="B25" s="4" t="n"/>
      <c r="C25" s="15" t="inlineStr">
        <is>
          <t>Fuente</t>
        </is>
      </c>
      <c r="D25" s="16" t="inlineStr">
        <is>
          <t>Arial (disponible en Windows, Mac y Google Sheets)</t>
        </is>
      </c>
      <c r="E25" s="65" t="n"/>
      <c r="F25" s="65" t="n"/>
      <c r="G25" s="4" t="n"/>
    </row>
    <row r="26">
      <c r="A26" s="4" t="n"/>
      <c r="B26" s="4" t="n"/>
      <c r="C26" s="4" t="n"/>
      <c r="D26" s="4" t="n"/>
      <c r="E26" s="4" t="n"/>
      <c r="F26" s="4" t="n"/>
      <c r="G26" s="4" t="n"/>
    </row>
    <row r="27" ht="24" customHeight="1">
      <c r="A27" s="4" t="n"/>
      <c r="B27" s="9" t="inlineStr">
        <is>
          <t>CÓMO USARLO</t>
        </is>
      </c>
      <c r="C27" s="10" t="n"/>
      <c r="D27" s="10" t="n"/>
      <c r="E27" s="10" t="n"/>
      <c r="F27" s="10" t="n"/>
      <c r="G27" s="4" t="n"/>
    </row>
    <row r="28" ht="21" customHeight="1">
      <c r="A28" s="4" t="n"/>
      <c r="B28" s="18" t="n">
        <v>1</v>
      </c>
      <c r="C28" s="13" t="inlineStr">
        <is>
          <t>Registra cada producto con su código, inventario inicial, costo y stock mínimo.</t>
        </is>
      </c>
      <c r="G28" s="4" t="n"/>
    </row>
    <row r="29" ht="21" customHeight="1">
      <c r="A29" s="4" t="n"/>
      <c r="B29" s="18" t="n">
        <v>2</v>
      </c>
      <c r="C29" s="13" t="inlineStr">
        <is>
          <t>Actualiza las columnas Entradas y Salidas con los totales del periodo.</t>
        </is>
      </c>
      <c r="G29" s="4" t="n"/>
    </row>
    <row r="30" ht="21" customHeight="1">
      <c r="A30" s="4" t="n"/>
      <c r="B30" s="18" t="n">
        <v>3</v>
      </c>
      <c r="C30" s="13" t="inlineStr">
        <is>
          <t>La existencia y el valor del inventario se calculan solos.</t>
        </is>
      </c>
      <c r="G30" s="4" t="n"/>
    </row>
    <row r="31" ht="21" customHeight="1">
      <c r="A31" s="4" t="n"/>
      <c r="B31" s="18" t="n">
        <v>4</v>
      </c>
      <c r="C31" s="13" t="inlineStr">
        <is>
          <t>La columna Estatus resalta en amarillo los productos por reabastecer y en rojo los agotados.</t>
        </is>
      </c>
      <c r="G31" s="4" t="n"/>
    </row>
    <row r="32" ht="36" customHeight="1">
      <c r="A32" s="4" t="n"/>
      <c r="B32" s="18" t="n">
        <v>5</v>
      </c>
      <c r="C32" s="13" t="inlineStr">
        <is>
          <t>Personaliza: inserta tu logotipo en el recuadro punteado de la esquina superior derecha (Insertar &gt; Imágenes) y captura los datos de tu empresa en las celdas de captura.</t>
        </is>
      </c>
      <c r="G32" s="4" t="n"/>
    </row>
    <row r="33">
      <c r="A33" s="4" t="n"/>
      <c r="B33" s="4" t="n"/>
      <c r="C33" s="4" t="n"/>
      <c r="D33" s="4" t="n"/>
      <c r="E33" s="4" t="n"/>
      <c r="F33" s="4" t="n"/>
      <c r="G33" s="4" t="n"/>
    </row>
    <row r="34" ht="24" customHeight="1">
      <c r="A34" s="4" t="n"/>
      <c r="B34" s="9" t="inlineStr">
        <is>
          <t>RECOMENDACIONES DE USO</t>
        </is>
      </c>
      <c r="C34" s="10" t="n"/>
      <c r="D34" s="10" t="n"/>
      <c r="E34" s="10" t="n"/>
      <c r="F34" s="10" t="n"/>
      <c r="G34" s="4" t="n"/>
    </row>
    <row r="35" ht="21" customHeight="1">
      <c r="A35" s="4" t="n"/>
      <c r="B35" s="19" t="inlineStr">
        <is>
          <t>✓</t>
        </is>
      </c>
      <c r="C35" s="13" t="inlineStr">
        <is>
          <t>Define un stock mínimo por producto basado en el consumo y el tiempo de entrega del proveedor.</t>
        </is>
      </c>
      <c r="G35" s="4" t="n"/>
    </row>
    <row r="36" ht="21" customHeight="1">
      <c r="A36" s="4" t="n"/>
      <c r="B36" s="19" t="inlineStr">
        <is>
          <t>✓</t>
        </is>
      </c>
      <c r="C36" s="13" t="inlineStr">
        <is>
          <t>Haz conteos cíclicos (ABC): los productos de mayor valor se cuentan con más frecuencia.</t>
        </is>
      </c>
      <c r="G36" s="4" t="n"/>
    </row>
    <row r="37" ht="21" customHeight="1">
      <c r="A37" s="4" t="n"/>
      <c r="B37" s="19" t="inlineStr">
        <is>
          <t>✓</t>
        </is>
      </c>
      <c r="C37" s="13" t="inlineStr">
        <is>
          <t>Registra entradas y salidas con documento de respaldo.</t>
        </is>
      </c>
      <c r="G37" s="4" t="n"/>
    </row>
    <row r="38" ht="21" customHeight="1">
      <c r="A38" s="4" t="n"/>
      <c r="B38" s="19" t="inlineStr">
        <is>
          <t>✓</t>
        </is>
      </c>
      <c r="C38" s="13" t="inlineStr">
        <is>
          <t>Revisa semanalmente los productos en REABASTECER y SIN STOCK.</t>
        </is>
      </c>
      <c r="G38" s="4" t="n"/>
    </row>
    <row r="39">
      <c r="A39" s="4" t="n"/>
      <c r="B39" s="4" t="n"/>
      <c r="C39" s="4" t="n"/>
      <c r="D39" s="4" t="n"/>
      <c r="E39" s="4" t="n"/>
      <c r="F39" s="4" t="n"/>
      <c r="G39" s="4" t="n"/>
    </row>
    <row r="40" ht="24" customHeight="1">
      <c r="A40" s="4" t="n"/>
      <c r="B40" s="9" t="inlineStr">
        <is>
          <t>LEYENDA DE COLORES</t>
        </is>
      </c>
      <c r="C40" s="10" t="n"/>
      <c r="D40" s="10" t="n"/>
      <c r="E40" s="10" t="n"/>
      <c r="F40" s="10" t="n"/>
      <c r="G40" s="4" t="n"/>
    </row>
    <row r="41">
      <c r="A41" s="4" t="n"/>
      <c r="B41" s="20" t="inlineStr"/>
      <c r="C41" s="21" t="inlineStr">
        <is>
          <t>CELDA DE CAPTURA: escribe aquí.</t>
        </is>
      </c>
      <c r="D41" s="4" t="n"/>
      <c r="E41" s="4" t="n"/>
      <c r="F41" s="4" t="n"/>
      <c r="G41" s="4" t="n"/>
    </row>
    <row r="42">
      <c r="A42" s="4" t="n"/>
      <c r="B42" s="22" t="inlineStr"/>
      <c r="C42" s="21" t="inlineStr">
        <is>
          <t>CÁLCULO AUTOMÁTICO: no la modifiques.</t>
        </is>
      </c>
      <c r="D42" s="4" t="n"/>
      <c r="E42" s="4" t="n"/>
      <c r="F42" s="4" t="n"/>
      <c r="G42" s="4" t="n"/>
    </row>
    <row r="43">
      <c r="A43" s="4" t="n"/>
      <c r="B43" s="23" t="inlineStr"/>
      <c r="C43" s="21" t="inlineStr">
        <is>
          <t>ENCABEZADOS Y TÍTULOS.</t>
        </is>
      </c>
      <c r="D43" s="4" t="n"/>
      <c r="E43" s="4" t="n"/>
      <c r="F43" s="4" t="n"/>
      <c r="G43" s="4" t="n"/>
    </row>
    <row r="44">
      <c r="A44" s="4" t="n"/>
      <c r="B44" s="24" t="inlineStr"/>
      <c r="C44" s="21" t="inlineStr">
        <is>
          <t>* CAMPO OBLIGATORIO: complétalo antes de imprimir o enviar.</t>
        </is>
      </c>
      <c r="D44" s="4" t="n"/>
      <c r="E44" s="4" t="n"/>
      <c r="F44" s="4" t="n"/>
      <c r="G44" s="4" t="n"/>
    </row>
    <row r="45">
      <c r="A45" s="4" t="n"/>
      <c r="B45" s="4" t="n"/>
      <c r="C45" s="4" t="n"/>
      <c r="D45" s="4" t="n"/>
      <c r="E45" s="4" t="n"/>
      <c r="F45" s="4" t="n"/>
      <c r="G45" s="4" t="n"/>
    </row>
    <row r="46" ht="26" customHeight="1">
      <c r="A46" s="1" t="n"/>
      <c r="B46" s="25" t="inlineStr">
        <is>
          <t>Formatos administrativos  ·  Para uso interno de tu empresa</t>
        </is>
      </c>
      <c r="G46" s="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1">
    <mergeCell ref="C38:F38"/>
    <mergeCell ref="D17:F17"/>
    <mergeCell ref="B46:F46"/>
    <mergeCell ref="C32:F32"/>
    <mergeCell ref="C37:F37"/>
    <mergeCell ref="D16:F16"/>
    <mergeCell ref="C28:F28"/>
    <mergeCell ref="D18:F18"/>
    <mergeCell ref="C30:F30"/>
    <mergeCell ref="D25:F25"/>
    <mergeCell ref="B4:F5"/>
    <mergeCell ref="D24:F24"/>
    <mergeCell ref="D23:F23"/>
    <mergeCell ref="C35:F35"/>
    <mergeCell ref="E2:F2"/>
    <mergeCell ref="C29:F29"/>
    <mergeCell ref="C31:F31"/>
    <mergeCell ref="B6:F6"/>
    <mergeCell ref="D22:F22"/>
    <mergeCell ref="D21:F21"/>
    <mergeCell ref="C36:F36"/>
  </mergeCells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</hyperlinks>
  <printOptions horizontalCentered="1"/>
  <pageMargins left="0.75" right="0.75" top="1" bottom="1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>
    <tabColor rgb="000B2A4A"/>
    <outlinePr summaryBelow="1" summaryRight="1"/>
    <pageSetUpPr fitToPage="1"/>
  </sheetPr>
  <dimension ref="A1:M307"/>
  <sheetViews>
    <sheetView showGridLines="0"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.35" customWidth="1" min="1" max="1"/>
    <col width="14" customWidth="1" min="2" max="2"/>
    <col width="32" customWidth="1" min="3" max="3"/>
    <col width="16" customWidth="1" min="4" max="4"/>
    <col width="10" customWidth="1" min="5" max="5"/>
    <col width="12" customWidth="1" min="6" max="6"/>
    <col width="12" customWidth="1" min="7" max="7"/>
    <col width="12" customWidth="1" min="8" max="8"/>
    <col width="14" customWidth="1" min="9" max="9"/>
    <col width="16" customWidth="1" min="10" max="10"/>
    <col width="18" customWidth="1" min="11" max="11"/>
    <col width="12" customWidth="1" min="12" max="12"/>
    <col width="20" customWidth="1" min="13" max="13"/>
  </cols>
  <sheetData>
    <row r="1" ht="44" customHeight="1">
      <c r="A1" s="26" t="inlineStr">
        <is>
          <t>CONTROL DE INVENTARIO</t>
        </is>
      </c>
      <c r="K1" s="66" t="inlineStr">
        <is>
          <t>INSERTE SU LOGO
(clic derecho &gt; Insertar imagen)</t>
        </is>
      </c>
      <c r="L1" s="4" t="n"/>
      <c r="M1" s="4" t="n"/>
    </row>
    <row r="2" ht="26" customHeight="1">
      <c r="A2" s="67" t="inlineStr">
        <is>
          <t>Existencias, valuación y alertas de reabasto</t>
        </is>
      </c>
      <c r="B2" s="68" t="n"/>
      <c r="C2" s="68" t="n"/>
      <c r="D2" s="68" t="n"/>
      <c r="E2" s="68" t="n"/>
      <c r="F2" s="68" t="n"/>
      <c r="G2" s="68" t="n"/>
      <c r="H2" s="68" t="n"/>
      <c r="I2" s="68" t="n"/>
      <c r="J2" s="68" t="n"/>
      <c r="K2" s="69" t="n"/>
      <c r="L2" s="4" t="n"/>
      <c r="M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</row>
    <row r="4">
      <c r="A4" s="31" t="inlineStr">
        <is>
          <t>ALMACÉN *</t>
        </is>
      </c>
      <c r="B4" s="20" t="inlineStr">
        <is>
          <t>ALMACÉN CENTRAL</t>
        </is>
      </c>
      <c r="C4" s="70" t="n"/>
      <c r="D4" s="71" t="n"/>
      <c r="E4" s="4" t="n"/>
      <c r="F4" s="31" t="inlineStr">
        <is>
          <t>FECHA *</t>
        </is>
      </c>
      <c r="G4" s="32" t="n">
        <v>46302</v>
      </c>
      <c r="H4" s="71" t="n"/>
      <c r="I4" s="4" t="n"/>
      <c r="J4" s="4" t="n"/>
      <c r="K4" s="4" t="n"/>
      <c r="L4" s="4" t="n"/>
      <c r="M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 ht="36" customHeight="1">
      <c r="A6" s="33" t="inlineStr">
        <is>
          <t>NO.</t>
        </is>
      </c>
      <c r="B6" s="33" t="inlineStr">
        <is>
          <t>CÓDIGO / SKU</t>
        </is>
      </c>
      <c r="C6" s="33" t="inlineStr">
        <is>
          <t>DESCRIPCIÓN</t>
        </is>
      </c>
      <c r="D6" s="33" t="inlineStr">
        <is>
          <t>CATEGORÍA</t>
        </is>
      </c>
      <c r="E6" s="33" t="inlineStr">
        <is>
          <t>UNIDAD</t>
        </is>
      </c>
      <c r="F6" s="33" t="inlineStr">
        <is>
          <t>INV. INICIAL</t>
        </is>
      </c>
      <c r="G6" s="33" t="inlineStr">
        <is>
          <t>ENTRADAS</t>
        </is>
      </c>
      <c r="H6" s="33" t="inlineStr">
        <is>
          <t>SALIDAS</t>
        </is>
      </c>
      <c r="I6" s="33" t="inlineStr">
        <is>
          <t>EXISTENCIA</t>
        </is>
      </c>
      <c r="J6" s="33" t="inlineStr">
        <is>
          <t>COSTO UNITARIO</t>
        </is>
      </c>
      <c r="K6" s="33" t="inlineStr">
        <is>
          <t>VALOR INVENTARIO</t>
        </is>
      </c>
      <c r="L6" s="33" t="inlineStr">
        <is>
          <t>STOCK MÍNIMO</t>
        </is>
      </c>
      <c r="M6" s="33" t="inlineStr">
        <is>
          <t>ESTATUS</t>
        </is>
      </c>
    </row>
    <row r="7" ht="20" customHeight="1">
      <c r="A7" s="34" t="n">
        <v>1</v>
      </c>
      <c r="B7" s="35" t="inlineStr">
        <is>
          <t>P-001</t>
        </is>
      </c>
      <c r="C7" s="35" t="inlineStr">
        <is>
          <t>PAPEL BOND CARTA (CAJA 5000)</t>
        </is>
      </c>
      <c r="D7" s="35" t="inlineStr">
        <is>
          <t>PAPELERÍA</t>
        </is>
      </c>
      <c r="E7" s="35" t="inlineStr">
        <is>
          <t>CAJA</t>
        </is>
      </c>
      <c r="F7" s="36" t="n">
        <v>40</v>
      </c>
      <c r="G7" s="36" t="n">
        <v>60</v>
      </c>
      <c r="H7" s="36" t="n">
        <v>72</v>
      </c>
      <c r="I7" s="37">
        <f>IF(B7="","",F7+G7-H7)</f>
        <v/>
      </c>
      <c r="J7" s="38" t="n">
        <v>780</v>
      </c>
      <c r="K7" s="39">
        <f>IF(B7="","",I7*J7)</f>
        <v/>
      </c>
      <c r="L7" s="36" t="n">
        <v>15</v>
      </c>
      <c r="M7" s="40">
        <f>IF(B7="","",IF(I7&lt;=0,"SIN STOCK",IF(I7&lt;=L7,"REABASTECER","OK")))</f>
        <v/>
      </c>
    </row>
    <row r="8" ht="20" customHeight="1">
      <c r="A8" s="34" t="n">
        <v>2</v>
      </c>
      <c r="B8" s="35" t="inlineStr">
        <is>
          <t>P-002</t>
        </is>
      </c>
      <c r="C8" s="35" t="inlineStr">
        <is>
          <t>TÓNER NEGRO HP 85A</t>
        </is>
      </c>
      <c r="D8" s="35" t="inlineStr">
        <is>
          <t>CONSUMIBLES</t>
        </is>
      </c>
      <c r="E8" s="35" t="inlineStr">
        <is>
          <t>PIEZA</t>
        </is>
      </c>
      <c r="F8" s="36" t="n">
        <v>25</v>
      </c>
      <c r="G8" s="36" t="n">
        <v>10</v>
      </c>
      <c r="H8" s="36" t="n">
        <v>31</v>
      </c>
      <c r="I8" s="37">
        <f>IF(B8="","",F8+G8-H8)</f>
        <v/>
      </c>
      <c r="J8" s="38" t="n">
        <v>920</v>
      </c>
      <c r="K8" s="39">
        <f>IF(B8="","",I8*J8)</f>
        <v/>
      </c>
      <c r="L8" s="36" t="n">
        <v>8</v>
      </c>
      <c r="M8" s="40">
        <f>IF(B8="","",IF(I8&lt;=0,"SIN STOCK",IF(I8&lt;=L8,"REABASTECER","OK")))</f>
        <v/>
      </c>
    </row>
    <row r="9" ht="20" customHeight="1">
      <c r="A9" s="34" t="n">
        <v>3</v>
      </c>
      <c r="B9" s="35" t="inlineStr">
        <is>
          <t>P-003</t>
        </is>
      </c>
      <c r="C9" s="35" t="inlineStr">
        <is>
          <t>FOLDER MANILA CARTA (100)</t>
        </is>
      </c>
      <c r="D9" s="35" t="inlineStr">
        <is>
          <t>PAPELERÍA</t>
        </is>
      </c>
      <c r="E9" s="35" t="inlineStr">
        <is>
          <t>PAQUETE</t>
        </is>
      </c>
      <c r="F9" s="36" t="n">
        <v>60</v>
      </c>
      <c r="G9" s="36" t="n">
        <v>0</v>
      </c>
      <c r="H9" s="36" t="n">
        <v>22</v>
      </c>
      <c r="I9" s="37">
        <f>IF(B9="","",F9+G9-H9)</f>
        <v/>
      </c>
      <c r="J9" s="38" t="n">
        <v>145</v>
      </c>
      <c r="K9" s="39">
        <f>IF(B9="","",I9*J9)</f>
        <v/>
      </c>
      <c r="L9" s="36" t="n">
        <v>20</v>
      </c>
      <c r="M9" s="40">
        <f>IF(B9="","",IF(I9&lt;=0,"SIN STOCK",IF(I9&lt;=L9,"REABASTECER","OK")))</f>
        <v/>
      </c>
    </row>
    <row r="10" ht="20" customHeight="1">
      <c r="A10" s="34" t="n">
        <v>4</v>
      </c>
      <c r="B10" s="35" t="inlineStr">
        <is>
          <t>P-004</t>
        </is>
      </c>
      <c r="C10" s="35" t="inlineStr">
        <is>
          <t>PLUMA AZUL (CAJA 12)</t>
        </is>
      </c>
      <c r="D10" s="35" t="inlineStr">
        <is>
          <t>PAPELERÍA</t>
        </is>
      </c>
      <c r="E10" s="35" t="inlineStr">
        <is>
          <t>CAJA</t>
        </is>
      </c>
      <c r="F10" s="36" t="n">
        <v>30</v>
      </c>
      <c r="G10" s="36" t="n">
        <v>20</v>
      </c>
      <c r="H10" s="36" t="n">
        <v>38</v>
      </c>
      <c r="I10" s="37">
        <f>IF(B10="","",F10+G10-H10)</f>
        <v/>
      </c>
      <c r="J10" s="38" t="n">
        <v>96</v>
      </c>
      <c r="K10" s="39">
        <f>IF(B10="","",I10*J10)</f>
        <v/>
      </c>
      <c r="L10" s="36" t="n">
        <v>10</v>
      </c>
      <c r="M10" s="40">
        <f>IF(B10="","",IF(I10&lt;=0,"SIN STOCK",IF(I10&lt;=L10,"REABASTECER","OK")))</f>
        <v/>
      </c>
    </row>
    <row r="11" ht="20" customHeight="1">
      <c r="A11" s="34" t="n">
        <v>5</v>
      </c>
      <c r="B11" s="35" t="inlineStr">
        <is>
          <t>P-005</t>
        </is>
      </c>
      <c r="C11" s="35" t="inlineStr">
        <is>
          <t>CUADERNO PROFESIONAL</t>
        </is>
      </c>
      <c r="D11" s="35" t="inlineStr">
        <is>
          <t>PAPELERÍA</t>
        </is>
      </c>
      <c r="E11" s="35" t="inlineStr">
        <is>
          <t>PIEZA</t>
        </is>
      </c>
      <c r="F11" s="36" t="n">
        <v>120</v>
      </c>
      <c r="G11" s="36" t="n">
        <v>80</v>
      </c>
      <c r="H11" s="36" t="n">
        <v>150</v>
      </c>
      <c r="I11" s="37">
        <f>IF(B11="","",F11+G11-H11)</f>
        <v/>
      </c>
      <c r="J11" s="38" t="n">
        <v>28</v>
      </c>
      <c r="K11" s="39">
        <f>IF(B11="","",I11*J11)</f>
        <v/>
      </c>
      <c r="L11" s="36" t="n">
        <v>40</v>
      </c>
      <c r="M11" s="40">
        <f>IF(B11="","",IF(I11&lt;=0,"SIN STOCK",IF(I11&lt;=L11,"REABASTECER","OK")))</f>
        <v/>
      </c>
    </row>
    <row r="12" ht="20" customHeight="1">
      <c r="A12" s="34" t="n">
        <v>6</v>
      </c>
      <c r="B12" s="35" t="inlineStr">
        <is>
          <t>P-006</t>
        </is>
      </c>
      <c r="C12" s="35" t="inlineStr">
        <is>
          <t>ENGRAPADORA METÁLICA</t>
        </is>
      </c>
      <c r="D12" s="35" t="inlineStr">
        <is>
          <t>EQUIPO</t>
        </is>
      </c>
      <c r="E12" s="35" t="inlineStr">
        <is>
          <t>PIEZA</t>
        </is>
      </c>
      <c r="F12" s="36" t="n">
        <v>12</v>
      </c>
      <c r="G12" s="36" t="n">
        <v>0</v>
      </c>
      <c r="H12" s="36" t="n">
        <v>4</v>
      </c>
      <c r="I12" s="37">
        <f>IF(B12="","",F12+G12-H12)</f>
        <v/>
      </c>
      <c r="J12" s="38" t="n">
        <v>185</v>
      </c>
      <c r="K12" s="39">
        <f>IF(B12="","",I12*J12)</f>
        <v/>
      </c>
      <c r="L12" s="36" t="n">
        <v>6</v>
      </c>
      <c r="M12" s="40">
        <f>IF(B12="","",IF(I12&lt;=0,"SIN STOCK",IF(I12&lt;=L12,"REABASTECER","OK")))</f>
        <v/>
      </c>
    </row>
    <row r="13" ht="20" customHeight="1">
      <c r="A13" s="34" t="n">
        <v>7</v>
      </c>
      <c r="B13" s="35" t="inlineStr">
        <is>
          <t>P-007</t>
        </is>
      </c>
      <c r="C13" s="35" t="inlineStr">
        <is>
          <t>CINTA ADHESIVA TRANSPARENTE</t>
        </is>
      </c>
      <c r="D13" s="35" t="inlineStr">
        <is>
          <t>CONSUMIBLES</t>
        </is>
      </c>
      <c r="E13" s="35" t="inlineStr">
        <is>
          <t>ROLLO</t>
        </is>
      </c>
      <c r="F13" s="36" t="n">
        <v>90</v>
      </c>
      <c r="G13" s="36" t="n">
        <v>40</v>
      </c>
      <c r="H13" s="36" t="n">
        <v>110</v>
      </c>
      <c r="I13" s="37">
        <f>IF(B13="","",F13+G13-H13)</f>
        <v/>
      </c>
      <c r="J13" s="38" t="n">
        <v>18</v>
      </c>
      <c r="K13" s="39">
        <f>IF(B13="","",I13*J13)</f>
        <v/>
      </c>
      <c r="L13" s="36" t="n">
        <v>30</v>
      </c>
      <c r="M13" s="40">
        <f>IF(B13="","",IF(I13&lt;=0,"SIN STOCK",IF(I13&lt;=L13,"REABASTECER","OK")))</f>
        <v/>
      </c>
    </row>
    <row r="14" ht="20" customHeight="1">
      <c r="A14" s="34" t="n">
        <v>8</v>
      </c>
      <c r="B14" s="35" t="inlineStr">
        <is>
          <t>P-008</t>
        </is>
      </c>
      <c r="C14" s="35" t="inlineStr">
        <is>
          <t>MARCADOR PERMANENTE</t>
        </is>
      </c>
      <c r="D14" s="35" t="inlineStr">
        <is>
          <t>PAPELERÍA</t>
        </is>
      </c>
      <c r="E14" s="35" t="inlineStr">
        <is>
          <t>PIEZA</t>
        </is>
      </c>
      <c r="F14" s="36" t="n">
        <v>50</v>
      </c>
      <c r="G14" s="36" t="n">
        <v>25</v>
      </c>
      <c r="H14" s="36" t="n">
        <v>70</v>
      </c>
      <c r="I14" s="37">
        <f>IF(B14="","",F14+G14-H14)</f>
        <v/>
      </c>
      <c r="J14" s="38" t="n">
        <v>22</v>
      </c>
      <c r="K14" s="39">
        <f>IF(B14="","",I14*J14)</f>
        <v/>
      </c>
      <c r="L14" s="36" t="n">
        <v>25</v>
      </c>
      <c r="M14" s="40">
        <f>IF(B14="","",IF(I14&lt;=0,"SIN STOCK",IF(I14&lt;=L14,"REABASTECER","OK")))</f>
        <v/>
      </c>
    </row>
    <row r="15" ht="20" customHeight="1">
      <c r="A15" s="34" t="n">
        <v>9</v>
      </c>
      <c r="B15" s="35" t="inlineStr">
        <is>
          <t>P-009</t>
        </is>
      </c>
      <c r="C15" s="35" t="inlineStr">
        <is>
          <t>TINTA EPSON 664 NEGRO</t>
        </is>
      </c>
      <c r="D15" s="35" t="inlineStr">
        <is>
          <t>CONSUMIBLES</t>
        </is>
      </c>
      <c r="E15" s="35" t="inlineStr">
        <is>
          <t>PIEZA</t>
        </is>
      </c>
      <c r="F15" s="36" t="n">
        <v>18</v>
      </c>
      <c r="G15" s="36" t="n">
        <v>0</v>
      </c>
      <c r="H15" s="36" t="n">
        <v>18</v>
      </c>
      <c r="I15" s="37">
        <f>IF(B15="","",F15+G15-H15)</f>
        <v/>
      </c>
      <c r="J15" s="38" t="n">
        <v>210</v>
      </c>
      <c r="K15" s="39">
        <f>IF(B15="","",I15*J15)</f>
        <v/>
      </c>
      <c r="L15" s="36" t="n">
        <v>6</v>
      </c>
      <c r="M15" s="40">
        <f>IF(B15="","",IF(I15&lt;=0,"SIN STOCK",IF(I15&lt;=L15,"REABASTECER","OK")))</f>
        <v/>
      </c>
    </row>
    <row r="16" ht="20" customHeight="1">
      <c r="A16" s="34" t="n">
        <v>10</v>
      </c>
      <c r="B16" s="35" t="inlineStr">
        <is>
          <t>P-010</t>
        </is>
      </c>
      <c r="C16" s="35" t="inlineStr">
        <is>
          <t>SILLA ERGONÓMICA</t>
        </is>
      </c>
      <c r="D16" s="35" t="inlineStr">
        <is>
          <t>MOBILIARIO</t>
        </is>
      </c>
      <c r="E16" s="35" t="inlineStr">
        <is>
          <t>PIEZA</t>
        </is>
      </c>
      <c r="F16" s="36" t="n">
        <v>14</v>
      </c>
      <c r="G16" s="36" t="n">
        <v>6</v>
      </c>
      <c r="H16" s="36" t="n">
        <v>9</v>
      </c>
      <c r="I16" s="37">
        <f>IF(B16="","",F16+G16-H16)</f>
        <v/>
      </c>
      <c r="J16" s="38" t="n">
        <v>2450</v>
      </c>
      <c r="K16" s="39">
        <f>IF(B16="","",I16*J16)</f>
        <v/>
      </c>
      <c r="L16" s="36" t="n">
        <v>4</v>
      </c>
      <c r="M16" s="40">
        <f>IF(B16="","",IF(I16&lt;=0,"SIN STOCK",IF(I16&lt;=L16,"REABASTECER","OK")))</f>
        <v/>
      </c>
    </row>
    <row r="17" ht="20" customHeight="1">
      <c r="A17" s="34" t="n">
        <v>11</v>
      </c>
      <c r="B17" s="35" t="inlineStr">
        <is>
          <t>P-011</t>
        </is>
      </c>
      <c r="C17" s="35" t="inlineStr">
        <is>
          <t>ESCRITORIO EJECUTIVO</t>
        </is>
      </c>
      <c r="D17" s="35" t="inlineStr">
        <is>
          <t>MOBILIARIO</t>
        </is>
      </c>
      <c r="E17" s="35" t="inlineStr">
        <is>
          <t>PIEZA</t>
        </is>
      </c>
      <c r="F17" s="36" t="n">
        <v>8</v>
      </c>
      <c r="G17" s="36" t="n">
        <v>2</v>
      </c>
      <c r="H17" s="36" t="n">
        <v>7</v>
      </c>
      <c r="I17" s="37">
        <f>IF(B17="","",F17+G17-H17)</f>
        <v/>
      </c>
      <c r="J17" s="38" t="n">
        <v>4890</v>
      </c>
      <c r="K17" s="39">
        <f>IF(B17="","",I17*J17)</f>
        <v/>
      </c>
      <c r="L17" s="36" t="n">
        <v>3</v>
      </c>
      <c r="M17" s="40">
        <f>IF(B17="","",IF(I17&lt;=0,"SIN STOCK",IF(I17&lt;=L17,"REABASTECER","OK")))</f>
        <v/>
      </c>
    </row>
    <row r="18" ht="20" customHeight="1">
      <c r="A18" s="34" t="n">
        <v>12</v>
      </c>
      <c r="B18" s="35" t="inlineStr">
        <is>
          <t>P-012</t>
        </is>
      </c>
      <c r="C18" s="35" t="inlineStr">
        <is>
          <t>CLIPS ESTÁNDAR (CAJA)</t>
        </is>
      </c>
      <c r="D18" s="35" t="inlineStr">
        <is>
          <t>PAPELERÍA</t>
        </is>
      </c>
      <c r="E18" s="35" t="inlineStr">
        <is>
          <t>CAJA</t>
        </is>
      </c>
      <c r="F18" s="36" t="n">
        <v>200</v>
      </c>
      <c r="G18" s="36" t="n">
        <v>100</v>
      </c>
      <c r="H18" s="36" t="n">
        <v>140</v>
      </c>
      <c r="I18" s="37">
        <f>IF(B18="","",F18+G18-H18)</f>
        <v/>
      </c>
      <c r="J18" s="38" t="n">
        <v>14</v>
      </c>
      <c r="K18" s="39">
        <f>IF(B18="","",I18*J18)</f>
        <v/>
      </c>
      <c r="L18" s="36" t="n">
        <v>50</v>
      </c>
      <c r="M18" s="40">
        <f>IF(B18="","",IF(I18&lt;=0,"SIN STOCK",IF(I18&lt;=L18,"REABASTECER","OK")))</f>
        <v/>
      </c>
    </row>
    <row r="19" ht="20" customHeight="1">
      <c r="A19" s="34" t="n">
        <v>13</v>
      </c>
      <c r="B19" s="35" t="inlineStr">
        <is>
          <t>P-013</t>
        </is>
      </c>
      <c r="C19" s="35" t="inlineStr">
        <is>
          <t>CALCULADORA CIENTÍFICA</t>
        </is>
      </c>
      <c r="D19" s="35" t="inlineStr">
        <is>
          <t>EQUIPO</t>
        </is>
      </c>
      <c r="E19" s="35" t="inlineStr">
        <is>
          <t>PIEZA</t>
        </is>
      </c>
      <c r="F19" s="36" t="n">
        <v>20</v>
      </c>
      <c r="G19" s="36" t="n">
        <v>10</v>
      </c>
      <c r="H19" s="36" t="n">
        <v>18</v>
      </c>
      <c r="I19" s="37">
        <f>IF(B19="","",F19+G19-H19)</f>
        <v/>
      </c>
      <c r="J19" s="38" t="n">
        <v>320</v>
      </c>
      <c r="K19" s="39">
        <f>IF(B19="","",I19*J19)</f>
        <v/>
      </c>
      <c r="L19" s="36" t="n">
        <v>6</v>
      </c>
      <c r="M19" s="40">
        <f>IF(B19="","",IF(I19&lt;=0,"SIN STOCK",IF(I19&lt;=L19,"REABASTECER","OK")))</f>
        <v/>
      </c>
    </row>
    <row r="20" ht="20" customHeight="1">
      <c r="A20" s="34" t="n">
        <v>14</v>
      </c>
      <c r="B20" s="35" t="inlineStr">
        <is>
          <t>P-014</t>
        </is>
      </c>
      <c r="C20" s="35" t="inlineStr">
        <is>
          <t>ARCHIVERO METÁLICO 4 GAVETAS</t>
        </is>
      </c>
      <c r="D20" s="35" t="inlineStr">
        <is>
          <t>MOBILIARIO</t>
        </is>
      </c>
      <c r="E20" s="35" t="inlineStr">
        <is>
          <t>PIEZA</t>
        </is>
      </c>
      <c r="F20" s="36" t="n">
        <v>6</v>
      </c>
      <c r="G20" s="36" t="n">
        <v>0</v>
      </c>
      <c r="H20" s="36" t="n">
        <v>5</v>
      </c>
      <c r="I20" s="37">
        <f>IF(B20="","",F20+G20-H20)</f>
        <v/>
      </c>
      <c r="J20" s="38" t="n">
        <v>3290</v>
      </c>
      <c r="K20" s="39">
        <f>IF(B20="","",I20*J20)</f>
        <v/>
      </c>
      <c r="L20" s="36" t="n">
        <v>2</v>
      </c>
      <c r="M20" s="40">
        <f>IF(B20="","",IF(I20&lt;=0,"SIN STOCK",IF(I20&lt;=L20,"REABASTECER","OK")))</f>
        <v/>
      </c>
    </row>
    <row r="21" ht="20" customHeight="1">
      <c r="A21" s="34" t="n">
        <v>15</v>
      </c>
      <c r="B21" s="35" t="inlineStr">
        <is>
          <t>P-015</t>
        </is>
      </c>
      <c r="C21" s="35" t="inlineStr">
        <is>
          <t>ETIQUETAS ADHESIVAS (CAJA)</t>
        </is>
      </c>
      <c r="D21" s="35" t="inlineStr">
        <is>
          <t>PAPELERÍA</t>
        </is>
      </c>
      <c r="E21" s="35" t="inlineStr">
        <is>
          <t>CAJA</t>
        </is>
      </c>
      <c r="F21" s="36" t="n">
        <v>60</v>
      </c>
      <c r="G21" s="36" t="n">
        <v>30</v>
      </c>
      <c r="H21" s="36" t="n">
        <v>70</v>
      </c>
      <c r="I21" s="37">
        <f>IF(B21="","",F21+G21-H21)</f>
        <v/>
      </c>
      <c r="J21" s="38" t="n">
        <v>54</v>
      </c>
      <c r="K21" s="39">
        <f>IF(B21="","",I21*J21)</f>
        <v/>
      </c>
      <c r="L21" s="36" t="n">
        <v>20</v>
      </c>
      <c r="M21" s="40">
        <f>IF(B21="","",IF(I21&lt;=0,"SIN STOCK",IF(I21&lt;=L21,"REABASTECER","OK")))</f>
        <v/>
      </c>
    </row>
    <row r="22" ht="20" customHeight="1">
      <c r="A22" s="34" t="n">
        <v>16</v>
      </c>
      <c r="B22" s="35" t="inlineStr">
        <is>
          <t>P-016</t>
        </is>
      </c>
      <c r="C22" s="35" t="inlineStr">
        <is>
          <t>SOBRE MANILA CARTA (100)</t>
        </is>
      </c>
      <c r="D22" s="35" t="inlineStr">
        <is>
          <t>PAPELERÍA</t>
        </is>
      </c>
      <c r="E22" s="35" t="inlineStr">
        <is>
          <t>PAQUETE</t>
        </is>
      </c>
      <c r="F22" s="36" t="n">
        <v>45</v>
      </c>
      <c r="G22" s="36" t="n">
        <v>0</v>
      </c>
      <c r="H22" s="36" t="n">
        <v>38</v>
      </c>
      <c r="I22" s="37">
        <f>IF(B22="","",F22+G22-H22)</f>
        <v/>
      </c>
      <c r="J22" s="38" t="n">
        <v>120</v>
      </c>
      <c r="K22" s="39">
        <f>IF(B22="","",I22*J22)</f>
        <v/>
      </c>
      <c r="L22" s="36" t="n">
        <v>12</v>
      </c>
      <c r="M22" s="40">
        <f>IF(B22="","",IF(I22&lt;=0,"SIN STOCK",IF(I22&lt;=L22,"REABASTECER","OK")))</f>
        <v/>
      </c>
    </row>
    <row r="23" ht="20" customHeight="1">
      <c r="A23" s="34" t="n">
        <v>17</v>
      </c>
      <c r="B23" s="35" t="inlineStr">
        <is>
          <t>P-017</t>
        </is>
      </c>
      <c r="C23" s="35" t="inlineStr">
        <is>
          <t>LÁMPARA DE ESCRITORIO LED</t>
        </is>
      </c>
      <c r="D23" s="35" t="inlineStr">
        <is>
          <t>EQUIPO</t>
        </is>
      </c>
      <c r="E23" s="35" t="inlineStr">
        <is>
          <t>PIEZA</t>
        </is>
      </c>
      <c r="F23" s="36" t="n">
        <v>15</v>
      </c>
      <c r="G23" s="36" t="n">
        <v>5</v>
      </c>
      <c r="H23" s="36" t="n">
        <v>12</v>
      </c>
      <c r="I23" s="37">
        <f>IF(B23="","",F23+G23-H23)</f>
        <v/>
      </c>
      <c r="J23" s="38" t="n">
        <v>410</v>
      </c>
      <c r="K23" s="39">
        <f>IF(B23="","",I23*J23)</f>
        <v/>
      </c>
      <c r="L23" s="36" t="n">
        <v>5</v>
      </c>
      <c r="M23" s="40">
        <f>IF(B23="","",IF(I23&lt;=0,"SIN STOCK",IF(I23&lt;=L23,"REABASTECER","OK")))</f>
        <v/>
      </c>
    </row>
    <row r="24" ht="20" customHeight="1">
      <c r="A24" s="34" t="n">
        <v>18</v>
      </c>
      <c r="B24" s="35" t="inlineStr">
        <is>
          <t>P-018</t>
        </is>
      </c>
      <c r="C24" s="35" t="inlineStr">
        <is>
          <t>PIZARRÓN BLANCO 90X120</t>
        </is>
      </c>
      <c r="D24" s="35" t="inlineStr">
        <is>
          <t>MOBILIARIO</t>
        </is>
      </c>
      <c r="E24" s="35" t="inlineStr">
        <is>
          <t>PIEZA</t>
        </is>
      </c>
      <c r="F24" s="36" t="n">
        <v>5</v>
      </c>
      <c r="G24" s="36" t="n">
        <v>0</v>
      </c>
      <c r="H24" s="36" t="n">
        <v>5</v>
      </c>
      <c r="I24" s="37">
        <f>IF(B24="","",F24+G24-H24)</f>
        <v/>
      </c>
      <c r="J24" s="38" t="n">
        <v>1480</v>
      </c>
      <c r="K24" s="39">
        <f>IF(B24="","",I24*J24)</f>
        <v/>
      </c>
      <c r="L24" s="36" t="n">
        <v>2</v>
      </c>
      <c r="M24" s="40">
        <f>IF(B24="","",IF(I24&lt;=0,"SIN STOCK",IF(I24&lt;=L24,"REABASTECER","OK")))</f>
        <v/>
      </c>
    </row>
    <row r="25" ht="20" customHeight="1">
      <c r="A25" s="34" t="n">
        <v>19</v>
      </c>
      <c r="B25" s="35" t="n"/>
      <c r="C25" s="35" t="n"/>
      <c r="D25" s="35" t="n"/>
      <c r="E25" s="35" t="n"/>
      <c r="F25" s="36" t="n"/>
      <c r="G25" s="36" t="n"/>
      <c r="H25" s="36" t="n"/>
      <c r="I25" s="37">
        <f>IF(B25="","",F25+G25-H25)</f>
        <v/>
      </c>
      <c r="J25" s="38" t="n"/>
      <c r="K25" s="39">
        <f>IF(B25="","",I25*J25)</f>
        <v/>
      </c>
      <c r="L25" s="36" t="n"/>
      <c r="M25" s="40">
        <f>IF(B25="","",IF(I25&lt;=0,"SIN STOCK",IF(I25&lt;=L25,"REABASTECER","OK")))</f>
        <v/>
      </c>
    </row>
    <row r="26" ht="20" customHeight="1">
      <c r="A26" s="34" t="n">
        <v>20</v>
      </c>
      <c r="B26" s="35" t="n"/>
      <c r="C26" s="35" t="n"/>
      <c r="D26" s="35" t="n"/>
      <c r="E26" s="35" t="n"/>
      <c r="F26" s="36" t="n"/>
      <c r="G26" s="36" t="n"/>
      <c r="H26" s="36" t="n"/>
      <c r="I26" s="37">
        <f>IF(B26="","",F26+G26-H26)</f>
        <v/>
      </c>
      <c r="J26" s="38" t="n"/>
      <c r="K26" s="39">
        <f>IF(B26="","",I26*J26)</f>
        <v/>
      </c>
      <c r="L26" s="36" t="n"/>
      <c r="M26" s="40">
        <f>IF(B26="","",IF(I26&lt;=0,"SIN STOCK",IF(I26&lt;=L26,"REABASTECER","OK")))</f>
        <v/>
      </c>
    </row>
    <row r="27" ht="20" customHeight="1">
      <c r="A27" s="34" t="n">
        <v>21</v>
      </c>
      <c r="B27" s="35" t="n"/>
      <c r="C27" s="35" t="n"/>
      <c r="D27" s="35" t="n"/>
      <c r="E27" s="35" t="n"/>
      <c r="F27" s="36" t="n"/>
      <c r="G27" s="36" t="n"/>
      <c r="H27" s="36" t="n"/>
      <c r="I27" s="37">
        <f>IF(B27="","",F27+G27-H27)</f>
        <v/>
      </c>
      <c r="J27" s="38" t="n"/>
      <c r="K27" s="39">
        <f>IF(B27="","",I27*J27)</f>
        <v/>
      </c>
      <c r="L27" s="36" t="n"/>
      <c r="M27" s="40">
        <f>IF(B27="","",IF(I27&lt;=0,"SIN STOCK",IF(I27&lt;=L27,"REABASTECER","OK")))</f>
        <v/>
      </c>
    </row>
    <row r="28" ht="20" customHeight="1">
      <c r="A28" s="34" t="n">
        <v>22</v>
      </c>
      <c r="B28" s="35" t="n"/>
      <c r="C28" s="35" t="n"/>
      <c r="D28" s="35" t="n"/>
      <c r="E28" s="35" t="n"/>
      <c r="F28" s="36" t="n"/>
      <c r="G28" s="36" t="n"/>
      <c r="H28" s="36" t="n"/>
      <c r="I28" s="37">
        <f>IF(B28="","",F28+G28-H28)</f>
        <v/>
      </c>
      <c r="J28" s="38" t="n"/>
      <c r="K28" s="39">
        <f>IF(B28="","",I28*J28)</f>
        <v/>
      </c>
      <c r="L28" s="36" t="n"/>
      <c r="M28" s="40">
        <f>IF(B28="","",IF(I28&lt;=0,"SIN STOCK",IF(I28&lt;=L28,"REABASTECER","OK")))</f>
        <v/>
      </c>
    </row>
    <row r="29" ht="20" customHeight="1">
      <c r="A29" s="34" t="n">
        <v>23</v>
      </c>
      <c r="B29" s="35" t="n"/>
      <c r="C29" s="35" t="n"/>
      <c r="D29" s="35" t="n"/>
      <c r="E29" s="35" t="n"/>
      <c r="F29" s="36" t="n"/>
      <c r="G29" s="36" t="n"/>
      <c r="H29" s="36" t="n"/>
      <c r="I29" s="37">
        <f>IF(B29="","",F29+G29-H29)</f>
        <v/>
      </c>
      <c r="J29" s="38" t="n"/>
      <c r="K29" s="39">
        <f>IF(B29="","",I29*J29)</f>
        <v/>
      </c>
      <c r="L29" s="36" t="n"/>
      <c r="M29" s="40">
        <f>IF(B29="","",IF(I29&lt;=0,"SIN STOCK",IF(I29&lt;=L29,"REABASTECER","OK")))</f>
        <v/>
      </c>
    </row>
    <row r="30" ht="20" customHeight="1">
      <c r="A30" s="34" t="n">
        <v>24</v>
      </c>
      <c r="B30" s="35" t="n"/>
      <c r="C30" s="35" t="n"/>
      <c r="D30" s="35" t="n"/>
      <c r="E30" s="35" t="n"/>
      <c r="F30" s="36" t="n"/>
      <c r="G30" s="36" t="n"/>
      <c r="H30" s="36" t="n"/>
      <c r="I30" s="37">
        <f>IF(B30="","",F30+G30-H30)</f>
        <v/>
      </c>
      <c r="J30" s="38" t="n"/>
      <c r="K30" s="39">
        <f>IF(B30="","",I30*J30)</f>
        <v/>
      </c>
      <c r="L30" s="36" t="n"/>
      <c r="M30" s="40">
        <f>IF(B30="","",IF(I30&lt;=0,"SIN STOCK",IF(I30&lt;=L30,"REABASTECER","OK")))</f>
        <v/>
      </c>
    </row>
    <row r="31" ht="20" customHeight="1">
      <c r="A31" s="34" t="n">
        <v>25</v>
      </c>
      <c r="B31" s="35" t="n"/>
      <c r="C31" s="35" t="n"/>
      <c r="D31" s="35" t="n"/>
      <c r="E31" s="35" t="n"/>
      <c r="F31" s="36" t="n"/>
      <c r="G31" s="36" t="n"/>
      <c r="H31" s="36" t="n"/>
      <c r="I31" s="37">
        <f>IF(B31="","",F31+G31-H31)</f>
        <v/>
      </c>
      <c r="J31" s="38" t="n"/>
      <c r="K31" s="39">
        <f>IF(B31="","",I31*J31)</f>
        <v/>
      </c>
      <c r="L31" s="36" t="n"/>
      <c r="M31" s="40">
        <f>IF(B31="","",IF(I31&lt;=0,"SIN STOCK",IF(I31&lt;=L31,"REABASTECER","OK")))</f>
        <v/>
      </c>
    </row>
    <row r="32" ht="20" customHeight="1">
      <c r="A32" s="34" t="n">
        <v>26</v>
      </c>
      <c r="B32" s="35" t="n"/>
      <c r="C32" s="35" t="n"/>
      <c r="D32" s="35" t="n"/>
      <c r="E32" s="35" t="n"/>
      <c r="F32" s="36" t="n"/>
      <c r="G32" s="36" t="n"/>
      <c r="H32" s="36" t="n"/>
      <c r="I32" s="37">
        <f>IF(B32="","",F32+G32-H32)</f>
        <v/>
      </c>
      <c r="J32" s="38" t="n"/>
      <c r="K32" s="39">
        <f>IF(B32="","",I32*J32)</f>
        <v/>
      </c>
      <c r="L32" s="36" t="n"/>
      <c r="M32" s="40">
        <f>IF(B32="","",IF(I32&lt;=0,"SIN STOCK",IF(I32&lt;=L32,"REABASTECER","OK")))</f>
        <v/>
      </c>
    </row>
    <row r="33" ht="20" customHeight="1">
      <c r="A33" s="34" t="n">
        <v>27</v>
      </c>
      <c r="B33" s="35" t="n"/>
      <c r="C33" s="35" t="n"/>
      <c r="D33" s="35" t="n"/>
      <c r="E33" s="35" t="n"/>
      <c r="F33" s="36" t="n"/>
      <c r="G33" s="36" t="n"/>
      <c r="H33" s="36" t="n"/>
      <c r="I33" s="37">
        <f>IF(B33="","",F33+G33-H33)</f>
        <v/>
      </c>
      <c r="J33" s="38" t="n"/>
      <c r="K33" s="39">
        <f>IF(B33="","",I33*J33)</f>
        <v/>
      </c>
      <c r="L33" s="36" t="n"/>
      <c r="M33" s="40">
        <f>IF(B33="","",IF(I33&lt;=0,"SIN STOCK",IF(I33&lt;=L33,"REABASTECER","OK")))</f>
        <v/>
      </c>
    </row>
    <row r="34" ht="20" customHeight="1">
      <c r="A34" s="34" t="n">
        <v>28</v>
      </c>
      <c r="B34" s="35" t="n"/>
      <c r="C34" s="35" t="n"/>
      <c r="D34" s="35" t="n"/>
      <c r="E34" s="35" t="n"/>
      <c r="F34" s="36" t="n"/>
      <c r="G34" s="36" t="n"/>
      <c r="H34" s="36" t="n"/>
      <c r="I34" s="37">
        <f>IF(B34="","",F34+G34-H34)</f>
        <v/>
      </c>
      <c r="J34" s="38" t="n"/>
      <c r="K34" s="39">
        <f>IF(B34="","",I34*J34)</f>
        <v/>
      </c>
      <c r="L34" s="36" t="n"/>
      <c r="M34" s="40">
        <f>IF(B34="","",IF(I34&lt;=0,"SIN STOCK",IF(I34&lt;=L34,"REABASTECER","OK")))</f>
        <v/>
      </c>
    </row>
    <row r="35" ht="20" customHeight="1">
      <c r="A35" s="34" t="n">
        <v>29</v>
      </c>
      <c r="B35" s="35" t="n"/>
      <c r="C35" s="35" t="n"/>
      <c r="D35" s="35" t="n"/>
      <c r="E35" s="35" t="n"/>
      <c r="F35" s="36" t="n"/>
      <c r="G35" s="36" t="n"/>
      <c r="H35" s="36" t="n"/>
      <c r="I35" s="37">
        <f>IF(B35="","",F35+G35-H35)</f>
        <v/>
      </c>
      <c r="J35" s="38" t="n"/>
      <c r="K35" s="39">
        <f>IF(B35="","",I35*J35)</f>
        <v/>
      </c>
      <c r="L35" s="36" t="n"/>
      <c r="M35" s="40">
        <f>IF(B35="","",IF(I35&lt;=0,"SIN STOCK",IF(I35&lt;=L35,"REABASTECER","OK")))</f>
        <v/>
      </c>
    </row>
    <row r="36" ht="20" customHeight="1">
      <c r="A36" s="34" t="n">
        <v>30</v>
      </c>
      <c r="B36" s="35" t="n"/>
      <c r="C36" s="35" t="n"/>
      <c r="D36" s="35" t="n"/>
      <c r="E36" s="35" t="n"/>
      <c r="F36" s="36" t="n"/>
      <c r="G36" s="36" t="n"/>
      <c r="H36" s="36" t="n"/>
      <c r="I36" s="37">
        <f>IF(B36="","",F36+G36-H36)</f>
        <v/>
      </c>
      <c r="J36" s="38" t="n"/>
      <c r="K36" s="39">
        <f>IF(B36="","",I36*J36)</f>
        <v/>
      </c>
      <c r="L36" s="36" t="n"/>
      <c r="M36" s="40">
        <f>IF(B36="","",IF(I36&lt;=0,"SIN STOCK",IF(I36&lt;=L36,"REABASTECER","OK")))</f>
        <v/>
      </c>
    </row>
    <row r="37" ht="20" customHeight="1">
      <c r="A37" s="34" t="n">
        <v>31</v>
      </c>
      <c r="B37" s="35" t="n"/>
      <c r="C37" s="35" t="n"/>
      <c r="D37" s="35" t="n"/>
      <c r="E37" s="35" t="n"/>
      <c r="F37" s="36" t="n"/>
      <c r="G37" s="36" t="n"/>
      <c r="H37" s="36" t="n"/>
      <c r="I37" s="37">
        <f>IF(B37="","",F37+G37-H37)</f>
        <v/>
      </c>
      <c r="J37" s="38" t="n"/>
      <c r="K37" s="39">
        <f>IF(B37="","",I37*J37)</f>
        <v/>
      </c>
      <c r="L37" s="36" t="n"/>
      <c r="M37" s="40">
        <f>IF(B37="","",IF(I37&lt;=0,"SIN STOCK",IF(I37&lt;=L37,"REABASTECER","OK")))</f>
        <v/>
      </c>
    </row>
    <row r="38" ht="20" customHeight="1">
      <c r="A38" s="34" t="n">
        <v>32</v>
      </c>
      <c r="B38" s="35" t="n"/>
      <c r="C38" s="35" t="n"/>
      <c r="D38" s="35" t="n"/>
      <c r="E38" s="35" t="n"/>
      <c r="F38" s="36" t="n"/>
      <c r="G38" s="36" t="n"/>
      <c r="H38" s="36" t="n"/>
      <c r="I38" s="37">
        <f>IF(B38="","",F38+G38-H38)</f>
        <v/>
      </c>
      <c r="J38" s="38" t="n"/>
      <c r="K38" s="39">
        <f>IF(B38="","",I38*J38)</f>
        <v/>
      </c>
      <c r="L38" s="36" t="n"/>
      <c r="M38" s="40">
        <f>IF(B38="","",IF(I38&lt;=0,"SIN STOCK",IF(I38&lt;=L38,"REABASTECER","OK")))</f>
        <v/>
      </c>
    </row>
    <row r="39" ht="20" customHeight="1">
      <c r="A39" s="34" t="n">
        <v>33</v>
      </c>
      <c r="B39" s="35" t="n"/>
      <c r="C39" s="35" t="n"/>
      <c r="D39" s="35" t="n"/>
      <c r="E39" s="35" t="n"/>
      <c r="F39" s="36" t="n"/>
      <c r="G39" s="36" t="n"/>
      <c r="H39" s="36" t="n"/>
      <c r="I39" s="37">
        <f>IF(B39="","",F39+G39-H39)</f>
        <v/>
      </c>
      <c r="J39" s="38" t="n"/>
      <c r="K39" s="39">
        <f>IF(B39="","",I39*J39)</f>
        <v/>
      </c>
      <c r="L39" s="36" t="n"/>
      <c r="M39" s="40">
        <f>IF(B39="","",IF(I39&lt;=0,"SIN STOCK",IF(I39&lt;=L39,"REABASTECER","OK")))</f>
        <v/>
      </c>
    </row>
    <row r="40" ht="20" customHeight="1">
      <c r="A40" s="34" t="n">
        <v>34</v>
      </c>
      <c r="B40" s="35" t="n"/>
      <c r="C40" s="35" t="n"/>
      <c r="D40" s="35" t="n"/>
      <c r="E40" s="35" t="n"/>
      <c r="F40" s="36" t="n"/>
      <c r="G40" s="36" t="n"/>
      <c r="H40" s="36" t="n"/>
      <c r="I40" s="37">
        <f>IF(B40="","",F40+G40-H40)</f>
        <v/>
      </c>
      <c r="J40" s="38" t="n"/>
      <c r="K40" s="39">
        <f>IF(B40="","",I40*J40)</f>
        <v/>
      </c>
      <c r="L40" s="36" t="n"/>
      <c r="M40" s="40">
        <f>IF(B40="","",IF(I40&lt;=0,"SIN STOCK",IF(I40&lt;=L40,"REABASTECER","OK")))</f>
        <v/>
      </c>
    </row>
    <row r="41" ht="20" customHeight="1">
      <c r="A41" s="34" t="n">
        <v>35</v>
      </c>
      <c r="B41" s="35" t="n"/>
      <c r="C41" s="35" t="n"/>
      <c r="D41" s="35" t="n"/>
      <c r="E41" s="35" t="n"/>
      <c r="F41" s="36" t="n"/>
      <c r="G41" s="36" t="n"/>
      <c r="H41" s="36" t="n"/>
      <c r="I41" s="37">
        <f>IF(B41="","",F41+G41-H41)</f>
        <v/>
      </c>
      <c r="J41" s="38" t="n"/>
      <c r="K41" s="39">
        <f>IF(B41="","",I41*J41)</f>
        <v/>
      </c>
      <c r="L41" s="36" t="n"/>
      <c r="M41" s="40">
        <f>IF(B41="","",IF(I41&lt;=0,"SIN STOCK",IF(I41&lt;=L41,"REABASTECER","OK")))</f>
        <v/>
      </c>
    </row>
    <row r="42" ht="20" customHeight="1">
      <c r="A42" s="34" t="n">
        <v>36</v>
      </c>
      <c r="B42" s="35" t="n"/>
      <c r="C42" s="35" t="n"/>
      <c r="D42" s="35" t="n"/>
      <c r="E42" s="35" t="n"/>
      <c r="F42" s="36" t="n"/>
      <c r="G42" s="36" t="n"/>
      <c r="H42" s="36" t="n"/>
      <c r="I42" s="37">
        <f>IF(B42="","",F42+G42-H42)</f>
        <v/>
      </c>
      <c r="J42" s="38" t="n"/>
      <c r="K42" s="39">
        <f>IF(B42="","",I42*J42)</f>
        <v/>
      </c>
      <c r="L42" s="36" t="n"/>
      <c r="M42" s="40">
        <f>IF(B42="","",IF(I42&lt;=0,"SIN STOCK",IF(I42&lt;=L42,"REABASTECER","OK")))</f>
        <v/>
      </c>
    </row>
    <row r="43" ht="20" customHeight="1">
      <c r="A43" s="34" t="n">
        <v>37</v>
      </c>
      <c r="B43" s="35" t="n"/>
      <c r="C43" s="35" t="n"/>
      <c r="D43" s="35" t="n"/>
      <c r="E43" s="35" t="n"/>
      <c r="F43" s="36" t="n"/>
      <c r="G43" s="36" t="n"/>
      <c r="H43" s="36" t="n"/>
      <c r="I43" s="37">
        <f>IF(B43="","",F43+G43-H43)</f>
        <v/>
      </c>
      <c r="J43" s="38" t="n"/>
      <c r="K43" s="39">
        <f>IF(B43="","",I43*J43)</f>
        <v/>
      </c>
      <c r="L43" s="36" t="n"/>
      <c r="M43" s="40">
        <f>IF(B43="","",IF(I43&lt;=0,"SIN STOCK",IF(I43&lt;=L43,"REABASTECER","OK")))</f>
        <v/>
      </c>
    </row>
    <row r="44" ht="20" customHeight="1">
      <c r="A44" s="34" t="n">
        <v>38</v>
      </c>
      <c r="B44" s="35" t="n"/>
      <c r="C44" s="35" t="n"/>
      <c r="D44" s="35" t="n"/>
      <c r="E44" s="35" t="n"/>
      <c r="F44" s="36" t="n"/>
      <c r="G44" s="36" t="n"/>
      <c r="H44" s="36" t="n"/>
      <c r="I44" s="37">
        <f>IF(B44="","",F44+G44-H44)</f>
        <v/>
      </c>
      <c r="J44" s="38" t="n"/>
      <c r="K44" s="39">
        <f>IF(B44="","",I44*J44)</f>
        <v/>
      </c>
      <c r="L44" s="36" t="n"/>
      <c r="M44" s="40">
        <f>IF(B44="","",IF(I44&lt;=0,"SIN STOCK",IF(I44&lt;=L44,"REABASTECER","OK")))</f>
        <v/>
      </c>
    </row>
    <row r="45" ht="20" customHeight="1">
      <c r="A45" s="34" t="n">
        <v>39</v>
      </c>
      <c r="B45" s="35" t="n"/>
      <c r="C45" s="35" t="n"/>
      <c r="D45" s="35" t="n"/>
      <c r="E45" s="35" t="n"/>
      <c r="F45" s="36" t="n"/>
      <c r="G45" s="36" t="n"/>
      <c r="H45" s="36" t="n"/>
      <c r="I45" s="37">
        <f>IF(B45="","",F45+G45-H45)</f>
        <v/>
      </c>
      <c r="J45" s="38" t="n"/>
      <c r="K45" s="39">
        <f>IF(B45="","",I45*J45)</f>
        <v/>
      </c>
      <c r="L45" s="36" t="n"/>
      <c r="M45" s="40">
        <f>IF(B45="","",IF(I45&lt;=0,"SIN STOCK",IF(I45&lt;=L45,"REABASTECER","OK")))</f>
        <v/>
      </c>
    </row>
    <row r="46" ht="20" customHeight="1">
      <c r="A46" s="34" t="n">
        <v>40</v>
      </c>
      <c r="B46" s="35" t="n"/>
      <c r="C46" s="35" t="n"/>
      <c r="D46" s="35" t="n"/>
      <c r="E46" s="35" t="n"/>
      <c r="F46" s="36" t="n"/>
      <c r="G46" s="36" t="n"/>
      <c r="H46" s="36" t="n"/>
      <c r="I46" s="37">
        <f>IF(B46="","",F46+G46-H46)</f>
        <v/>
      </c>
      <c r="J46" s="38" t="n"/>
      <c r="K46" s="39">
        <f>IF(B46="","",I46*J46)</f>
        <v/>
      </c>
      <c r="L46" s="36" t="n"/>
      <c r="M46" s="40">
        <f>IF(B46="","",IF(I46&lt;=0,"SIN STOCK",IF(I46&lt;=L46,"REABASTECER","OK")))</f>
        <v/>
      </c>
    </row>
    <row r="47" ht="20" customHeight="1">
      <c r="A47" s="34" t="n">
        <v>41</v>
      </c>
      <c r="B47" s="35" t="n"/>
      <c r="C47" s="35" t="n"/>
      <c r="D47" s="35" t="n"/>
      <c r="E47" s="35" t="n"/>
      <c r="F47" s="36" t="n"/>
      <c r="G47" s="36" t="n"/>
      <c r="H47" s="36" t="n"/>
      <c r="I47" s="37">
        <f>IF(B47="","",F47+G47-H47)</f>
        <v/>
      </c>
      <c r="J47" s="38" t="n"/>
      <c r="K47" s="39">
        <f>IF(B47="","",I47*J47)</f>
        <v/>
      </c>
      <c r="L47" s="36" t="n"/>
      <c r="M47" s="40">
        <f>IF(B47="","",IF(I47&lt;=0,"SIN STOCK",IF(I47&lt;=L47,"REABASTECER","OK")))</f>
        <v/>
      </c>
    </row>
    <row r="48" ht="20" customHeight="1">
      <c r="A48" s="34" t="n">
        <v>42</v>
      </c>
      <c r="B48" s="35" t="n"/>
      <c r="C48" s="35" t="n"/>
      <c r="D48" s="35" t="n"/>
      <c r="E48" s="35" t="n"/>
      <c r="F48" s="36" t="n"/>
      <c r="G48" s="36" t="n"/>
      <c r="H48" s="36" t="n"/>
      <c r="I48" s="37">
        <f>IF(B48="","",F48+G48-H48)</f>
        <v/>
      </c>
      <c r="J48" s="38" t="n"/>
      <c r="K48" s="39">
        <f>IF(B48="","",I48*J48)</f>
        <v/>
      </c>
      <c r="L48" s="36" t="n"/>
      <c r="M48" s="40">
        <f>IF(B48="","",IF(I48&lt;=0,"SIN STOCK",IF(I48&lt;=L48,"REABASTECER","OK")))</f>
        <v/>
      </c>
    </row>
    <row r="49" ht="20" customHeight="1">
      <c r="A49" s="34" t="n">
        <v>43</v>
      </c>
      <c r="B49" s="35" t="n"/>
      <c r="C49" s="35" t="n"/>
      <c r="D49" s="35" t="n"/>
      <c r="E49" s="35" t="n"/>
      <c r="F49" s="36" t="n"/>
      <c r="G49" s="36" t="n"/>
      <c r="H49" s="36" t="n"/>
      <c r="I49" s="37">
        <f>IF(B49="","",F49+G49-H49)</f>
        <v/>
      </c>
      <c r="J49" s="38" t="n"/>
      <c r="K49" s="39">
        <f>IF(B49="","",I49*J49)</f>
        <v/>
      </c>
      <c r="L49" s="36" t="n"/>
      <c r="M49" s="40">
        <f>IF(B49="","",IF(I49&lt;=0,"SIN STOCK",IF(I49&lt;=L49,"REABASTECER","OK")))</f>
        <v/>
      </c>
    </row>
    <row r="50" ht="20" customHeight="1">
      <c r="A50" s="34" t="n">
        <v>44</v>
      </c>
      <c r="B50" s="35" t="n"/>
      <c r="C50" s="35" t="n"/>
      <c r="D50" s="35" t="n"/>
      <c r="E50" s="35" t="n"/>
      <c r="F50" s="36" t="n"/>
      <c r="G50" s="36" t="n"/>
      <c r="H50" s="36" t="n"/>
      <c r="I50" s="37">
        <f>IF(B50="","",F50+G50-H50)</f>
        <v/>
      </c>
      <c r="J50" s="38" t="n"/>
      <c r="K50" s="39">
        <f>IF(B50="","",I50*J50)</f>
        <v/>
      </c>
      <c r="L50" s="36" t="n"/>
      <c r="M50" s="40">
        <f>IF(B50="","",IF(I50&lt;=0,"SIN STOCK",IF(I50&lt;=L50,"REABASTECER","OK")))</f>
        <v/>
      </c>
    </row>
    <row r="51" ht="20" customHeight="1">
      <c r="A51" s="34" t="n">
        <v>45</v>
      </c>
      <c r="B51" s="35" t="n"/>
      <c r="C51" s="35" t="n"/>
      <c r="D51" s="35" t="n"/>
      <c r="E51" s="35" t="n"/>
      <c r="F51" s="36" t="n"/>
      <c r="G51" s="36" t="n"/>
      <c r="H51" s="36" t="n"/>
      <c r="I51" s="37">
        <f>IF(B51="","",F51+G51-H51)</f>
        <v/>
      </c>
      <c r="J51" s="38" t="n"/>
      <c r="K51" s="39">
        <f>IF(B51="","",I51*J51)</f>
        <v/>
      </c>
      <c r="L51" s="36" t="n"/>
      <c r="M51" s="40">
        <f>IF(B51="","",IF(I51&lt;=0,"SIN STOCK",IF(I51&lt;=L51,"REABASTECER","OK")))</f>
        <v/>
      </c>
    </row>
    <row r="52" ht="20" customHeight="1">
      <c r="A52" s="34" t="n">
        <v>46</v>
      </c>
      <c r="B52" s="35" t="n"/>
      <c r="C52" s="35" t="n"/>
      <c r="D52" s="35" t="n"/>
      <c r="E52" s="35" t="n"/>
      <c r="F52" s="36" t="n"/>
      <c r="G52" s="36" t="n"/>
      <c r="H52" s="36" t="n"/>
      <c r="I52" s="37">
        <f>IF(B52="","",F52+G52-H52)</f>
        <v/>
      </c>
      <c r="J52" s="38" t="n"/>
      <c r="K52" s="39">
        <f>IF(B52="","",I52*J52)</f>
        <v/>
      </c>
      <c r="L52" s="36" t="n"/>
      <c r="M52" s="40">
        <f>IF(B52="","",IF(I52&lt;=0,"SIN STOCK",IF(I52&lt;=L52,"REABASTECER","OK")))</f>
        <v/>
      </c>
    </row>
    <row r="53" ht="20" customHeight="1">
      <c r="A53" s="34" t="n">
        <v>47</v>
      </c>
      <c r="B53" s="35" t="n"/>
      <c r="C53" s="35" t="n"/>
      <c r="D53" s="35" t="n"/>
      <c r="E53" s="35" t="n"/>
      <c r="F53" s="36" t="n"/>
      <c r="G53" s="36" t="n"/>
      <c r="H53" s="36" t="n"/>
      <c r="I53" s="37">
        <f>IF(B53="","",F53+G53-H53)</f>
        <v/>
      </c>
      <c r="J53" s="38" t="n"/>
      <c r="K53" s="39">
        <f>IF(B53="","",I53*J53)</f>
        <v/>
      </c>
      <c r="L53" s="36" t="n"/>
      <c r="M53" s="40">
        <f>IF(B53="","",IF(I53&lt;=0,"SIN STOCK",IF(I53&lt;=L53,"REABASTECER","OK")))</f>
        <v/>
      </c>
    </row>
    <row r="54" ht="20" customHeight="1">
      <c r="A54" s="34" t="n">
        <v>48</v>
      </c>
      <c r="B54" s="35" t="n"/>
      <c r="C54" s="35" t="n"/>
      <c r="D54" s="35" t="n"/>
      <c r="E54" s="35" t="n"/>
      <c r="F54" s="36" t="n"/>
      <c r="G54" s="36" t="n"/>
      <c r="H54" s="36" t="n"/>
      <c r="I54" s="37">
        <f>IF(B54="","",F54+G54-H54)</f>
        <v/>
      </c>
      <c r="J54" s="38" t="n"/>
      <c r="K54" s="39">
        <f>IF(B54="","",I54*J54)</f>
        <v/>
      </c>
      <c r="L54" s="36" t="n"/>
      <c r="M54" s="40">
        <f>IF(B54="","",IF(I54&lt;=0,"SIN STOCK",IF(I54&lt;=L54,"REABASTECER","OK")))</f>
        <v/>
      </c>
    </row>
    <row r="55" ht="20" customHeight="1">
      <c r="A55" s="34" t="n">
        <v>49</v>
      </c>
      <c r="B55" s="35" t="n"/>
      <c r="C55" s="35" t="n"/>
      <c r="D55" s="35" t="n"/>
      <c r="E55" s="35" t="n"/>
      <c r="F55" s="36" t="n"/>
      <c r="G55" s="36" t="n"/>
      <c r="H55" s="36" t="n"/>
      <c r="I55" s="37">
        <f>IF(B55="","",F55+G55-H55)</f>
        <v/>
      </c>
      <c r="J55" s="38" t="n"/>
      <c r="K55" s="39">
        <f>IF(B55="","",I55*J55)</f>
        <v/>
      </c>
      <c r="L55" s="36" t="n"/>
      <c r="M55" s="40">
        <f>IF(B55="","",IF(I55&lt;=0,"SIN STOCK",IF(I55&lt;=L55,"REABASTECER","OK")))</f>
        <v/>
      </c>
    </row>
    <row r="56" ht="20" customHeight="1">
      <c r="A56" s="34" t="n">
        <v>50</v>
      </c>
      <c r="B56" s="35" t="n"/>
      <c r="C56" s="35" t="n"/>
      <c r="D56" s="35" t="n"/>
      <c r="E56" s="35" t="n"/>
      <c r="F56" s="36" t="n"/>
      <c r="G56" s="36" t="n"/>
      <c r="H56" s="36" t="n"/>
      <c r="I56" s="37">
        <f>IF(B56="","",F56+G56-H56)</f>
        <v/>
      </c>
      <c r="J56" s="38" t="n"/>
      <c r="K56" s="39">
        <f>IF(B56="","",I56*J56)</f>
        <v/>
      </c>
      <c r="L56" s="36" t="n"/>
      <c r="M56" s="40">
        <f>IF(B56="","",IF(I56&lt;=0,"SIN STOCK",IF(I56&lt;=L56,"REABASTECER","OK")))</f>
        <v/>
      </c>
    </row>
    <row r="57" ht="20" customHeight="1">
      <c r="A57" s="34" t="n">
        <v>51</v>
      </c>
      <c r="B57" s="35" t="n"/>
      <c r="C57" s="35" t="n"/>
      <c r="D57" s="35" t="n"/>
      <c r="E57" s="35" t="n"/>
      <c r="F57" s="36" t="n"/>
      <c r="G57" s="36" t="n"/>
      <c r="H57" s="36" t="n"/>
      <c r="I57" s="37">
        <f>IF(B57="","",F57+G57-H57)</f>
        <v/>
      </c>
      <c r="J57" s="38" t="n"/>
      <c r="K57" s="39">
        <f>IF(B57="","",I57*J57)</f>
        <v/>
      </c>
      <c r="L57" s="36" t="n"/>
      <c r="M57" s="40">
        <f>IF(B57="","",IF(I57&lt;=0,"SIN STOCK",IF(I57&lt;=L57,"REABASTECER","OK")))</f>
        <v/>
      </c>
    </row>
    <row r="58" ht="20" customHeight="1">
      <c r="A58" s="34" t="n">
        <v>52</v>
      </c>
      <c r="B58" s="35" t="n"/>
      <c r="C58" s="35" t="n"/>
      <c r="D58" s="35" t="n"/>
      <c r="E58" s="35" t="n"/>
      <c r="F58" s="36" t="n"/>
      <c r="G58" s="36" t="n"/>
      <c r="H58" s="36" t="n"/>
      <c r="I58" s="37">
        <f>IF(B58="","",F58+G58-H58)</f>
        <v/>
      </c>
      <c r="J58" s="38" t="n"/>
      <c r="K58" s="39">
        <f>IF(B58="","",I58*J58)</f>
        <v/>
      </c>
      <c r="L58" s="36" t="n"/>
      <c r="M58" s="40">
        <f>IF(B58="","",IF(I58&lt;=0,"SIN STOCK",IF(I58&lt;=L58,"REABASTECER","OK")))</f>
        <v/>
      </c>
    </row>
    <row r="59" ht="20" customHeight="1">
      <c r="A59" s="34" t="n">
        <v>53</v>
      </c>
      <c r="B59" s="35" t="n"/>
      <c r="C59" s="35" t="n"/>
      <c r="D59" s="35" t="n"/>
      <c r="E59" s="35" t="n"/>
      <c r="F59" s="36" t="n"/>
      <c r="G59" s="36" t="n"/>
      <c r="H59" s="36" t="n"/>
      <c r="I59" s="37">
        <f>IF(B59="","",F59+G59-H59)</f>
        <v/>
      </c>
      <c r="J59" s="38" t="n"/>
      <c r="K59" s="39">
        <f>IF(B59="","",I59*J59)</f>
        <v/>
      </c>
      <c r="L59" s="36" t="n"/>
      <c r="M59" s="40">
        <f>IF(B59="","",IF(I59&lt;=0,"SIN STOCK",IF(I59&lt;=L59,"REABASTECER","OK")))</f>
        <v/>
      </c>
    </row>
    <row r="60" ht="20" customHeight="1">
      <c r="A60" s="34" t="n">
        <v>54</v>
      </c>
      <c r="B60" s="35" t="n"/>
      <c r="C60" s="35" t="n"/>
      <c r="D60" s="35" t="n"/>
      <c r="E60" s="35" t="n"/>
      <c r="F60" s="36" t="n"/>
      <c r="G60" s="36" t="n"/>
      <c r="H60" s="36" t="n"/>
      <c r="I60" s="37">
        <f>IF(B60="","",F60+G60-H60)</f>
        <v/>
      </c>
      <c r="J60" s="38" t="n"/>
      <c r="K60" s="39">
        <f>IF(B60="","",I60*J60)</f>
        <v/>
      </c>
      <c r="L60" s="36" t="n"/>
      <c r="M60" s="40">
        <f>IF(B60="","",IF(I60&lt;=0,"SIN STOCK",IF(I60&lt;=L60,"REABASTECER","OK")))</f>
        <v/>
      </c>
    </row>
    <row r="61" ht="20" customHeight="1">
      <c r="A61" s="34" t="n">
        <v>55</v>
      </c>
      <c r="B61" s="35" t="n"/>
      <c r="C61" s="35" t="n"/>
      <c r="D61" s="35" t="n"/>
      <c r="E61" s="35" t="n"/>
      <c r="F61" s="36" t="n"/>
      <c r="G61" s="36" t="n"/>
      <c r="H61" s="36" t="n"/>
      <c r="I61" s="37">
        <f>IF(B61="","",F61+G61-H61)</f>
        <v/>
      </c>
      <c r="J61" s="38" t="n"/>
      <c r="K61" s="39">
        <f>IF(B61="","",I61*J61)</f>
        <v/>
      </c>
      <c r="L61" s="36" t="n"/>
      <c r="M61" s="40">
        <f>IF(B61="","",IF(I61&lt;=0,"SIN STOCK",IF(I61&lt;=L61,"REABASTECER","OK")))</f>
        <v/>
      </c>
    </row>
    <row r="62" ht="20" customHeight="1">
      <c r="A62" s="34" t="n">
        <v>56</v>
      </c>
      <c r="B62" s="35" t="n"/>
      <c r="C62" s="35" t="n"/>
      <c r="D62" s="35" t="n"/>
      <c r="E62" s="35" t="n"/>
      <c r="F62" s="36" t="n"/>
      <c r="G62" s="36" t="n"/>
      <c r="H62" s="36" t="n"/>
      <c r="I62" s="37">
        <f>IF(B62="","",F62+G62-H62)</f>
        <v/>
      </c>
      <c r="J62" s="38" t="n"/>
      <c r="K62" s="39">
        <f>IF(B62="","",I62*J62)</f>
        <v/>
      </c>
      <c r="L62" s="36" t="n"/>
      <c r="M62" s="40">
        <f>IF(B62="","",IF(I62&lt;=0,"SIN STOCK",IF(I62&lt;=L62,"REABASTECER","OK")))</f>
        <v/>
      </c>
    </row>
    <row r="63" ht="20" customHeight="1">
      <c r="A63" s="34" t="n">
        <v>57</v>
      </c>
      <c r="B63" s="35" t="n"/>
      <c r="C63" s="35" t="n"/>
      <c r="D63" s="35" t="n"/>
      <c r="E63" s="35" t="n"/>
      <c r="F63" s="36" t="n"/>
      <c r="G63" s="36" t="n"/>
      <c r="H63" s="36" t="n"/>
      <c r="I63" s="37">
        <f>IF(B63="","",F63+G63-H63)</f>
        <v/>
      </c>
      <c r="J63" s="38" t="n"/>
      <c r="K63" s="39">
        <f>IF(B63="","",I63*J63)</f>
        <v/>
      </c>
      <c r="L63" s="36" t="n"/>
      <c r="M63" s="40">
        <f>IF(B63="","",IF(I63&lt;=0,"SIN STOCK",IF(I63&lt;=L63,"REABASTECER","OK")))</f>
        <v/>
      </c>
    </row>
    <row r="64" ht="20" customHeight="1">
      <c r="A64" s="34" t="n">
        <v>58</v>
      </c>
      <c r="B64" s="35" t="n"/>
      <c r="C64" s="35" t="n"/>
      <c r="D64" s="35" t="n"/>
      <c r="E64" s="35" t="n"/>
      <c r="F64" s="36" t="n"/>
      <c r="G64" s="36" t="n"/>
      <c r="H64" s="36" t="n"/>
      <c r="I64" s="37">
        <f>IF(B64="","",F64+G64-H64)</f>
        <v/>
      </c>
      <c r="J64" s="38" t="n"/>
      <c r="K64" s="39">
        <f>IF(B64="","",I64*J64)</f>
        <v/>
      </c>
      <c r="L64" s="36" t="n"/>
      <c r="M64" s="40">
        <f>IF(B64="","",IF(I64&lt;=0,"SIN STOCK",IF(I64&lt;=L64,"REABASTECER","OK")))</f>
        <v/>
      </c>
    </row>
    <row r="65" ht="20" customHeight="1">
      <c r="A65" s="34" t="n">
        <v>59</v>
      </c>
      <c r="B65" s="35" t="n"/>
      <c r="C65" s="35" t="n"/>
      <c r="D65" s="35" t="n"/>
      <c r="E65" s="35" t="n"/>
      <c r="F65" s="36" t="n"/>
      <c r="G65" s="36" t="n"/>
      <c r="H65" s="36" t="n"/>
      <c r="I65" s="37">
        <f>IF(B65="","",F65+G65-H65)</f>
        <v/>
      </c>
      <c r="J65" s="38" t="n"/>
      <c r="K65" s="39">
        <f>IF(B65="","",I65*J65)</f>
        <v/>
      </c>
      <c r="L65" s="36" t="n"/>
      <c r="M65" s="40">
        <f>IF(B65="","",IF(I65&lt;=0,"SIN STOCK",IF(I65&lt;=L65,"REABASTECER","OK")))</f>
        <v/>
      </c>
    </row>
    <row r="66" ht="20" customHeight="1">
      <c r="A66" s="34" t="n">
        <v>60</v>
      </c>
      <c r="B66" s="35" t="n"/>
      <c r="C66" s="35" t="n"/>
      <c r="D66" s="35" t="n"/>
      <c r="E66" s="35" t="n"/>
      <c r="F66" s="36" t="n"/>
      <c r="G66" s="36" t="n"/>
      <c r="H66" s="36" t="n"/>
      <c r="I66" s="37">
        <f>IF(B66="","",F66+G66-H66)</f>
        <v/>
      </c>
      <c r="J66" s="38" t="n"/>
      <c r="K66" s="39">
        <f>IF(B66="","",I66*J66)</f>
        <v/>
      </c>
      <c r="L66" s="36" t="n"/>
      <c r="M66" s="40">
        <f>IF(B66="","",IF(I66&lt;=0,"SIN STOCK",IF(I66&lt;=L66,"REABASTECER","OK")))</f>
        <v/>
      </c>
    </row>
    <row r="67" ht="20" customHeight="1">
      <c r="A67" s="34" t="n">
        <v>61</v>
      </c>
      <c r="B67" s="35" t="n"/>
      <c r="C67" s="35" t="n"/>
      <c r="D67" s="35" t="n"/>
      <c r="E67" s="35" t="n"/>
      <c r="F67" s="36" t="n"/>
      <c r="G67" s="36" t="n"/>
      <c r="H67" s="36" t="n"/>
      <c r="I67" s="37">
        <f>IF(B67="","",F67+G67-H67)</f>
        <v/>
      </c>
      <c r="J67" s="38" t="n"/>
      <c r="K67" s="39">
        <f>IF(B67="","",I67*J67)</f>
        <v/>
      </c>
      <c r="L67" s="36" t="n"/>
      <c r="M67" s="40">
        <f>IF(B67="","",IF(I67&lt;=0,"SIN STOCK",IF(I67&lt;=L67,"REABASTECER","OK")))</f>
        <v/>
      </c>
    </row>
    <row r="68" ht="20" customHeight="1">
      <c r="A68" s="34" t="n">
        <v>62</v>
      </c>
      <c r="B68" s="35" t="n"/>
      <c r="C68" s="35" t="n"/>
      <c r="D68" s="35" t="n"/>
      <c r="E68" s="35" t="n"/>
      <c r="F68" s="36" t="n"/>
      <c r="G68" s="36" t="n"/>
      <c r="H68" s="36" t="n"/>
      <c r="I68" s="37">
        <f>IF(B68="","",F68+G68-H68)</f>
        <v/>
      </c>
      <c r="J68" s="38" t="n"/>
      <c r="K68" s="39">
        <f>IF(B68="","",I68*J68)</f>
        <v/>
      </c>
      <c r="L68" s="36" t="n"/>
      <c r="M68" s="40">
        <f>IF(B68="","",IF(I68&lt;=0,"SIN STOCK",IF(I68&lt;=L68,"REABASTECER","OK")))</f>
        <v/>
      </c>
    </row>
    <row r="69" ht="20" customHeight="1">
      <c r="A69" s="34" t="n">
        <v>63</v>
      </c>
      <c r="B69" s="35" t="n"/>
      <c r="C69" s="35" t="n"/>
      <c r="D69" s="35" t="n"/>
      <c r="E69" s="35" t="n"/>
      <c r="F69" s="36" t="n"/>
      <c r="G69" s="36" t="n"/>
      <c r="H69" s="36" t="n"/>
      <c r="I69" s="37">
        <f>IF(B69="","",F69+G69-H69)</f>
        <v/>
      </c>
      <c r="J69" s="38" t="n"/>
      <c r="K69" s="39">
        <f>IF(B69="","",I69*J69)</f>
        <v/>
      </c>
      <c r="L69" s="36" t="n"/>
      <c r="M69" s="40">
        <f>IF(B69="","",IF(I69&lt;=0,"SIN STOCK",IF(I69&lt;=L69,"REABASTECER","OK")))</f>
        <v/>
      </c>
    </row>
    <row r="70" ht="20" customHeight="1">
      <c r="A70" s="34" t="n">
        <v>64</v>
      </c>
      <c r="B70" s="35" t="n"/>
      <c r="C70" s="35" t="n"/>
      <c r="D70" s="35" t="n"/>
      <c r="E70" s="35" t="n"/>
      <c r="F70" s="36" t="n"/>
      <c r="G70" s="36" t="n"/>
      <c r="H70" s="36" t="n"/>
      <c r="I70" s="37">
        <f>IF(B70="","",F70+G70-H70)</f>
        <v/>
      </c>
      <c r="J70" s="38" t="n"/>
      <c r="K70" s="39">
        <f>IF(B70="","",I70*J70)</f>
        <v/>
      </c>
      <c r="L70" s="36" t="n"/>
      <c r="M70" s="40">
        <f>IF(B70="","",IF(I70&lt;=0,"SIN STOCK",IF(I70&lt;=L70,"REABASTECER","OK")))</f>
        <v/>
      </c>
    </row>
    <row r="71" ht="20" customHeight="1">
      <c r="A71" s="34" t="n">
        <v>65</v>
      </c>
      <c r="B71" s="35" t="n"/>
      <c r="C71" s="35" t="n"/>
      <c r="D71" s="35" t="n"/>
      <c r="E71" s="35" t="n"/>
      <c r="F71" s="36" t="n"/>
      <c r="G71" s="36" t="n"/>
      <c r="H71" s="36" t="n"/>
      <c r="I71" s="37">
        <f>IF(B71="","",F71+G71-H71)</f>
        <v/>
      </c>
      <c r="J71" s="38" t="n"/>
      <c r="K71" s="39">
        <f>IF(B71="","",I71*J71)</f>
        <v/>
      </c>
      <c r="L71" s="36" t="n"/>
      <c r="M71" s="40">
        <f>IF(B71="","",IF(I71&lt;=0,"SIN STOCK",IF(I71&lt;=L71,"REABASTECER","OK")))</f>
        <v/>
      </c>
    </row>
    <row r="72" ht="20" customHeight="1">
      <c r="A72" s="34" t="n">
        <v>66</v>
      </c>
      <c r="B72" s="35" t="n"/>
      <c r="C72" s="35" t="n"/>
      <c r="D72" s="35" t="n"/>
      <c r="E72" s="35" t="n"/>
      <c r="F72" s="36" t="n"/>
      <c r="G72" s="36" t="n"/>
      <c r="H72" s="36" t="n"/>
      <c r="I72" s="37">
        <f>IF(B72="","",F72+G72-H72)</f>
        <v/>
      </c>
      <c r="J72" s="38" t="n"/>
      <c r="K72" s="39">
        <f>IF(B72="","",I72*J72)</f>
        <v/>
      </c>
      <c r="L72" s="36" t="n"/>
      <c r="M72" s="40">
        <f>IF(B72="","",IF(I72&lt;=0,"SIN STOCK",IF(I72&lt;=L72,"REABASTECER","OK")))</f>
        <v/>
      </c>
    </row>
    <row r="73" ht="20" customHeight="1">
      <c r="A73" s="34" t="n">
        <v>67</v>
      </c>
      <c r="B73" s="35" t="n"/>
      <c r="C73" s="35" t="n"/>
      <c r="D73" s="35" t="n"/>
      <c r="E73" s="35" t="n"/>
      <c r="F73" s="36" t="n"/>
      <c r="G73" s="36" t="n"/>
      <c r="H73" s="36" t="n"/>
      <c r="I73" s="37">
        <f>IF(B73="","",F73+G73-H73)</f>
        <v/>
      </c>
      <c r="J73" s="38" t="n"/>
      <c r="K73" s="39">
        <f>IF(B73="","",I73*J73)</f>
        <v/>
      </c>
      <c r="L73" s="36" t="n"/>
      <c r="M73" s="40">
        <f>IF(B73="","",IF(I73&lt;=0,"SIN STOCK",IF(I73&lt;=L73,"REABASTECER","OK")))</f>
        <v/>
      </c>
    </row>
    <row r="74" ht="20" customHeight="1">
      <c r="A74" s="34" t="n">
        <v>68</v>
      </c>
      <c r="B74" s="35" t="n"/>
      <c r="C74" s="35" t="n"/>
      <c r="D74" s="35" t="n"/>
      <c r="E74" s="35" t="n"/>
      <c r="F74" s="36" t="n"/>
      <c r="G74" s="36" t="n"/>
      <c r="H74" s="36" t="n"/>
      <c r="I74" s="37">
        <f>IF(B74="","",F74+G74-H74)</f>
        <v/>
      </c>
      <c r="J74" s="38" t="n"/>
      <c r="K74" s="39">
        <f>IF(B74="","",I74*J74)</f>
        <v/>
      </c>
      <c r="L74" s="36" t="n"/>
      <c r="M74" s="40">
        <f>IF(B74="","",IF(I74&lt;=0,"SIN STOCK",IF(I74&lt;=L74,"REABASTECER","OK")))</f>
        <v/>
      </c>
    </row>
    <row r="75" ht="20" customHeight="1">
      <c r="A75" s="34" t="n">
        <v>69</v>
      </c>
      <c r="B75" s="35" t="n"/>
      <c r="C75" s="35" t="n"/>
      <c r="D75" s="35" t="n"/>
      <c r="E75" s="35" t="n"/>
      <c r="F75" s="36" t="n"/>
      <c r="G75" s="36" t="n"/>
      <c r="H75" s="36" t="n"/>
      <c r="I75" s="37">
        <f>IF(B75="","",F75+G75-H75)</f>
        <v/>
      </c>
      <c r="J75" s="38" t="n"/>
      <c r="K75" s="39">
        <f>IF(B75="","",I75*J75)</f>
        <v/>
      </c>
      <c r="L75" s="36" t="n"/>
      <c r="M75" s="40">
        <f>IF(B75="","",IF(I75&lt;=0,"SIN STOCK",IF(I75&lt;=L75,"REABASTECER","OK")))</f>
        <v/>
      </c>
    </row>
    <row r="76" ht="20" customHeight="1">
      <c r="A76" s="34" t="n">
        <v>70</v>
      </c>
      <c r="B76" s="35" t="n"/>
      <c r="C76" s="35" t="n"/>
      <c r="D76" s="35" t="n"/>
      <c r="E76" s="35" t="n"/>
      <c r="F76" s="36" t="n"/>
      <c r="G76" s="36" t="n"/>
      <c r="H76" s="36" t="n"/>
      <c r="I76" s="37">
        <f>IF(B76="","",F76+G76-H76)</f>
        <v/>
      </c>
      <c r="J76" s="38" t="n"/>
      <c r="K76" s="39">
        <f>IF(B76="","",I76*J76)</f>
        <v/>
      </c>
      <c r="L76" s="36" t="n"/>
      <c r="M76" s="40">
        <f>IF(B76="","",IF(I76&lt;=0,"SIN STOCK",IF(I76&lt;=L76,"REABASTECER","OK")))</f>
        <v/>
      </c>
    </row>
    <row r="77" ht="20" customHeight="1">
      <c r="A77" s="34" t="n">
        <v>71</v>
      </c>
      <c r="B77" s="35" t="n"/>
      <c r="C77" s="35" t="n"/>
      <c r="D77" s="35" t="n"/>
      <c r="E77" s="35" t="n"/>
      <c r="F77" s="36" t="n"/>
      <c r="G77" s="36" t="n"/>
      <c r="H77" s="36" t="n"/>
      <c r="I77" s="37">
        <f>IF(B77="","",F77+G77-H77)</f>
        <v/>
      </c>
      <c r="J77" s="38" t="n"/>
      <c r="K77" s="39">
        <f>IF(B77="","",I77*J77)</f>
        <v/>
      </c>
      <c r="L77" s="36" t="n"/>
      <c r="M77" s="40">
        <f>IF(B77="","",IF(I77&lt;=0,"SIN STOCK",IF(I77&lt;=L77,"REABASTECER","OK")))</f>
        <v/>
      </c>
    </row>
    <row r="78" ht="20" customHeight="1">
      <c r="A78" s="34" t="n">
        <v>72</v>
      </c>
      <c r="B78" s="35" t="n"/>
      <c r="C78" s="35" t="n"/>
      <c r="D78" s="35" t="n"/>
      <c r="E78" s="35" t="n"/>
      <c r="F78" s="36" t="n"/>
      <c r="G78" s="36" t="n"/>
      <c r="H78" s="36" t="n"/>
      <c r="I78" s="37">
        <f>IF(B78="","",F78+G78-H78)</f>
        <v/>
      </c>
      <c r="J78" s="38" t="n"/>
      <c r="K78" s="39">
        <f>IF(B78="","",I78*J78)</f>
        <v/>
      </c>
      <c r="L78" s="36" t="n"/>
      <c r="M78" s="40">
        <f>IF(B78="","",IF(I78&lt;=0,"SIN STOCK",IF(I78&lt;=L78,"REABASTECER","OK")))</f>
        <v/>
      </c>
    </row>
    <row r="79" ht="20" customHeight="1">
      <c r="A79" s="34" t="n">
        <v>73</v>
      </c>
      <c r="B79" s="35" t="n"/>
      <c r="C79" s="35" t="n"/>
      <c r="D79" s="35" t="n"/>
      <c r="E79" s="35" t="n"/>
      <c r="F79" s="36" t="n"/>
      <c r="G79" s="36" t="n"/>
      <c r="H79" s="36" t="n"/>
      <c r="I79" s="37">
        <f>IF(B79="","",F79+G79-H79)</f>
        <v/>
      </c>
      <c r="J79" s="38" t="n"/>
      <c r="K79" s="39">
        <f>IF(B79="","",I79*J79)</f>
        <v/>
      </c>
      <c r="L79" s="36" t="n"/>
      <c r="M79" s="40">
        <f>IF(B79="","",IF(I79&lt;=0,"SIN STOCK",IF(I79&lt;=L79,"REABASTECER","OK")))</f>
        <v/>
      </c>
    </row>
    <row r="80" ht="20" customHeight="1">
      <c r="A80" s="34" t="n">
        <v>74</v>
      </c>
      <c r="B80" s="35" t="n"/>
      <c r="C80" s="35" t="n"/>
      <c r="D80" s="35" t="n"/>
      <c r="E80" s="35" t="n"/>
      <c r="F80" s="36" t="n"/>
      <c r="G80" s="36" t="n"/>
      <c r="H80" s="36" t="n"/>
      <c r="I80" s="37">
        <f>IF(B80="","",F80+G80-H80)</f>
        <v/>
      </c>
      <c r="J80" s="38" t="n"/>
      <c r="K80" s="39">
        <f>IF(B80="","",I80*J80)</f>
        <v/>
      </c>
      <c r="L80" s="36" t="n"/>
      <c r="M80" s="40">
        <f>IF(B80="","",IF(I80&lt;=0,"SIN STOCK",IF(I80&lt;=L80,"REABASTECER","OK")))</f>
        <v/>
      </c>
    </row>
    <row r="81" ht="20" customHeight="1">
      <c r="A81" s="34" t="n">
        <v>75</v>
      </c>
      <c r="B81" s="35" t="n"/>
      <c r="C81" s="35" t="n"/>
      <c r="D81" s="35" t="n"/>
      <c r="E81" s="35" t="n"/>
      <c r="F81" s="36" t="n"/>
      <c r="G81" s="36" t="n"/>
      <c r="H81" s="36" t="n"/>
      <c r="I81" s="37">
        <f>IF(B81="","",F81+G81-H81)</f>
        <v/>
      </c>
      <c r="J81" s="38" t="n"/>
      <c r="K81" s="39">
        <f>IF(B81="","",I81*J81)</f>
        <v/>
      </c>
      <c r="L81" s="36" t="n"/>
      <c r="M81" s="40">
        <f>IF(B81="","",IF(I81&lt;=0,"SIN STOCK",IF(I81&lt;=L81,"REABASTECER","OK")))</f>
        <v/>
      </c>
    </row>
    <row r="82" ht="20" customHeight="1">
      <c r="A82" s="34" t="n">
        <v>76</v>
      </c>
      <c r="B82" s="35" t="n"/>
      <c r="C82" s="35" t="n"/>
      <c r="D82" s="35" t="n"/>
      <c r="E82" s="35" t="n"/>
      <c r="F82" s="36" t="n"/>
      <c r="G82" s="36" t="n"/>
      <c r="H82" s="36" t="n"/>
      <c r="I82" s="37">
        <f>IF(B82="","",F82+G82-H82)</f>
        <v/>
      </c>
      <c r="J82" s="38" t="n"/>
      <c r="K82" s="39">
        <f>IF(B82="","",I82*J82)</f>
        <v/>
      </c>
      <c r="L82" s="36" t="n"/>
      <c r="M82" s="40">
        <f>IF(B82="","",IF(I82&lt;=0,"SIN STOCK",IF(I82&lt;=L82,"REABASTECER","OK")))</f>
        <v/>
      </c>
    </row>
    <row r="83" ht="20" customHeight="1">
      <c r="A83" s="34" t="n">
        <v>77</v>
      </c>
      <c r="B83" s="35" t="n"/>
      <c r="C83" s="35" t="n"/>
      <c r="D83" s="35" t="n"/>
      <c r="E83" s="35" t="n"/>
      <c r="F83" s="36" t="n"/>
      <c r="G83" s="36" t="n"/>
      <c r="H83" s="36" t="n"/>
      <c r="I83" s="37">
        <f>IF(B83="","",F83+G83-H83)</f>
        <v/>
      </c>
      <c r="J83" s="38" t="n"/>
      <c r="K83" s="39">
        <f>IF(B83="","",I83*J83)</f>
        <v/>
      </c>
      <c r="L83" s="36" t="n"/>
      <c r="M83" s="40">
        <f>IF(B83="","",IF(I83&lt;=0,"SIN STOCK",IF(I83&lt;=L83,"REABASTECER","OK")))</f>
        <v/>
      </c>
    </row>
    <row r="84" ht="20" customHeight="1">
      <c r="A84" s="34" t="n">
        <v>78</v>
      </c>
      <c r="B84" s="35" t="n"/>
      <c r="C84" s="35" t="n"/>
      <c r="D84" s="35" t="n"/>
      <c r="E84" s="35" t="n"/>
      <c r="F84" s="36" t="n"/>
      <c r="G84" s="36" t="n"/>
      <c r="H84" s="36" t="n"/>
      <c r="I84" s="37">
        <f>IF(B84="","",F84+G84-H84)</f>
        <v/>
      </c>
      <c r="J84" s="38" t="n"/>
      <c r="K84" s="39">
        <f>IF(B84="","",I84*J84)</f>
        <v/>
      </c>
      <c r="L84" s="36" t="n"/>
      <c r="M84" s="40">
        <f>IF(B84="","",IF(I84&lt;=0,"SIN STOCK",IF(I84&lt;=L84,"REABASTECER","OK")))</f>
        <v/>
      </c>
    </row>
    <row r="85" ht="20" customHeight="1">
      <c r="A85" s="34" t="n">
        <v>79</v>
      </c>
      <c r="B85" s="35" t="n"/>
      <c r="C85" s="35" t="n"/>
      <c r="D85" s="35" t="n"/>
      <c r="E85" s="35" t="n"/>
      <c r="F85" s="36" t="n"/>
      <c r="G85" s="36" t="n"/>
      <c r="H85" s="36" t="n"/>
      <c r="I85" s="37">
        <f>IF(B85="","",F85+G85-H85)</f>
        <v/>
      </c>
      <c r="J85" s="38" t="n"/>
      <c r="K85" s="39">
        <f>IF(B85="","",I85*J85)</f>
        <v/>
      </c>
      <c r="L85" s="36" t="n"/>
      <c r="M85" s="40">
        <f>IF(B85="","",IF(I85&lt;=0,"SIN STOCK",IF(I85&lt;=L85,"REABASTECER","OK")))</f>
        <v/>
      </c>
    </row>
    <row r="86" ht="20" customHeight="1">
      <c r="A86" s="34" t="n">
        <v>80</v>
      </c>
      <c r="B86" s="35" t="n"/>
      <c r="C86" s="35" t="n"/>
      <c r="D86" s="35" t="n"/>
      <c r="E86" s="35" t="n"/>
      <c r="F86" s="36" t="n"/>
      <c r="G86" s="36" t="n"/>
      <c r="H86" s="36" t="n"/>
      <c r="I86" s="37">
        <f>IF(B86="","",F86+G86-H86)</f>
        <v/>
      </c>
      <c r="J86" s="38" t="n"/>
      <c r="K86" s="39">
        <f>IF(B86="","",I86*J86)</f>
        <v/>
      </c>
      <c r="L86" s="36" t="n"/>
      <c r="M86" s="40">
        <f>IF(B86="","",IF(I86&lt;=0,"SIN STOCK",IF(I86&lt;=L86,"REABASTECER","OK")))</f>
        <v/>
      </c>
    </row>
    <row r="87" ht="20" customHeight="1">
      <c r="A87" s="34" t="n">
        <v>81</v>
      </c>
      <c r="B87" s="35" t="n"/>
      <c r="C87" s="35" t="n"/>
      <c r="D87" s="35" t="n"/>
      <c r="E87" s="35" t="n"/>
      <c r="F87" s="36" t="n"/>
      <c r="G87" s="36" t="n"/>
      <c r="H87" s="36" t="n"/>
      <c r="I87" s="37">
        <f>IF(B87="","",F87+G87-H87)</f>
        <v/>
      </c>
      <c r="J87" s="38" t="n"/>
      <c r="K87" s="39">
        <f>IF(B87="","",I87*J87)</f>
        <v/>
      </c>
      <c r="L87" s="36" t="n"/>
      <c r="M87" s="40">
        <f>IF(B87="","",IF(I87&lt;=0,"SIN STOCK",IF(I87&lt;=L87,"REABASTECER","OK")))</f>
        <v/>
      </c>
    </row>
    <row r="88" ht="20" customHeight="1">
      <c r="A88" s="34" t="n">
        <v>82</v>
      </c>
      <c r="B88" s="35" t="n"/>
      <c r="C88" s="35" t="n"/>
      <c r="D88" s="35" t="n"/>
      <c r="E88" s="35" t="n"/>
      <c r="F88" s="36" t="n"/>
      <c r="G88" s="36" t="n"/>
      <c r="H88" s="36" t="n"/>
      <c r="I88" s="37">
        <f>IF(B88="","",F88+G88-H88)</f>
        <v/>
      </c>
      <c r="J88" s="38" t="n"/>
      <c r="K88" s="39">
        <f>IF(B88="","",I88*J88)</f>
        <v/>
      </c>
      <c r="L88" s="36" t="n"/>
      <c r="M88" s="40">
        <f>IF(B88="","",IF(I88&lt;=0,"SIN STOCK",IF(I88&lt;=L88,"REABASTECER","OK")))</f>
        <v/>
      </c>
    </row>
    <row r="89" ht="20" customHeight="1">
      <c r="A89" s="34" t="n">
        <v>83</v>
      </c>
      <c r="B89" s="35" t="n"/>
      <c r="C89" s="35" t="n"/>
      <c r="D89" s="35" t="n"/>
      <c r="E89" s="35" t="n"/>
      <c r="F89" s="36" t="n"/>
      <c r="G89" s="36" t="n"/>
      <c r="H89" s="36" t="n"/>
      <c r="I89" s="37">
        <f>IF(B89="","",F89+G89-H89)</f>
        <v/>
      </c>
      <c r="J89" s="38" t="n"/>
      <c r="K89" s="39">
        <f>IF(B89="","",I89*J89)</f>
        <v/>
      </c>
      <c r="L89" s="36" t="n"/>
      <c r="M89" s="40">
        <f>IF(B89="","",IF(I89&lt;=0,"SIN STOCK",IF(I89&lt;=L89,"REABASTECER","OK")))</f>
        <v/>
      </c>
    </row>
    <row r="90" ht="20" customHeight="1">
      <c r="A90" s="34" t="n">
        <v>84</v>
      </c>
      <c r="B90" s="35" t="n"/>
      <c r="C90" s="35" t="n"/>
      <c r="D90" s="35" t="n"/>
      <c r="E90" s="35" t="n"/>
      <c r="F90" s="36" t="n"/>
      <c r="G90" s="36" t="n"/>
      <c r="H90" s="36" t="n"/>
      <c r="I90" s="37">
        <f>IF(B90="","",F90+G90-H90)</f>
        <v/>
      </c>
      <c r="J90" s="38" t="n"/>
      <c r="K90" s="39">
        <f>IF(B90="","",I90*J90)</f>
        <v/>
      </c>
      <c r="L90" s="36" t="n"/>
      <c r="M90" s="40">
        <f>IF(B90="","",IF(I90&lt;=0,"SIN STOCK",IF(I90&lt;=L90,"REABASTECER","OK")))</f>
        <v/>
      </c>
    </row>
    <row r="91" ht="20" customHeight="1">
      <c r="A91" s="34" t="n">
        <v>85</v>
      </c>
      <c r="B91" s="35" t="n"/>
      <c r="C91" s="35" t="n"/>
      <c r="D91" s="35" t="n"/>
      <c r="E91" s="35" t="n"/>
      <c r="F91" s="36" t="n"/>
      <c r="G91" s="36" t="n"/>
      <c r="H91" s="36" t="n"/>
      <c r="I91" s="37">
        <f>IF(B91="","",F91+G91-H91)</f>
        <v/>
      </c>
      <c r="J91" s="38" t="n"/>
      <c r="K91" s="39">
        <f>IF(B91="","",I91*J91)</f>
        <v/>
      </c>
      <c r="L91" s="36" t="n"/>
      <c r="M91" s="40">
        <f>IF(B91="","",IF(I91&lt;=0,"SIN STOCK",IF(I91&lt;=L91,"REABASTECER","OK")))</f>
        <v/>
      </c>
    </row>
    <row r="92" ht="20" customHeight="1">
      <c r="A92" s="34" t="n">
        <v>86</v>
      </c>
      <c r="B92" s="35" t="n"/>
      <c r="C92" s="35" t="n"/>
      <c r="D92" s="35" t="n"/>
      <c r="E92" s="35" t="n"/>
      <c r="F92" s="36" t="n"/>
      <c r="G92" s="36" t="n"/>
      <c r="H92" s="36" t="n"/>
      <c r="I92" s="37">
        <f>IF(B92="","",F92+G92-H92)</f>
        <v/>
      </c>
      <c r="J92" s="38" t="n"/>
      <c r="K92" s="39">
        <f>IF(B92="","",I92*J92)</f>
        <v/>
      </c>
      <c r="L92" s="36" t="n"/>
      <c r="M92" s="40">
        <f>IF(B92="","",IF(I92&lt;=0,"SIN STOCK",IF(I92&lt;=L92,"REABASTECER","OK")))</f>
        <v/>
      </c>
    </row>
    <row r="93" ht="20" customHeight="1">
      <c r="A93" s="34" t="n">
        <v>87</v>
      </c>
      <c r="B93" s="35" t="n"/>
      <c r="C93" s="35" t="n"/>
      <c r="D93" s="35" t="n"/>
      <c r="E93" s="35" t="n"/>
      <c r="F93" s="36" t="n"/>
      <c r="G93" s="36" t="n"/>
      <c r="H93" s="36" t="n"/>
      <c r="I93" s="37">
        <f>IF(B93="","",F93+G93-H93)</f>
        <v/>
      </c>
      <c r="J93" s="38" t="n"/>
      <c r="K93" s="39">
        <f>IF(B93="","",I93*J93)</f>
        <v/>
      </c>
      <c r="L93" s="36" t="n"/>
      <c r="M93" s="40">
        <f>IF(B93="","",IF(I93&lt;=0,"SIN STOCK",IF(I93&lt;=L93,"REABASTECER","OK")))</f>
        <v/>
      </c>
    </row>
    <row r="94" ht="20" customHeight="1">
      <c r="A94" s="34" t="n">
        <v>88</v>
      </c>
      <c r="B94" s="35" t="n"/>
      <c r="C94" s="35" t="n"/>
      <c r="D94" s="35" t="n"/>
      <c r="E94" s="35" t="n"/>
      <c r="F94" s="36" t="n"/>
      <c r="G94" s="36" t="n"/>
      <c r="H94" s="36" t="n"/>
      <c r="I94" s="37">
        <f>IF(B94="","",F94+G94-H94)</f>
        <v/>
      </c>
      <c r="J94" s="38" t="n"/>
      <c r="K94" s="39">
        <f>IF(B94="","",I94*J94)</f>
        <v/>
      </c>
      <c r="L94" s="36" t="n"/>
      <c r="M94" s="40">
        <f>IF(B94="","",IF(I94&lt;=0,"SIN STOCK",IF(I94&lt;=L94,"REABASTECER","OK")))</f>
        <v/>
      </c>
    </row>
    <row r="95" ht="20" customHeight="1">
      <c r="A95" s="34" t="n">
        <v>89</v>
      </c>
      <c r="B95" s="35" t="n"/>
      <c r="C95" s="35" t="n"/>
      <c r="D95" s="35" t="n"/>
      <c r="E95" s="35" t="n"/>
      <c r="F95" s="36" t="n"/>
      <c r="G95" s="36" t="n"/>
      <c r="H95" s="36" t="n"/>
      <c r="I95" s="37">
        <f>IF(B95="","",F95+G95-H95)</f>
        <v/>
      </c>
      <c r="J95" s="38" t="n"/>
      <c r="K95" s="39">
        <f>IF(B95="","",I95*J95)</f>
        <v/>
      </c>
      <c r="L95" s="36" t="n"/>
      <c r="M95" s="40">
        <f>IF(B95="","",IF(I95&lt;=0,"SIN STOCK",IF(I95&lt;=L95,"REABASTECER","OK")))</f>
        <v/>
      </c>
    </row>
    <row r="96" ht="20" customHeight="1">
      <c r="A96" s="34" t="n">
        <v>90</v>
      </c>
      <c r="B96" s="35" t="n"/>
      <c r="C96" s="35" t="n"/>
      <c r="D96" s="35" t="n"/>
      <c r="E96" s="35" t="n"/>
      <c r="F96" s="36" t="n"/>
      <c r="G96" s="36" t="n"/>
      <c r="H96" s="36" t="n"/>
      <c r="I96" s="37">
        <f>IF(B96="","",F96+G96-H96)</f>
        <v/>
      </c>
      <c r="J96" s="38" t="n"/>
      <c r="K96" s="39">
        <f>IF(B96="","",I96*J96)</f>
        <v/>
      </c>
      <c r="L96" s="36" t="n"/>
      <c r="M96" s="40">
        <f>IF(B96="","",IF(I96&lt;=0,"SIN STOCK",IF(I96&lt;=L96,"REABASTECER","OK")))</f>
        <v/>
      </c>
    </row>
    <row r="97" ht="20" customHeight="1">
      <c r="A97" s="34" t="n">
        <v>91</v>
      </c>
      <c r="B97" s="35" t="n"/>
      <c r="C97" s="35" t="n"/>
      <c r="D97" s="35" t="n"/>
      <c r="E97" s="35" t="n"/>
      <c r="F97" s="36" t="n"/>
      <c r="G97" s="36" t="n"/>
      <c r="H97" s="36" t="n"/>
      <c r="I97" s="37">
        <f>IF(B97="","",F97+G97-H97)</f>
        <v/>
      </c>
      <c r="J97" s="38" t="n"/>
      <c r="K97" s="39">
        <f>IF(B97="","",I97*J97)</f>
        <v/>
      </c>
      <c r="L97" s="36" t="n"/>
      <c r="M97" s="40">
        <f>IF(B97="","",IF(I97&lt;=0,"SIN STOCK",IF(I97&lt;=L97,"REABASTECER","OK")))</f>
        <v/>
      </c>
    </row>
    <row r="98" ht="20" customHeight="1">
      <c r="A98" s="34" t="n">
        <v>92</v>
      </c>
      <c r="B98" s="35" t="n"/>
      <c r="C98" s="35" t="n"/>
      <c r="D98" s="35" t="n"/>
      <c r="E98" s="35" t="n"/>
      <c r="F98" s="36" t="n"/>
      <c r="G98" s="36" t="n"/>
      <c r="H98" s="36" t="n"/>
      <c r="I98" s="37">
        <f>IF(B98="","",F98+G98-H98)</f>
        <v/>
      </c>
      <c r="J98" s="38" t="n"/>
      <c r="K98" s="39">
        <f>IF(B98="","",I98*J98)</f>
        <v/>
      </c>
      <c r="L98" s="36" t="n"/>
      <c r="M98" s="40">
        <f>IF(B98="","",IF(I98&lt;=0,"SIN STOCK",IF(I98&lt;=L98,"REABASTECER","OK")))</f>
        <v/>
      </c>
    </row>
    <row r="99" ht="20" customHeight="1">
      <c r="A99" s="34" t="n">
        <v>93</v>
      </c>
      <c r="B99" s="35" t="n"/>
      <c r="C99" s="35" t="n"/>
      <c r="D99" s="35" t="n"/>
      <c r="E99" s="35" t="n"/>
      <c r="F99" s="36" t="n"/>
      <c r="G99" s="36" t="n"/>
      <c r="H99" s="36" t="n"/>
      <c r="I99" s="37">
        <f>IF(B99="","",F99+G99-H99)</f>
        <v/>
      </c>
      <c r="J99" s="38" t="n"/>
      <c r="K99" s="39">
        <f>IF(B99="","",I99*J99)</f>
        <v/>
      </c>
      <c r="L99" s="36" t="n"/>
      <c r="M99" s="40">
        <f>IF(B99="","",IF(I99&lt;=0,"SIN STOCK",IF(I99&lt;=L99,"REABASTECER","OK")))</f>
        <v/>
      </c>
    </row>
    <row r="100" ht="20" customHeight="1">
      <c r="A100" s="34" t="n">
        <v>94</v>
      </c>
      <c r="B100" s="35" t="n"/>
      <c r="C100" s="35" t="n"/>
      <c r="D100" s="35" t="n"/>
      <c r="E100" s="35" t="n"/>
      <c r="F100" s="36" t="n"/>
      <c r="G100" s="36" t="n"/>
      <c r="H100" s="36" t="n"/>
      <c r="I100" s="37">
        <f>IF(B100="","",F100+G100-H100)</f>
        <v/>
      </c>
      <c r="J100" s="38" t="n"/>
      <c r="K100" s="39">
        <f>IF(B100="","",I100*J100)</f>
        <v/>
      </c>
      <c r="L100" s="36" t="n"/>
      <c r="M100" s="40">
        <f>IF(B100="","",IF(I100&lt;=0,"SIN STOCK",IF(I100&lt;=L100,"REABASTECER","OK")))</f>
        <v/>
      </c>
    </row>
    <row r="101" ht="20" customHeight="1">
      <c r="A101" s="34" t="n">
        <v>95</v>
      </c>
      <c r="B101" s="35" t="n"/>
      <c r="C101" s="35" t="n"/>
      <c r="D101" s="35" t="n"/>
      <c r="E101" s="35" t="n"/>
      <c r="F101" s="36" t="n"/>
      <c r="G101" s="36" t="n"/>
      <c r="H101" s="36" t="n"/>
      <c r="I101" s="37">
        <f>IF(B101="","",F101+G101-H101)</f>
        <v/>
      </c>
      <c r="J101" s="38" t="n"/>
      <c r="K101" s="39">
        <f>IF(B101="","",I101*J101)</f>
        <v/>
      </c>
      <c r="L101" s="36" t="n"/>
      <c r="M101" s="40">
        <f>IF(B101="","",IF(I101&lt;=0,"SIN STOCK",IF(I101&lt;=L101,"REABASTECER","OK")))</f>
        <v/>
      </c>
    </row>
    <row r="102" ht="20" customHeight="1">
      <c r="A102" s="34" t="n">
        <v>96</v>
      </c>
      <c r="B102" s="35" t="n"/>
      <c r="C102" s="35" t="n"/>
      <c r="D102" s="35" t="n"/>
      <c r="E102" s="35" t="n"/>
      <c r="F102" s="36" t="n"/>
      <c r="G102" s="36" t="n"/>
      <c r="H102" s="36" t="n"/>
      <c r="I102" s="37">
        <f>IF(B102="","",F102+G102-H102)</f>
        <v/>
      </c>
      <c r="J102" s="38" t="n"/>
      <c r="K102" s="39">
        <f>IF(B102="","",I102*J102)</f>
        <v/>
      </c>
      <c r="L102" s="36" t="n"/>
      <c r="M102" s="40">
        <f>IF(B102="","",IF(I102&lt;=0,"SIN STOCK",IF(I102&lt;=L102,"REABASTECER","OK")))</f>
        <v/>
      </c>
    </row>
    <row r="103" ht="20" customHeight="1">
      <c r="A103" s="34" t="n">
        <v>97</v>
      </c>
      <c r="B103" s="35" t="n"/>
      <c r="C103" s="35" t="n"/>
      <c r="D103" s="35" t="n"/>
      <c r="E103" s="35" t="n"/>
      <c r="F103" s="36" t="n"/>
      <c r="G103" s="36" t="n"/>
      <c r="H103" s="36" t="n"/>
      <c r="I103" s="37">
        <f>IF(B103="","",F103+G103-H103)</f>
        <v/>
      </c>
      <c r="J103" s="38" t="n"/>
      <c r="K103" s="39">
        <f>IF(B103="","",I103*J103)</f>
        <v/>
      </c>
      <c r="L103" s="36" t="n"/>
      <c r="M103" s="40">
        <f>IF(B103="","",IF(I103&lt;=0,"SIN STOCK",IF(I103&lt;=L103,"REABASTECER","OK")))</f>
        <v/>
      </c>
    </row>
    <row r="104" ht="20" customHeight="1">
      <c r="A104" s="34" t="n">
        <v>98</v>
      </c>
      <c r="B104" s="35" t="n"/>
      <c r="C104" s="35" t="n"/>
      <c r="D104" s="35" t="n"/>
      <c r="E104" s="35" t="n"/>
      <c r="F104" s="36" t="n"/>
      <c r="G104" s="36" t="n"/>
      <c r="H104" s="36" t="n"/>
      <c r="I104" s="37">
        <f>IF(B104="","",F104+G104-H104)</f>
        <v/>
      </c>
      <c r="J104" s="38" t="n"/>
      <c r="K104" s="39">
        <f>IF(B104="","",I104*J104)</f>
        <v/>
      </c>
      <c r="L104" s="36" t="n"/>
      <c r="M104" s="40">
        <f>IF(B104="","",IF(I104&lt;=0,"SIN STOCK",IF(I104&lt;=L104,"REABASTECER","OK")))</f>
        <v/>
      </c>
    </row>
    <row r="105" ht="20" customHeight="1">
      <c r="A105" s="34" t="n">
        <v>99</v>
      </c>
      <c r="B105" s="35" t="n"/>
      <c r="C105" s="35" t="n"/>
      <c r="D105" s="35" t="n"/>
      <c r="E105" s="35" t="n"/>
      <c r="F105" s="36" t="n"/>
      <c r="G105" s="36" t="n"/>
      <c r="H105" s="36" t="n"/>
      <c r="I105" s="37">
        <f>IF(B105="","",F105+G105-H105)</f>
        <v/>
      </c>
      <c r="J105" s="38" t="n"/>
      <c r="K105" s="39">
        <f>IF(B105="","",I105*J105)</f>
        <v/>
      </c>
      <c r="L105" s="36" t="n"/>
      <c r="M105" s="40">
        <f>IF(B105="","",IF(I105&lt;=0,"SIN STOCK",IF(I105&lt;=L105,"REABASTECER","OK")))</f>
        <v/>
      </c>
    </row>
    <row r="106" ht="20" customHeight="1">
      <c r="A106" s="34" t="n">
        <v>100</v>
      </c>
      <c r="B106" s="35" t="n"/>
      <c r="C106" s="35" t="n"/>
      <c r="D106" s="35" t="n"/>
      <c r="E106" s="35" t="n"/>
      <c r="F106" s="36" t="n"/>
      <c r="G106" s="36" t="n"/>
      <c r="H106" s="36" t="n"/>
      <c r="I106" s="37">
        <f>IF(B106="","",F106+G106-H106)</f>
        <v/>
      </c>
      <c r="J106" s="38" t="n"/>
      <c r="K106" s="39">
        <f>IF(B106="","",I106*J106)</f>
        <v/>
      </c>
      <c r="L106" s="36" t="n"/>
      <c r="M106" s="40">
        <f>IF(B106="","",IF(I106&lt;=0,"SIN STOCK",IF(I106&lt;=L106,"REABASTECER","OK")))</f>
        <v/>
      </c>
    </row>
    <row r="107" ht="20" customHeight="1">
      <c r="A107" s="34" t="n">
        <v>101</v>
      </c>
      <c r="B107" s="35" t="n"/>
      <c r="C107" s="35" t="n"/>
      <c r="D107" s="35" t="n"/>
      <c r="E107" s="35" t="n"/>
      <c r="F107" s="36" t="n"/>
      <c r="G107" s="36" t="n"/>
      <c r="H107" s="36" t="n"/>
      <c r="I107" s="37">
        <f>IF(B107="","",F107+G107-H107)</f>
        <v/>
      </c>
      <c r="J107" s="38" t="n"/>
      <c r="K107" s="39">
        <f>IF(B107="","",I107*J107)</f>
        <v/>
      </c>
      <c r="L107" s="36" t="n"/>
      <c r="M107" s="40">
        <f>IF(B107="","",IF(I107&lt;=0,"SIN STOCK",IF(I107&lt;=L107,"REABASTECER","OK")))</f>
        <v/>
      </c>
    </row>
    <row r="108" ht="20" customHeight="1">
      <c r="A108" s="34" t="n">
        <v>102</v>
      </c>
      <c r="B108" s="35" t="n"/>
      <c r="C108" s="35" t="n"/>
      <c r="D108" s="35" t="n"/>
      <c r="E108" s="35" t="n"/>
      <c r="F108" s="36" t="n"/>
      <c r="G108" s="36" t="n"/>
      <c r="H108" s="36" t="n"/>
      <c r="I108" s="37">
        <f>IF(B108="","",F108+G108-H108)</f>
        <v/>
      </c>
      <c r="J108" s="38" t="n"/>
      <c r="K108" s="39">
        <f>IF(B108="","",I108*J108)</f>
        <v/>
      </c>
      <c r="L108" s="36" t="n"/>
      <c r="M108" s="40">
        <f>IF(B108="","",IF(I108&lt;=0,"SIN STOCK",IF(I108&lt;=L108,"REABASTECER","OK")))</f>
        <v/>
      </c>
    </row>
    <row r="109" ht="20" customHeight="1">
      <c r="A109" s="34" t="n">
        <v>103</v>
      </c>
      <c r="B109" s="35" t="n"/>
      <c r="C109" s="35" t="n"/>
      <c r="D109" s="35" t="n"/>
      <c r="E109" s="35" t="n"/>
      <c r="F109" s="36" t="n"/>
      <c r="G109" s="36" t="n"/>
      <c r="H109" s="36" t="n"/>
      <c r="I109" s="37">
        <f>IF(B109="","",F109+G109-H109)</f>
        <v/>
      </c>
      <c r="J109" s="38" t="n"/>
      <c r="K109" s="39">
        <f>IF(B109="","",I109*J109)</f>
        <v/>
      </c>
      <c r="L109" s="36" t="n"/>
      <c r="M109" s="40">
        <f>IF(B109="","",IF(I109&lt;=0,"SIN STOCK",IF(I109&lt;=L109,"REABASTECER","OK")))</f>
        <v/>
      </c>
    </row>
    <row r="110" ht="20" customHeight="1">
      <c r="A110" s="34" t="n">
        <v>104</v>
      </c>
      <c r="B110" s="35" t="n"/>
      <c r="C110" s="35" t="n"/>
      <c r="D110" s="35" t="n"/>
      <c r="E110" s="35" t="n"/>
      <c r="F110" s="36" t="n"/>
      <c r="G110" s="36" t="n"/>
      <c r="H110" s="36" t="n"/>
      <c r="I110" s="37">
        <f>IF(B110="","",F110+G110-H110)</f>
        <v/>
      </c>
      <c r="J110" s="38" t="n"/>
      <c r="K110" s="39">
        <f>IF(B110="","",I110*J110)</f>
        <v/>
      </c>
      <c r="L110" s="36" t="n"/>
      <c r="M110" s="40">
        <f>IF(B110="","",IF(I110&lt;=0,"SIN STOCK",IF(I110&lt;=L110,"REABASTECER","OK")))</f>
        <v/>
      </c>
    </row>
    <row r="111" ht="20" customHeight="1">
      <c r="A111" s="34" t="n">
        <v>105</v>
      </c>
      <c r="B111" s="35" t="n"/>
      <c r="C111" s="35" t="n"/>
      <c r="D111" s="35" t="n"/>
      <c r="E111" s="35" t="n"/>
      <c r="F111" s="36" t="n"/>
      <c r="G111" s="36" t="n"/>
      <c r="H111" s="36" t="n"/>
      <c r="I111" s="37">
        <f>IF(B111="","",F111+G111-H111)</f>
        <v/>
      </c>
      <c r="J111" s="38" t="n"/>
      <c r="K111" s="39">
        <f>IF(B111="","",I111*J111)</f>
        <v/>
      </c>
      <c r="L111" s="36" t="n"/>
      <c r="M111" s="40">
        <f>IF(B111="","",IF(I111&lt;=0,"SIN STOCK",IF(I111&lt;=L111,"REABASTECER","OK")))</f>
        <v/>
      </c>
    </row>
    <row r="112" ht="20" customHeight="1">
      <c r="A112" s="34" t="n">
        <v>106</v>
      </c>
      <c r="B112" s="35" t="n"/>
      <c r="C112" s="35" t="n"/>
      <c r="D112" s="35" t="n"/>
      <c r="E112" s="35" t="n"/>
      <c r="F112" s="36" t="n"/>
      <c r="G112" s="36" t="n"/>
      <c r="H112" s="36" t="n"/>
      <c r="I112" s="37">
        <f>IF(B112="","",F112+G112-H112)</f>
        <v/>
      </c>
      <c r="J112" s="38" t="n"/>
      <c r="K112" s="39">
        <f>IF(B112="","",I112*J112)</f>
        <v/>
      </c>
      <c r="L112" s="36" t="n"/>
      <c r="M112" s="40">
        <f>IF(B112="","",IF(I112&lt;=0,"SIN STOCK",IF(I112&lt;=L112,"REABASTECER","OK")))</f>
        <v/>
      </c>
    </row>
    <row r="113" ht="20" customHeight="1">
      <c r="A113" s="34" t="n">
        <v>107</v>
      </c>
      <c r="B113" s="35" t="n"/>
      <c r="C113" s="35" t="n"/>
      <c r="D113" s="35" t="n"/>
      <c r="E113" s="35" t="n"/>
      <c r="F113" s="36" t="n"/>
      <c r="G113" s="36" t="n"/>
      <c r="H113" s="36" t="n"/>
      <c r="I113" s="37">
        <f>IF(B113="","",F113+G113-H113)</f>
        <v/>
      </c>
      <c r="J113" s="38" t="n"/>
      <c r="K113" s="39">
        <f>IF(B113="","",I113*J113)</f>
        <v/>
      </c>
      <c r="L113" s="36" t="n"/>
      <c r="M113" s="40">
        <f>IF(B113="","",IF(I113&lt;=0,"SIN STOCK",IF(I113&lt;=L113,"REABASTECER","OK")))</f>
        <v/>
      </c>
    </row>
    <row r="114" ht="20" customHeight="1">
      <c r="A114" s="34" t="n">
        <v>108</v>
      </c>
      <c r="B114" s="35" t="n"/>
      <c r="C114" s="35" t="n"/>
      <c r="D114" s="35" t="n"/>
      <c r="E114" s="35" t="n"/>
      <c r="F114" s="36" t="n"/>
      <c r="G114" s="36" t="n"/>
      <c r="H114" s="36" t="n"/>
      <c r="I114" s="37">
        <f>IF(B114="","",F114+G114-H114)</f>
        <v/>
      </c>
      <c r="J114" s="38" t="n"/>
      <c r="K114" s="39">
        <f>IF(B114="","",I114*J114)</f>
        <v/>
      </c>
      <c r="L114" s="36" t="n"/>
      <c r="M114" s="40">
        <f>IF(B114="","",IF(I114&lt;=0,"SIN STOCK",IF(I114&lt;=L114,"REABASTECER","OK")))</f>
        <v/>
      </c>
    </row>
    <row r="115" ht="20" customHeight="1">
      <c r="A115" s="34" t="n">
        <v>109</v>
      </c>
      <c r="B115" s="35" t="n"/>
      <c r="C115" s="35" t="n"/>
      <c r="D115" s="35" t="n"/>
      <c r="E115" s="35" t="n"/>
      <c r="F115" s="36" t="n"/>
      <c r="G115" s="36" t="n"/>
      <c r="H115" s="36" t="n"/>
      <c r="I115" s="37">
        <f>IF(B115="","",F115+G115-H115)</f>
        <v/>
      </c>
      <c r="J115" s="38" t="n"/>
      <c r="K115" s="39">
        <f>IF(B115="","",I115*J115)</f>
        <v/>
      </c>
      <c r="L115" s="36" t="n"/>
      <c r="M115" s="40">
        <f>IF(B115="","",IF(I115&lt;=0,"SIN STOCK",IF(I115&lt;=L115,"REABASTECER","OK")))</f>
        <v/>
      </c>
    </row>
    <row r="116" ht="20" customHeight="1">
      <c r="A116" s="34" t="n">
        <v>110</v>
      </c>
      <c r="B116" s="35" t="n"/>
      <c r="C116" s="35" t="n"/>
      <c r="D116" s="35" t="n"/>
      <c r="E116" s="35" t="n"/>
      <c r="F116" s="36" t="n"/>
      <c r="G116" s="36" t="n"/>
      <c r="H116" s="36" t="n"/>
      <c r="I116" s="37">
        <f>IF(B116="","",F116+G116-H116)</f>
        <v/>
      </c>
      <c r="J116" s="38" t="n"/>
      <c r="K116" s="39">
        <f>IF(B116="","",I116*J116)</f>
        <v/>
      </c>
      <c r="L116" s="36" t="n"/>
      <c r="M116" s="40">
        <f>IF(B116="","",IF(I116&lt;=0,"SIN STOCK",IF(I116&lt;=L116,"REABASTECER","OK")))</f>
        <v/>
      </c>
    </row>
    <row r="117" ht="20" customHeight="1">
      <c r="A117" s="34" t="n">
        <v>111</v>
      </c>
      <c r="B117" s="35" t="n"/>
      <c r="C117" s="35" t="n"/>
      <c r="D117" s="35" t="n"/>
      <c r="E117" s="35" t="n"/>
      <c r="F117" s="36" t="n"/>
      <c r="G117" s="36" t="n"/>
      <c r="H117" s="36" t="n"/>
      <c r="I117" s="37">
        <f>IF(B117="","",F117+G117-H117)</f>
        <v/>
      </c>
      <c r="J117" s="38" t="n"/>
      <c r="K117" s="39">
        <f>IF(B117="","",I117*J117)</f>
        <v/>
      </c>
      <c r="L117" s="36" t="n"/>
      <c r="M117" s="40">
        <f>IF(B117="","",IF(I117&lt;=0,"SIN STOCK",IF(I117&lt;=L117,"REABASTECER","OK")))</f>
        <v/>
      </c>
    </row>
    <row r="118" ht="20" customHeight="1">
      <c r="A118" s="34" t="n">
        <v>112</v>
      </c>
      <c r="B118" s="35" t="n"/>
      <c r="C118" s="35" t="n"/>
      <c r="D118" s="35" t="n"/>
      <c r="E118" s="35" t="n"/>
      <c r="F118" s="36" t="n"/>
      <c r="G118" s="36" t="n"/>
      <c r="H118" s="36" t="n"/>
      <c r="I118" s="37">
        <f>IF(B118="","",F118+G118-H118)</f>
        <v/>
      </c>
      <c r="J118" s="38" t="n"/>
      <c r="K118" s="39">
        <f>IF(B118="","",I118*J118)</f>
        <v/>
      </c>
      <c r="L118" s="36" t="n"/>
      <c r="M118" s="40">
        <f>IF(B118="","",IF(I118&lt;=0,"SIN STOCK",IF(I118&lt;=L118,"REABASTECER","OK")))</f>
        <v/>
      </c>
    </row>
    <row r="119" ht="20" customHeight="1">
      <c r="A119" s="34" t="n">
        <v>113</v>
      </c>
      <c r="B119" s="35" t="n"/>
      <c r="C119" s="35" t="n"/>
      <c r="D119" s="35" t="n"/>
      <c r="E119" s="35" t="n"/>
      <c r="F119" s="36" t="n"/>
      <c r="G119" s="36" t="n"/>
      <c r="H119" s="36" t="n"/>
      <c r="I119" s="37">
        <f>IF(B119="","",F119+G119-H119)</f>
        <v/>
      </c>
      <c r="J119" s="38" t="n"/>
      <c r="K119" s="39">
        <f>IF(B119="","",I119*J119)</f>
        <v/>
      </c>
      <c r="L119" s="36" t="n"/>
      <c r="M119" s="40">
        <f>IF(B119="","",IF(I119&lt;=0,"SIN STOCK",IF(I119&lt;=L119,"REABASTECER","OK")))</f>
        <v/>
      </c>
    </row>
    <row r="120" ht="20" customHeight="1">
      <c r="A120" s="34" t="n">
        <v>114</v>
      </c>
      <c r="B120" s="35" t="n"/>
      <c r="C120" s="35" t="n"/>
      <c r="D120" s="35" t="n"/>
      <c r="E120" s="35" t="n"/>
      <c r="F120" s="36" t="n"/>
      <c r="G120" s="36" t="n"/>
      <c r="H120" s="36" t="n"/>
      <c r="I120" s="37">
        <f>IF(B120="","",F120+G120-H120)</f>
        <v/>
      </c>
      <c r="J120" s="38" t="n"/>
      <c r="K120" s="39">
        <f>IF(B120="","",I120*J120)</f>
        <v/>
      </c>
      <c r="L120" s="36" t="n"/>
      <c r="M120" s="40">
        <f>IF(B120="","",IF(I120&lt;=0,"SIN STOCK",IF(I120&lt;=L120,"REABASTECER","OK")))</f>
        <v/>
      </c>
    </row>
    <row r="121" ht="20" customHeight="1">
      <c r="A121" s="34" t="n">
        <v>115</v>
      </c>
      <c r="B121" s="35" t="n"/>
      <c r="C121" s="35" t="n"/>
      <c r="D121" s="35" t="n"/>
      <c r="E121" s="35" t="n"/>
      <c r="F121" s="36" t="n"/>
      <c r="G121" s="36" t="n"/>
      <c r="H121" s="36" t="n"/>
      <c r="I121" s="37">
        <f>IF(B121="","",F121+G121-H121)</f>
        <v/>
      </c>
      <c r="J121" s="38" t="n"/>
      <c r="K121" s="39">
        <f>IF(B121="","",I121*J121)</f>
        <v/>
      </c>
      <c r="L121" s="36" t="n"/>
      <c r="M121" s="40">
        <f>IF(B121="","",IF(I121&lt;=0,"SIN STOCK",IF(I121&lt;=L121,"REABASTECER","OK")))</f>
        <v/>
      </c>
    </row>
    <row r="122" ht="20" customHeight="1">
      <c r="A122" s="34" t="n">
        <v>116</v>
      </c>
      <c r="B122" s="35" t="n"/>
      <c r="C122" s="35" t="n"/>
      <c r="D122" s="35" t="n"/>
      <c r="E122" s="35" t="n"/>
      <c r="F122" s="36" t="n"/>
      <c r="G122" s="36" t="n"/>
      <c r="H122" s="36" t="n"/>
      <c r="I122" s="37">
        <f>IF(B122="","",F122+G122-H122)</f>
        <v/>
      </c>
      <c r="J122" s="38" t="n"/>
      <c r="K122" s="39">
        <f>IF(B122="","",I122*J122)</f>
        <v/>
      </c>
      <c r="L122" s="36" t="n"/>
      <c r="M122" s="40">
        <f>IF(B122="","",IF(I122&lt;=0,"SIN STOCK",IF(I122&lt;=L122,"REABASTECER","OK")))</f>
        <v/>
      </c>
    </row>
    <row r="123" ht="20" customHeight="1">
      <c r="A123" s="34" t="n">
        <v>117</v>
      </c>
      <c r="B123" s="35" t="n"/>
      <c r="C123" s="35" t="n"/>
      <c r="D123" s="35" t="n"/>
      <c r="E123" s="35" t="n"/>
      <c r="F123" s="36" t="n"/>
      <c r="G123" s="36" t="n"/>
      <c r="H123" s="36" t="n"/>
      <c r="I123" s="37">
        <f>IF(B123="","",F123+G123-H123)</f>
        <v/>
      </c>
      <c r="J123" s="38" t="n"/>
      <c r="K123" s="39">
        <f>IF(B123="","",I123*J123)</f>
        <v/>
      </c>
      <c r="L123" s="36" t="n"/>
      <c r="M123" s="40">
        <f>IF(B123="","",IF(I123&lt;=0,"SIN STOCK",IF(I123&lt;=L123,"REABASTECER","OK")))</f>
        <v/>
      </c>
    </row>
    <row r="124" ht="20" customHeight="1">
      <c r="A124" s="34" t="n">
        <v>118</v>
      </c>
      <c r="B124" s="35" t="n"/>
      <c r="C124" s="35" t="n"/>
      <c r="D124" s="35" t="n"/>
      <c r="E124" s="35" t="n"/>
      <c r="F124" s="36" t="n"/>
      <c r="G124" s="36" t="n"/>
      <c r="H124" s="36" t="n"/>
      <c r="I124" s="37">
        <f>IF(B124="","",F124+G124-H124)</f>
        <v/>
      </c>
      <c r="J124" s="38" t="n"/>
      <c r="K124" s="39">
        <f>IF(B124="","",I124*J124)</f>
        <v/>
      </c>
      <c r="L124" s="36" t="n"/>
      <c r="M124" s="40">
        <f>IF(B124="","",IF(I124&lt;=0,"SIN STOCK",IF(I124&lt;=L124,"REABASTECER","OK")))</f>
        <v/>
      </c>
    </row>
    <row r="125" ht="20" customHeight="1">
      <c r="A125" s="34" t="n">
        <v>119</v>
      </c>
      <c r="B125" s="35" t="n"/>
      <c r="C125" s="35" t="n"/>
      <c r="D125" s="35" t="n"/>
      <c r="E125" s="35" t="n"/>
      <c r="F125" s="36" t="n"/>
      <c r="G125" s="36" t="n"/>
      <c r="H125" s="36" t="n"/>
      <c r="I125" s="37">
        <f>IF(B125="","",F125+G125-H125)</f>
        <v/>
      </c>
      <c r="J125" s="38" t="n"/>
      <c r="K125" s="39">
        <f>IF(B125="","",I125*J125)</f>
        <v/>
      </c>
      <c r="L125" s="36" t="n"/>
      <c r="M125" s="40">
        <f>IF(B125="","",IF(I125&lt;=0,"SIN STOCK",IF(I125&lt;=L125,"REABASTECER","OK")))</f>
        <v/>
      </c>
    </row>
    <row r="126" ht="20" customHeight="1">
      <c r="A126" s="34" t="n">
        <v>120</v>
      </c>
      <c r="B126" s="35" t="n"/>
      <c r="C126" s="35" t="n"/>
      <c r="D126" s="35" t="n"/>
      <c r="E126" s="35" t="n"/>
      <c r="F126" s="36" t="n"/>
      <c r="G126" s="36" t="n"/>
      <c r="H126" s="36" t="n"/>
      <c r="I126" s="37">
        <f>IF(B126="","",F126+G126-H126)</f>
        <v/>
      </c>
      <c r="J126" s="38" t="n"/>
      <c r="K126" s="39">
        <f>IF(B126="","",I126*J126)</f>
        <v/>
      </c>
      <c r="L126" s="36" t="n"/>
      <c r="M126" s="40">
        <f>IF(B126="","",IF(I126&lt;=0,"SIN STOCK",IF(I126&lt;=L126,"REABASTECER","OK")))</f>
        <v/>
      </c>
    </row>
    <row r="127" ht="20" customHeight="1">
      <c r="A127" s="34" t="n">
        <v>121</v>
      </c>
      <c r="B127" s="35" t="n"/>
      <c r="C127" s="35" t="n"/>
      <c r="D127" s="35" t="n"/>
      <c r="E127" s="35" t="n"/>
      <c r="F127" s="36" t="n"/>
      <c r="G127" s="36" t="n"/>
      <c r="H127" s="36" t="n"/>
      <c r="I127" s="37">
        <f>IF(B127="","",F127+G127-H127)</f>
        <v/>
      </c>
      <c r="J127" s="38" t="n"/>
      <c r="K127" s="39">
        <f>IF(B127="","",I127*J127)</f>
        <v/>
      </c>
      <c r="L127" s="36" t="n"/>
      <c r="M127" s="40">
        <f>IF(B127="","",IF(I127&lt;=0,"SIN STOCK",IF(I127&lt;=L127,"REABASTECER","OK")))</f>
        <v/>
      </c>
    </row>
    <row r="128" ht="20" customHeight="1">
      <c r="A128" s="34" t="n">
        <v>122</v>
      </c>
      <c r="B128" s="35" t="n"/>
      <c r="C128" s="35" t="n"/>
      <c r="D128" s="35" t="n"/>
      <c r="E128" s="35" t="n"/>
      <c r="F128" s="36" t="n"/>
      <c r="G128" s="36" t="n"/>
      <c r="H128" s="36" t="n"/>
      <c r="I128" s="37">
        <f>IF(B128="","",F128+G128-H128)</f>
        <v/>
      </c>
      <c r="J128" s="38" t="n"/>
      <c r="K128" s="39">
        <f>IF(B128="","",I128*J128)</f>
        <v/>
      </c>
      <c r="L128" s="36" t="n"/>
      <c r="M128" s="40">
        <f>IF(B128="","",IF(I128&lt;=0,"SIN STOCK",IF(I128&lt;=L128,"REABASTECER","OK")))</f>
        <v/>
      </c>
    </row>
    <row r="129" ht="20" customHeight="1">
      <c r="A129" s="34" t="n">
        <v>123</v>
      </c>
      <c r="B129" s="35" t="n"/>
      <c r="C129" s="35" t="n"/>
      <c r="D129" s="35" t="n"/>
      <c r="E129" s="35" t="n"/>
      <c r="F129" s="36" t="n"/>
      <c r="G129" s="36" t="n"/>
      <c r="H129" s="36" t="n"/>
      <c r="I129" s="37">
        <f>IF(B129="","",F129+G129-H129)</f>
        <v/>
      </c>
      <c r="J129" s="38" t="n"/>
      <c r="K129" s="39">
        <f>IF(B129="","",I129*J129)</f>
        <v/>
      </c>
      <c r="L129" s="36" t="n"/>
      <c r="M129" s="40">
        <f>IF(B129="","",IF(I129&lt;=0,"SIN STOCK",IF(I129&lt;=L129,"REABASTECER","OK")))</f>
        <v/>
      </c>
    </row>
    <row r="130" ht="20" customHeight="1">
      <c r="A130" s="34" t="n">
        <v>124</v>
      </c>
      <c r="B130" s="35" t="n"/>
      <c r="C130" s="35" t="n"/>
      <c r="D130" s="35" t="n"/>
      <c r="E130" s="35" t="n"/>
      <c r="F130" s="36" t="n"/>
      <c r="G130" s="36" t="n"/>
      <c r="H130" s="36" t="n"/>
      <c r="I130" s="37">
        <f>IF(B130="","",F130+G130-H130)</f>
        <v/>
      </c>
      <c r="J130" s="38" t="n"/>
      <c r="K130" s="39">
        <f>IF(B130="","",I130*J130)</f>
        <v/>
      </c>
      <c r="L130" s="36" t="n"/>
      <c r="M130" s="40">
        <f>IF(B130="","",IF(I130&lt;=0,"SIN STOCK",IF(I130&lt;=L130,"REABASTECER","OK")))</f>
        <v/>
      </c>
    </row>
    <row r="131" ht="20" customHeight="1">
      <c r="A131" s="34" t="n">
        <v>125</v>
      </c>
      <c r="B131" s="35" t="n"/>
      <c r="C131" s="35" t="n"/>
      <c r="D131" s="35" t="n"/>
      <c r="E131" s="35" t="n"/>
      <c r="F131" s="36" t="n"/>
      <c r="G131" s="36" t="n"/>
      <c r="H131" s="36" t="n"/>
      <c r="I131" s="37">
        <f>IF(B131="","",F131+G131-H131)</f>
        <v/>
      </c>
      <c r="J131" s="38" t="n"/>
      <c r="K131" s="39">
        <f>IF(B131="","",I131*J131)</f>
        <v/>
      </c>
      <c r="L131" s="36" t="n"/>
      <c r="M131" s="40">
        <f>IF(B131="","",IF(I131&lt;=0,"SIN STOCK",IF(I131&lt;=L131,"REABASTECER","OK")))</f>
        <v/>
      </c>
    </row>
    <row r="132" ht="20" customHeight="1">
      <c r="A132" s="34" t="n">
        <v>126</v>
      </c>
      <c r="B132" s="35" t="n"/>
      <c r="C132" s="35" t="n"/>
      <c r="D132" s="35" t="n"/>
      <c r="E132" s="35" t="n"/>
      <c r="F132" s="36" t="n"/>
      <c r="G132" s="36" t="n"/>
      <c r="H132" s="36" t="n"/>
      <c r="I132" s="37">
        <f>IF(B132="","",F132+G132-H132)</f>
        <v/>
      </c>
      <c r="J132" s="38" t="n"/>
      <c r="K132" s="39">
        <f>IF(B132="","",I132*J132)</f>
        <v/>
      </c>
      <c r="L132" s="36" t="n"/>
      <c r="M132" s="40">
        <f>IF(B132="","",IF(I132&lt;=0,"SIN STOCK",IF(I132&lt;=L132,"REABASTECER","OK")))</f>
        <v/>
      </c>
    </row>
    <row r="133" ht="20" customHeight="1">
      <c r="A133" s="34" t="n">
        <v>127</v>
      </c>
      <c r="B133" s="35" t="n"/>
      <c r="C133" s="35" t="n"/>
      <c r="D133" s="35" t="n"/>
      <c r="E133" s="35" t="n"/>
      <c r="F133" s="36" t="n"/>
      <c r="G133" s="36" t="n"/>
      <c r="H133" s="36" t="n"/>
      <c r="I133" s="37">
        <f>IF(B133="","",F133+G133-H133)</f>
        <v/>
      </c>
      <c r="J133" s="38" t="n"/>
      <c r="K133" s="39">
        <f>IF(B133="","",I133*J133)</f>
        <v/>
      </c>
      <c r="L133" s="36" t="n"/>
      <c r="M133" s="40">
        <f>IF(B133="","",IF(I133&lt;=0,"SIN STOCK",IF(I133&lt;=L133,"REABASTECER","OK")))</f>
        <v/>
      </c>
    </row>
    <row r="134" ht="20" customHeight="1">
      <c r="A134" s="34" t="n">
        <v>128</v>
      </c>
      <c r="B134" s="35" t="n"/>
      <c r="C134" s="35" t="n"/>
      <c r="D134" s="35" t="n"/>
      <c r="E134" s="35" t="n"/>
      <c r="F134" s="36" t="n"/>
      <c r="G134" s="36" t="n"/>
      <c r="H134" s="36" t="n"/>
      <c r="I134" s="37">
        <f>IF(B134="","",F134+G134-H134)</f>
        <v/>
      </c>
      <c r="J134" s="38" t="n"/>
      <c r="K134" s="39">
        <f>IF(B134="","",I134*J134)</f>
        <v/>
      </c>
      <c r="L134" s="36" t="n"/>
      <c r="M134" s="40">
        <f>IF(B134="","",IF(I134&lt;=0,"SIN STOCK",IF(I134&lt;=L134,"REABASTECER","OK")))</f>
        <v/>
      </c>
    </row>
    <row r="135" ht="20" customHeight="1">
      <c r="A135" s="34" t="n">
        <v>129</v>
      </c>
      <c r="B135" s="35" t="n"/>
      <c r="C135" s="35" t="n"/>
      <c r="D135" s="35" t="n"/>
      <c r="E135" s="35" t="n"/>
      <c r="F135" s="36" t="n"/>
      <c r="G135" s="36" t="n"/>
      <c r="H135" s="36" t="n"/>
      <c r="I135" s="37">
        <f>IF(B135="","",F135+G135-H135)</f>
        <v/>
      </c>
      <c r="J135" s="38" t="n"/>
      <c r="K135" s="39">
        <f>IF(B135="","",I135*J135)</f>
        <v/>
      </c>
      <c r="L135" s="36" t="n"/>
      <c r="M135" s="40">
        <f>IF(B135="","",IF(I135&lt;=0,"SIN STOCK",IF(I135&lt;=L135,"REABASTECER","OK")))</f>
        <v/>
      </c>
    </row>
    <row r="136" ht="20" customHeight="1">
      <c r="A136" s="34" t="n">
        <v>130</v>
      </c>
      <c r="B136" s="35" t="n"/>
      <c r="C136" s="35" t="n"/>
      <c r="D136" s="35" t="n"/>
      <c r="E136" s="35" t="n"/>
      <c r="F136" s="36" t="n"/>
      <c r="G136" s="36" t="n"/>
      <c r="H136" s="36" t="n"/>
      <c r="I136" s="37">
        <f>IF(B136="","",F136+G136-H136)</f>
        <v/>
      </c>
      <c r="J136" s="38" t="n"/>
      <c r="K136" s="39">
        <f>IF(B136="","",I136*J136)</f>
        <v/>
      </c>
      <c r="L136" s="36" t="n"/>
      <c r="M136" s="40">
        <f>IF(B136="","",IF(I136&lt;=0,"SIN STOCK",IF(I136&lt;=L136,"REABASTECER","OK")))</f>
        <v/>
      </c>
    </row>
    <row r="137" ht="20" customHeight="1">
      <c r="A137" s="34" t="n">
        <v>131</v>
      </c>
      <c r="B137" s="35" t="n"/>
      <c r="C137" s="35" t="n"/>
      <c r="D137" s="35" t="n"/>
      <c r="E137" s="35" t="n"/>
      <c r="F137" s="36" t="n"/>
      <c r="G137" s="36" t="n"/>
      <c r="H137" s="36" t="n"/>
      <c r="I137" s="37">
        <f>IF(B137="","",F137+G137-H137)</f>
        <v/>
      </c>
      <c r="J137" s="38" t="n"/>
      <c r="K137" s="39">
        <f>IF(B137="","",I137*J137)</f>
        <v/>
      </c>
      <c r="L137" s="36" t="n"/>
      <c r="M137" s="40">
        <f>IF(B137="","",IF(I137&lt;=0,"SIN STOCK",IF(I137&lt;=L137,"REABASTECER","OK")))</f>
        <v/>
      </c>
    </row>
    <row r="138" ht="20" customHeight="1">
      <c r="A138" s="34" t="n">
        <v>132</v>
      </c>
      <c r="B138" s="35" t="n"/>
      <c r="C138" s="35" t="n"/>
      <c r="D138" s="35" t="n"/>
      <c r="E138" s="35" t="n"/>
      <c r="F138" s="36" t="n"/>
      <c r="G138" s="36" t="n"/>
      <c r="H138" s="36" t="n"/>
      <c r="I138" s="37">
        <f>IF(B138="","",F138+G138-H138)</f>
        <v/>
      </c>
      <c r="J138" s="38" t="n"/>
      <c r="K138" s="39">
        <f>IF(B138="","",I138*J138)</f>
        <v/>
      </c>
      <c r="L138" s="36" t="n"/>
      <c r="M138" s="40">
        <f>IF(B138="","",IF(I138&lt;=0,"SIN STOCK",IF(I138&lt;=L138,"REABASTECER","OK")))</f>
        <v/>
      </c>
    </row>
    <row r="139" ht="20" customHeight="1">
      <c r="A139" s="34" t="n">
        <v>133</v>
      </c>
      <c r="B139" s="35" t="n"/>
      <c r="C139" s="35" t="n"/>
      <c r="D139" s="35" t="n"/>
      <c r="E139" s="35" t="n"/>
      <c r="F139" s="36" t="n"/>
      <c r="G139" s="36" t="n"/>
      <c r="H139" s="36" t="n"/>
      <c r="I139" s="37">
        <f>IF(B139="","",F139+G139-H139)</f>
        <v/>
      </c>
      <c r="J139" s="38" t="n"/>
      <c r="K139" s="39">
        <f>IF(B139="","",I139*J139)</f>
        <v/>
      </c>
      <c r="L139" s="36" t="n"/>
      <c r="M139" s="40">
        <f>IF(B139="","",IF(I139&lt;=0,"SIN STOCK",IF(I139&lt;=L139,"REABASTECER","OK")))</f>
        <v/>
      </c>
    </row>
    <row r="140" ht="20" customHeight="1">
      <c r="A140" s="34" t="n">
        <v>134</v>
      </c>
      <c r="B140" s="35" t="n"/>
      <c r="C140" s="35" t="n"/>
      <c r="D140" s="35" t="n"/>
      <c r="E140" s="35" t="n"/>
      <c r="F140" s="36" t="n"/>
      <c r="G140" s="36" t="n"/>
      <c r="H140" s="36" t="n"/>
      <c r="I140" s="37">
        <f>IF(B140="","",F140+G140-H140)</f>
        <v/>
      </c>
      <c r="J140" s="38" t="n"/>
      <c r="K140" s="39">
        <f>IF(B140="","",I140*J140)</f>
        <v/>
      </c>
      <c r="L140" s="36" t="n"/>
      <c r="M140" s="40">
        <f>IF(B140="","",IF(I140&lt;=0,"SIN STOCK",IF(I140&lt;=L140,"REABASTECER","OK")))</f>
        <v/>
      </c>
    </row>
    <row r="141" ht="20" customHeight="1">
      <c r="A141" s="34" t="n">
        <v>135</v>
      </c>
      <c r="B141" s="35" t="n"/>
      <c r="C141" s="35" t="n"/>
      <c r="D141" s="35" t="n"/>
      <c r="E141" s="35" t="n"/>
      <c r="F141" s="36" t="n"/>
      <c r="G141" s="36" t="n"/>
      <c r="H141" s="36" t="n"/>
      <c r="I141" s="37">
        <f>IF(B141="","",F141+G141-H141)</f>
        <v/>
      </c>
      <c r="J141" s="38" t="n"/>
      <c r="K141" s="39">
        <f>IF(B141="","",I141*J141)</f>
        <v/>
      </c>
      <c r="L141" s="36" t="n"/>
      <c r="M141" s="40">
        <f>IF(B141="","",IF(I141&lt;=0,"SIN STOCK",IF(I141&lt;=L141,"REABASTECER","OK")))</f>
        <v/>
      </c>
    </row>
    <row r="142" ht="20" customHeight="1">
      <c r="A142" s="34" t="n">
        <v>136</v>
      </c>
      <c r="B142" s="35" t="n"/>
      <c r="C142" s="35" t="n"/>
      <c r="D142" s="35" t="n"/>
      <c r="E142" s="35" t="n"/>
      <c r="F142" s="36" t="n"/>
      <c r="G142" s="36" t="n"/>
      <c r="H142" s="36" t="n"/>
      <c r="I142" s="37">
        <f>IF(B142="","",F142+G142-H142)</f>
        <v/>
      </c>
      <c r="J142" s="38" t="n"/>
      <c r="K142" s="39">
        <f>IF(B142="","",I142*J142)</f>
        <v/>
      </c>
      <c r="L142" s="36" t="n"/>
      <c r="M142" s="40">
        <f>IF(B142="","",IF(I142&lt;=0,"SIN STOCK",IF(I142&lt;=L142,"REABASTECER","OK")))</f>
        <v/>
      </c>
    </row>
    <row r="143" ht="20" customHeight="1">
      <c r="A143" s="34" t="n">
        <v>137</v>
      </c>
      <c r="B143" s="35" t="n"/>
      <c r="C143" s="35" t="n"/>
      <c r="D143" s="35" t="n"/>
      <c r="E143" s="35" t="n"/>
      <c r="F143" s="36" t="n"/>
      <c r="G143" s="36" t="n"/>
      <c r="H143" s="36" t="n"/>
      <c r="I143" s="37">
        <f>IF(B143="","",F143+G143-H143)</f>
        <v/>
      </c>
      <c r="J143" s="38" t="n"/>
      <c r="K143" s="39">
        <f>IF(B143="","",I143*J143)</f>
        <v/>
      </c>
      <c r="L143" s="36" t="n"/>
      <c r="M143" s="40">
        <f>IF(B143="","",IF(I143&lt;=0,"SIN STOCK",IF(I143&lt;=L143,"REABASTECER","OK")))</f>
        <v/>
      </c>
    </row>
    <row r="144" ht="20" customHeight="1">
      <c r="A144" s="34" t="n">
        <v>138</v>
      </c>
      <c r="B144" s="35" t="n"/>
      <c r="C144" s="35" t="n"/>
      <c r="D144" s="35" t="n"/>
      <c r="E144" s="35" t="n"/>
      <c r="F144" s="36" t="n"/>
      <c r="G144" s="36" t="n"/>
      <c r="H144" s="36" t="n"/>
      <c r="I144" s="37">
        <f>IF(B144="","",F144+G144-H144)</f>
        <v/>
      </c>
      <c r="J144" s="38" t="n"/>
      <c r="K144" s="39">
        <f>IF(B144="","",I144*J144)</f>
        <v/>
      </c>
      <c r="L144" s="36" t="n"/>
      <c r="M144" s="40">
        <f>IF(B144="","",IF(I144&lt;=0,"SIN STOCK",IF(I144&lt;=L144,"REABASTECER","OK")))</f>
        <v/>
      </c>
    </row>
    <row r="145" ht="20" customHeight="1">
      <c r="A145" s="34" t="n">
        <v>139</v>
      </c>
      <c r="B145" s="35" t="n"/>
      <c r="C145" s="35" t="n"/>
      <c r="D145" s="35" t="n"/>
      <c r="E145" s="35" t="n"/>
      <c r="F145" s="36" t="n"/>
      <c r="G145" s="36" t="n"/>
      <c r="H145" s="36" t="n"/>
      <c r="I145" s="37">
        <f>IF(B145="","",F145+G145-H145)</f>
        <v/>
      </c>
      <c r="J145" s="38" t="n"/>
      <c r="K145" s="39">
        <f>IF(B145="","",I145*J145)</f>
        <v/>
      </c>
      <c r="L145" s="36" t="n"/>
      <c r="M145" s="40">
        <f>IF(B145="","",IF(I145&lt;=0,"SIN STOCK",IF(I145&lt;=L145,"REABASTECER","OK")))</f>
        <v/>
      </c>
    </row>
    <row r="146" ht="20" customHeight="1">
      <c r="A146" s="34" t="n">
        <v>140</v>
      </c>
      <c r="B146" s="35" t="n"/>
      <c r="C146" s="35" t="n"/>
      <c r="D146" s="35" t="n"/>
      <c r="E146" s="35" t="n"/>
      <c r="F146" s="36" t="n"/>
      <c r="G146" s="36" t="n"/>
      <c r="H146" s="36" t="n"/>
      <c r="I146" s="37">
        <f>IF(B146="","",F146+G146-H146)</f>
        <v/>
      </c>
      <c r="J146" s="38" t="n"/>
      <c r="K146" s="39">
        <f>IF(B146="","",I146*J146)</f>
        <v/>
      </c>
      <c r="L146" s="36" t="n"/>
      <c r="M146" s="40">
        <f>IF(B146="","",IF(I146&lt;=0,"SIN STOCK",IF(I146&lt;=L146,"REABASTECER","OK")))</f>
        <v/>
      </c>
    </row>
    <row r="147" ht="20" customHeight="1">
      <c r="A147" s="34" t="n">
        <v>141</v>
      </c>
      <c r="B147" s="35" t="n"/>
      <c r="C147" s="35" t="n"/>
      <c r="D147" s="35" t="n"/>
      <c r="E147" s="35" t="n"/>
      <c r="F147" s="36" t="n"/>
      <c r="G147" s="36" t="n"/>
      <c r="H147" s="36" t="n"/>
      <c r="I147" s="37">
        <f>IF(B147="","",F147+G147-H147)</f>
        <v/>
      </c>
      <c r="J147" s="38" t="n"/>
      <c r="K147" s="39">
        <f>IF(B147="","",I147*J147)</f>
        <v/>
      </c>
      <c r="L147" s="36" t="n"/>
      <c r="M147" s="40">
        <f>IF(B147="","",IF(I147&lt;=0,"SIN STOCK",IF(I147&lt;=L147,"REABASTECER","OK")))</f>
        <v/>
      </c>
    </row>
    <row r="148" ht="20" customHeight="1">
      <c r="A148" s="34" t="n">
        <v>142</v>
      </c>
      <c r="B148" s="35" t="n"/>
      <c r="C148" s="35" t="n"/>
      <c r="D148" s="35" t="n"/>
      <c r="E148" s="35" t="n"/>
      <c r="F148" s="36" t="n"/>
      <c r="G148" s="36" t="n"/>
      <c r="H148" s="36" t="n"/>
      <c r="I148" s="37">
        <f>IF(B148="","",F148+G148-H148)</f>
        <v/>
      </c>
      <c r="J148" s="38" t="n"/>
      <c r="K148" s="39">
        <f>IF(B148="","",I148*J148)</f>
        <v/>
      </c>
      <c r="L148" s="36" t="n"/>
      <c r="M148" s="40">
        <f>IF(B148="","",IF(I148&lt;=0,"SIN STOCK",IF(I148&lt;=L148,"REABASTECER","OK")))</f>
        <v/>
      </c>
    </row>
    <row r="149" ht="20" customHeight="1">
      <c r="A149" s="34" t="n">
        <v>143</v>
      </c>
      <c r="B149" s="35" t="n"/>
      <c r="C149" s="35" t="n"/>
      <c r="D149" s="35" t="n"/>
      <c r="E149" s="35" t="n"/>
      <c r="F149" s="36" t="n"/>
      <c r="G149" s="36" t="n"/>
      <c r="H149" s="36" t="n"/>
      <c r="I149" s="37">
        <f>IF(B149="","",F149+G149-H149)</f>
        <v/>
      </c>
      <c r="J149" s="38" t="n"/>
      <c r="K149" s="39">
        <f>IF(B149="","",I149*J149)</f>
        <v/>
      </c>
      <c r="L149" s="36" t="n"/>
      <c r="M149" s="40">
        <f>IF(B149="","",IF(I149&lt;=0,"SIN STOCK",IF(I149&lt;=L149,"REABASTECER","OK")))</f>
        <v/>
      </c>
    </row>
    <row r="150" ht="20" customHeight="1">
      <c r="A150" s="34" t="n">
        <v>144</v>
      </c>
      <c r="B150" s="35" t="n"/>
      <c r="C150" s="35" t="n"/>
      <c r="D150" s="35" t="n"/>
      <c r="E150" s="35" t="n"/>
      <c r="F150" s="36" t="n"/>
      <c r="G150" s="36" t="n"/>
      <c r="H150" s="36" t="n"/>
      <c r="I150" s="37">
        <f>IF(B150="","",F150+G150-H150)</f>
        <v/>
      </c>
      <c r="J150" s="38" t="n"/>
      <c r="K150" s="39">
        <f>IF(B150="","",I150*J150)</f>
        <v/>
      </c>
      <c r="L150" s="36" t="n"/>
      <c r="M150" s="40">
        <f>IF(B150="","",IF(I150&lt;=0,"SIN STOCK",IF(I150&lt;=L150,"REABASTECER","OK")))</f>
        <v/>
      </c>
    </row>
    <row r="151" ht="20" customHeight="1">
      <c r="A151" s="34" t="n">
        <v>145</v>
      </c>
      <c r="B151" s="35" t="n"/>
      <c r="C151" s="35" t="n"/>
      <c r="D151" s="35" t="n"/>
      <c r="E151" s="35" t="n"/>
      <c r="F151" s="36" t="n"/>
      <c r="G151" s="36" t="n"/>
      <c r="H151" s="36" t="n"/>
      <c r="I151" s="37">
        <f>IF(B151="","",F151+G151-H151)</f>
        <v/>
      </c>
      <c r="J151" s="38" t="n"/>
      <c r="K151" s="39">
        <f>IF(B151="","",I151*J151)</f>
        <v/>
      </c>
      <c r="L151" s="36" t="n"/>
      <c r="M151" s="40">
        <f>IF(B151="","",IF(I151&lt;=0,"SIN STOCK",IF(I151&lt;=L151,"REABASTECER","OK")))</f>
        <v/>
      </c>
    </row>
    <row r="152" ht="20" customHeight="1">
      <c r="A152" s="34" t="n">
        <v>146</v>
      </c>
      <c r="B152" s="35" t="n"/>
      <c r="C152" s="35" t="n"/>
      <c r="D152" s="35" t="n"/>
      <c r="E152" s="35" t="n"/>
      <c r="F152" s="36" t="n"/>
      <c r="G152" s="36" t="n"/>
      <c r="H152" s="36" t="n"/>
      <c r="I152" s="37">
        <f>IF(B152="","",F152+G152-H152)</f>
        <v/>
      </c>
      <c r="J152" s="38" t="n"/>
      <c r="K152" s="39">
        <f>IF(B152="","",I152*J152)</f>
        <v/>
      </c>
      <c r="L152" s="36" t="n"/>
      <c r="M152" s="40">
        <f>IF(B152="","",IF(I152&lt;=0,"SIN STOCK",IF(I152&lt;=L152,"REABASTECER","OK")))</f>
        <v/>
      </c>
    </row>
    <row r="153" ht="20" customHeight="1">
      <c r="A153" s="34" t="n">
        <v>147</v>
      </c>
      <c r="B153" s="35" t="n"/>
      <c r="C153" s="35" t="n"/>
      <c r="D153" s="35" t="n"/>
      <c r="E153" s="35" t="n"/>
      <c r="F153" s="36" t="n"/>
      <c r="G153" s="36" t="n"/>
      <c r="H153" s="36" t="n"/>
      <c r="I153" s="37">
        <f>IF(B153="","",F153+G153-H153)</f>
        <v/>
      </c>
      <c r="J153" s="38" t="n"/>
      <c r="K153" s="39">
        <f>IF(B153="","",I153*J153)</f>
        <v/>
      </c>
      <c r="L153" s="36" t="n"/>
      <c r="M153" s="40">
        <f>IF(B153="","",IF(I153&lt;=0,"SIN STOCK",IF(I153&lt;=L153,"REABASTECER","OK")))</f>
        <v/>
      </c>
    </row>
    <row r="154" ht="20" customHeight="1">
      <c r="A154" s="34" t="n">
        <v>148</v>
      </c>
      <c r="B154" s="35" t="n"/>
      <c r="C154" s="35" t="n"/>
      <c r="D154" s="35" t="n"/>
      <c r="E154" s="35" t="n"/>
      <c r="F154" s="36" t="n"/>
      <c r="G154" s="36" t="n"/>
      <c r="H154" s="36" t="n"/>
      <c r="I154" s="37">
        <f>IF(B154="","",F154+G154-H154)</f>
        <v/>
      </c>
      <c r="J154" s="38" t="n"/>
      <c r="K154" s="39">
        <f>IF(B154="","",I154*J154)</f>
        <v/>
      </c>
      <c r="L154" s="36" t="n"/>
      <c r="M154" s="40">
        <f>IF(B154="","",IF(I154&lt;=0,"SIN STOCK",IF(I154&lt;=L154,"REABASTECER","OK")))</f>
        <v/>
      </c>
    </row>
    <row r="155" ht="20" customHeight="1">
      <c r="A155" s="34" t="n">
        <v>149</v>
      </c>
      <c r="B155" s="35" t="n"/>
      <c r="C155" s="35" t="n"/>
      <c r="D155" s="35" t="n"/>
      <c r="E155" s="35" t="n"/>
      <c r="F155" s="36" t="n"/>
      <c r="G155" s="36" t="n"/>
      <c r="H155" s="36" t="n"/>
      <c r="I155" s="37">
        <f>IF(B155="","",F155+G155-H155)</f>
        <v/>
      </c>
      <c r="J155" s="38" t="n"/>
      <c r="K155" s="39">
        <f>IF(B155="","",I155*J155)</f>
        <v/>
      </c>
      <c r="L155" s="36" t="n"/>
      <c r="M155" s="40">
        <f>IF(B155="","",IF(I155&lt;=0,"SIN STOCK",IF(I155&lt;=L155,"REABASTECER","OK")))</f>
        <v/>
      </c>
    </row>
    <row r="156" ht="20" customHeight="1">
      <c r="A156" s="34" t="n">
        <v>150</v>
      </c>
      <c r="B156" s="35" t="n"/>
      <c r="C156" s="35" t="n"/>
      <c r="D156" s="35" t="n"/>
      <c r="E156" s="35" t="n"/>
      <c r="F156" s="36" t="n"/>
      <c r="G156" s="36" t="n"/>
      <c r="H156" s="36" t="n"/>
      <c r="I156" s="37">
        <f>IF(B156="","",F156+G156-H156)</f>
        <v/>
      </c>
      <c r="J156" s="38" t="n"/>
      <c r="K156" s="39">
        <f>IF(B156="","",I156*J156)</f>
        <v/>
      </c>
      <c r="L156" s="36" t="n"/>
      <c r="M156" s="40">
        <f>IF(B156="","",IF(I156&lt;=0,"SIN STOCK",IF(I156&lt;=L156,"REABASTECER","OK")))</f>
        <v/>
      </c>
    </row>
    <row r="157" ht="20" customHeight="1">
      <c r="A157" s="34" t="n">
        <v>151</v>
      </c>
      <c r="B157" s="35" t="n"/>
      <c r="C157" s="35" t="n"/>
      <c r="D157" s="35" t="n"/>
      <c r="E157" s="35" t="n"/>
      <c r="F157" s="36" t="n"/>
      <c r="G157" s="36" t="n"/>
      <c r="H157" s="36" t="n"/>
      <c r="I157" s="37">
        <f>IF(B157="","",F157+G157-H157)</f>
        <v/>
      </c>
      <c r="J157" s="38" t="n"/>
      <c r="K157" s="39">
        <f>IF(B157="","",I157*J157)</f>
        <v/>
      </c>
      <c r="L157" s="36" t="n"/>
      <c r="M157" s="40">
        <f>IF(B157="","",IF(I157&lt;=0,"SIN STOCK",IF(I157&lt;=L157,"REABASTECER","OK")))</f>
        <v/>
      </c>
    </row>
    <row r="158" ht="20" customHeight="1">
      <c r="A158" s="34" t="n">
        <v>152</v>
      </c>
      <c r="B158" s="35" t="n"/>
      <c r="C158" s="35" t="n"/>
      <c r="D158" s="35" t="n"/>
      <c r="E158" s="35" t="n"/>
      <c r="F158" s="36" t="n"/>
      <c r="G158" s="36" t="n"/>
      <c r="H158" s="36" t="n"/>
      <c r="I158" s="37">
        <f>IF(B158="","",F158+G158-H158)</f>
        <v/>
      </c>
      <c r="J158" s="38" t="n"/>
      <c r="K158" s="39">
        <f>IF(B158="","",I158*J158)</f>
        <v/>
      </c>
      <c r="L158" s="36" t="n"/>
      <c r="M158" s="40">
        <f>IF(B158="","",IF(I158&lt;=0,"SIN STOCK",IF(I158&lt;=L158,"REABASTECER","OK")))</f>
        <v/>
      </c>
    </row>
    <row r="159" ht="20" customHeight="1">
      <c r="A159" s="34" t="n">
        <v>153</v>
      </c>
      <c r="B159" s="35" t="n"/>
      <c r="C159" s="35" t="n"/>
      <c r="D159" s="35" t="n"/>
      <c r="E159" s="35" t="n"/>
      <c r="F159" s="36" t="n"/>
      <c r="G159" s="36" t="n"/>
      <c r="H159" s="36" t="n"/>
      <c r="I159" s="37">
        <f>IF(B159="","",F159+G159-H159)</f>
        <v/>
      </c>
      <c r="J159" s="38" t="n"/>
      <c r="K159" s="39">
        <f>IF(B159="","",I159*J159)</f>
        <v/>
      </c>
      <c r="L159" s="36" t="n"/>
      <c r="M159" s="40">
        <f>IF(B159="","",IF(I159&lt;=0,"SIN STOCK",IF(I159&lt;=L159,"REABASTECER","OK")))</f>
        <v/>
      </c>
    </row>
    <row r="160" ht="20" customHeight="1">
      <c r="A160" s="34" t="n">
        <v>154</v>
      </c>
      <c r="B160" s="35" t="n"/>
      <c r="C160" s="35" t="n"/>
      <c r="D160" s="35" t="n"/>
      <c r="E160" s="35" t="n"/>
      <c r="F160" s="36" t="n"/>
      <c r="G160" s="36" t="n"/>
      <c r="H160" s="36" t="n"/>
      <c r="I160" s="37">
        <f>IF(B160="","",F160+G160-H160)</f>
        <v/>
      </c>
      <c r="J160" s="38" t="n"/>
      <c r="K160" s="39">
        <f>IF(B160="","",I160*J160)</f>
        <v/>
      </c>
      <c r="L160" s="36" t="n"/>
      <c r="M160" s="40">
        <f>IF(B160="","",IF(I160&lt;=0,"SIN STOCK",IF(I160&lt;=L160,"REABASTECER","OK")))</f>
        <v/>
      </c>
    </row>
    <row r="161" ht="20" customHeight="1">
      <c r="A161" s="34" t="n">
        <v>155</v>
      </c>
      <c r="B161" s="35" t="n"/>
      <c r="C161" s="35" t="n"/>
      <c r="D161" s="35" t="n"/>
      <c r="E161" s="35" t="n"/>
      <c r="F161" s="36" t="n"/>
      <c r="G161" s="36" t="n"/>
      <c r="H161" s="36" t="n"/>
      <c r="I161" s="37">
        <f>IF(B161="","",F161+G161-H161)</f>
        <v/>
      </c>
      <c r="J161" s="38" t="n"/>
      <c r="K161" s="39">
        <f>IF(B161="","",I161*J161)</f>
        <v/>
      </c>
      <c r="L161" s="36" t="n"/>
      <c r="M161" s="40">
        <f>IF(B161="","",IF(I161&lt;=0,"SIN STOCK",IF(I161&lt;=L161,"REABASTECER","OK")))</f>
        <v/>
      </c>
    </row>
    <row r="162" ht="20" customHeight="1">
      <c r="A162" s="34" t="n">
        <v>156</v>
      </c>
      <c r="B162" s="35" t="n"/>
      <c r="C162" s="35" t="n"/>
      <c r="D162" s="35" t="n"/>
      <c r="E162" s="35" t="n"/>
      <c r="F162" s="36" t="n"/>
      <c r="G162" s="36" t="n"/>
      <c r="H162" s="36" t="n"/>
      <c r="I162" s="37">
        <f>IF(B162="","",F162+G162-H162)</f>
        <v/>
      </c>
      <c r="J162" s="38" t="n"/>
      <c r="K162" s="39">
        <f>IF(B162="","",I162*J162)</f>
        <v/>
      </c>
      <c r="L162" s="36" t="n"/>
      <c r="M162" s="40">
        <f>IF(B162="","",IF(I162&lt;=0,"SIN STOCK",IF(I162&lt;=L162,"REABASTECER","OK")))</f>
        <v/>
      </c>
    </row>
    <row r="163" ht="20" customHeight="1">
      <c r="A163" s="34" t="n">
        <v>157</v>
      </c>
      <c r="B163" s="35" t="n"/>
      <c r="C163" s="35" t="n"/>
      <c r="D163" s="35" t="n"/>
      <c r="E163" s="35" t="n"/>
      <c r="F163" s="36" t="n"/>
      <c r="G163" s="36" t="n"/>
      <c r="H163" s="36" t="n"/>
      <c r="I163" s="37">
        <f>IF(B163="","",F163+G163-H163)</f>
        <v/>
      </c>
      <c r="J163" s="38" t="n"/>
      <c r="K163" s="39">
        <f>IF(B163="","",I163*J163)</f>
        <v/>
      </c>
      <c r="L163" s="36" t="n"/>
      <c r="M163" s="40">
        <f>IF(B163="","",IF(I163&lt;=0,"SIN STOCK",IF(I163&lt;=L163,"REABASTECER","OK")))</f>
        <v/>
      </c>
    </row>
    <row r="164" ht="20" customHeight="1">
      <c r="A164" s="34" t="n">
        <v>158</v>
      </c>
      <c r="B164" s="35" t="n"/>
      <c r="C164" s="35" t="n"/>
      <c r="D164" s="35" t="n"/>
      <c r="E164" s="35" t="n"/>
      <c r="F164" s="36" t="n"/>
      <c r="G164" s="36" t="n"/>
      <c r="H164" s="36" t="n"/>
      <c r="I164" s="37">
        <f>IF(B164="","",F164+G164-H164)</f>
        <v/>
      </c>
      <c r="J164" s="38" t="n"/>
      <c r="K164" s="39">
        <f>IF(B164="","",I164*J164)</f>
        <v/>
      </c>
      <c r="L164" s="36" t="n"/>
      <c r="M164" s="40">
        <f>IF(B164="","",IF(I164&lt;=0,"SIN STOCK",IF(I164&lt;=L164,"REABASTECER","OK")))</f>
        <v/>
      </c>
    </row>
    <row r="165" ht="20" customHeight="1">
      <c r="A165" s="34" t="n">
        <v>159</v>
      </c>
      <c r="B165" s="35" t="n"/>
      <c r="C165" s="35" t="n"/>
      <c r="D165" s="35" t="n"/>
      <c r="E165" s="35" t="n"/>
      <c r="F165" s="36" t="n"/>
      <c r="G165" s="36" t="n"/>
      <c r="H165" s="36" t="n"/>
      <c r="I165" s="37">
        <f>IF(B165="","",F165+G165-H165)</f>
        <v/>
      </c>
      <c r="J165" s="38" t="n"/>
      <c r="K165" s="39">
        <f>IF(B165="","",I165*J165)</f>
        <v/>
      </c>
      <c r="L165" s="36" t="n"/>
      <c r="M165" s="40">
        <f>IF(B165="","",IF(I165&lt;=0,"SIN STOCK",IF(I165&lt;=L165,"REABASTECER","OK")))</f>
        <v/>
      </c>
    </row>
    <row r="166" ht="20" customHeight="1">
      <c r="A166" s="34" t="n">
        <v>160</v>
      </c>
      <c r="B166" s="35" t="n"/>
      <c r="C166" s="35" t="n"/>
      <c r="D166" s="35" t="n"/>
      <c r="E166" s="35" t="n"/>
      <c r="F166" s="36" t="n"/>
      <c r="G166" s="36" t="n"/>
      <c r="H166" s="36" t="n"/>
      <c r="I166" s="37">
        <f>IF(B166="","",F166+G166-H166)</f>
        <v/>
      </c>
      <c r="J166" s="38" t="n"/>
      <c r="K166" s="39">
        <f>IF(B166="","",I166*J166)</f>
        <v/>
      </c>
      <c r="L166" s="36" t="n"/>
      <c r="M166" s="40">
        <f>IF(B166="","",IF(I166&lt;=0,"SIN STOCK",IF(I166&lt;=L166,"REABASTECER","OK")))</f>
        <v/>
      </c>
    </row>
    <row r="167" ht="20" customHeight="1">
      <c r="A167" s="34" t="n">
        <v>161</v>
      </c>
      <c r="B167" s="35" t="n"/>
      <c r="C167" s="35" t="n"/>
      <c r="D167" s="35" t="n"/>
      <c r="E167" s="35" t="n"/>
      <c r="F167" s="36" t="n"/>
      <c r="G167" s="36" t="n"/>
      <c r="H167" s="36" t="n"/>
      <c r="I167" s="37">
        <f>IF(B167="","",F167+G167-H167)</f>
        <v/>
      </c>
      <c r="J167" s="38" t="n"/>
      <c r="K167" s="39">
        <f>IF(B167="","",I167*J167)</f>
        <v/>
      </c>
      <c r="L167" s="36" t="n"/>
      <c r="M167" s="40">
        <f>IF(B167="","",IF(I167&lt;=0,"SIN STOCK",IF(I167&lt;=L167,"REABASTECER","OK")))</f>
        <v/>
      </c>
    </row>
    <row r="168" ht="20" customHeight="1">
      <c r="A168" s="34" t="n">
        <v>162</v>
      </c>
      <c r="B168" s="35" t="n"/>
      <c r="C168" s="35" t="n"/>
      <c r="D168" s="35" t="n"/>
      <c r="E168" s="35" t="n"/>
      <c r="F168" s="36" t="n"/>
      <c r="G168" s="36" t="n"/>
      <c r="H168" s="36" t="n"/>
      <c r="I168" s="37">
        <f>IF(B168="","",F168+G168-H168)</f>
        <v/>
      </c>
      <c r="J168" s="38" t="n"/>
      <c r="K168" s="39">
        <f>IF(B168="","",I168*J168)</f>
        <v/>
      </c>
      <c r="L168" s="36" t="n"/>
      <c r="M168" s="40">
        <f>IF(B168="","",IF(I168&lt;=0,"SIN STOCK",IF(I168&lt;=L168,"REABASTECER","OK")))</f>
        <v/>
      </c>
    </row>
    <row r="169" ht="20" customHeight="1">
      <c r="A169" s="34" t="n">
        <v>163</v>
      </c>
      <c r="B169" s="35" t="n"/>
      <c r="C169" s="35" t="n"/>
      <c r="D169" s="35" t="n"/>
      <c r="E169" s="35" t="n"/>
      <c r="F169" s="36" t="n"/>
      <c r="G169" s="36" t="n"/>
      <c r="H169" s="36" t="n"/>
      <c r="I169" s="37">
        <f>IF(B169="","",F169+G169-H169)</f>
        <v/>
      </c>
      <c r="J169" s="38" t="n"/>
      <c r="K169" s="39">
        <f>IF(B169="","",I169*J169)</f>
        <v/>
      </c>
      <c r="L169" s="36" t="n"/>
      <c r="M169" s="40">
        <f>IF(B169="","",IF(I169&lt;=0,"SIN STOCK",IF(I169&lt;=L169,"REABASTECER","OK")))</f>
        <v/>
      </c>
    </row>
    <row r="170" ht="20" customHeight="1">
      <c r="A170" s="34" t="n">
        <v>164</v>
      </c>
      <c r="B170" s="35" t="n"/>
      <c r="C170" s="35" t="n"/>
      <c r="D170" s="35" t="n"/>
      <c r="E170" s="35" t="n"/>
      <c r="F170" s="36" t="n"/>
      <c r="G170" s="36" t="n"/>
      <c r="H170" s="36" t="n"/>
      <c r="I170" s="37">
        <f>IF(B170="","",F170+G170-H170)</f>
        <v/>
      </c>
      <c r="J170" s="38" t="n"/>
      <c r="K170" s="39">
        <f>IF(B170="","",I170*J170)</f>
        <v/>
      </c>
      <c r="L170" s="36" t="n"/>
      <c r="M170" s="40">
        <f>IF(B170="","",IF(I170&lt;=0,"SIN STOCK",IF(I170&lt;=L170,"REABASTECER","OK")))</f>
        <v/>
      </c>
    </row>
    <row r="171" ht="20" customHeight="1">
      <c r="A171" s="34" t="n">
        <v>165</v>
      </c>
      <c r="B171" s="35" t="n"/>
      <c r="C171" s="35" t="n"/>
      <c r="D171" s="35" t="n"/>
      <c r="E171" s="35" t="n"/>
      <c r="F171" s="36" t="n"/>
      <c r="G171" s="36" t="n"/>
      <c r="H171" s="36" t="n"/>
      <c r="I171" s="37">
        <f>IF(B171="","",F171+G171-H171)</f>
        <v/>
      </c>
      <c r="J171" s="38" t="n"/>
      <c r="K171" s="39">
        <f>IF(B171="","",I171*J171)</f>
        <v/>
      </c>
      <c r="L171" s="36" t="n"/>
      <c r="M171" s="40">
        <f>IF(B171="","",IF(I171&lt;=0,"SIN STOCK",IF(I171&lt;=L171,"REABASTECER","OK")))</f>
        <v/>
      </c>
    </row>
    <row r="172" ht="20" customHeight="1">
      <c r="A172" s="34" t="n">
        <v>166</v>
      </c>
      <c r="B172" s="35" t="n"/>
      <c r="C172" s="35" t="n"/>
      <c r="D172" s="35" t="n"/>
      <c r="E172" s="35" t="n"/>
      <c r="F172" s="36" t="n"/>
      <c r="G172" s="36" t="n"/>
      <c r="H172" s="36" t="n"/>
      <c r="I172" s="37">
        <f>IF(B172="","",F172+G172-H172)</f>
        <v/>
      </c>
      <c r="J172" s="38" t="n"/>
      <c r="K172" s="39">
        <f>IF(B172="","",I172*J172)</f>
        <v/>
      </c>
      <c r="L172" s="36" t="n"/>
      <c r="M172" s="40">
        <f>IF(B172="","",IF(I172&lt;=0,"SIN STOCK",IF(I172&lt;=L172,"REABASTECER","OK")))</f>
        <v/>
      </c>
    </row>
    <row r="173" ht="20" customHeight="1">
      <c r="A173" s="34" t="n">
        <v>167</v>
      </c>
      <c r="B173" s="35" t="n"/>
      <c r="C173" s="35" t="n"/>
      <c r="D173" s="35" t="n"/>
      <c r="E173" s="35" t="n"/>
      <c r="F173" s="36" t="n"/>
      <c r="G173" s="36" t="n"/>
      <c r="H173" s="36" t="n"/>
      <c r="I173" s="37">
        <f>IF(B173="","",F173+G173-H173)</f>
        <v/>
      </c>
      <c r="J173" s="38" t="n"/>
      <c r="K173" s="39">
        <f>IF(B173="","",I173*J173)</f>
        <v/>
      </c>
      <c r="L173" s="36" t="n"/>
      <c r="M173" s="40">
        <f>IF(B173="","",IF(I173&lt;=0,"SIN STOCK",IF(I173&lt;=L173,"REABASTECER","OK")))</f>
        <v/>
      </c>
    </row>
    <row r="174" ht="20" customHeight="1">
      <c r="A174" s="34" t="n">
        <v>168</v>
      </c>
      <c r="B174" s="35" t="n"/>
      <c r="C174" s="35" t="n"/>
      <c r="D174" s="35" t="n"/>
      <c r="E174" s="35" t="n"/>
      <c r="F174" s="36" t="n"/>
      <c r="G174" s="36" t="n"/>
      <c r="H174" s="36" t="n"/>
      <c r="I174" s="37">
        <f>IF(B174="","",F174+G174-H174)</f>
        <v/>
      </c>
      <c r="J174" s="38" t="n"/>
      <c r="K174" s="39">
        <f>IF(B174="","",I174*J174)</f>
        <v/>
      </c>
      <c r="L174" s="36" t="n"/>
      <c r="M174" s="40">
        <f>IF(B174="","",IF(I174&lt;=0,"SIN STOCK",IF(I174&lt;=L174,"REABASTECER","OK")))</f>
        <v/>
      </c>
    </row>
    <row r="175" ht="20" customHeight="1">
      <c r="A175" s="34" t="n">
        <v>169</v>
      </c>
      <c r="B175" s="35" t="n"/>
      <c r="C175" s="35" t="n"/>
      <c r="D175" s="35" t="n"/>
      <c r="E175" s="35" t="n"/>
      <c r="F175" s="36" t="n"/>
      <c r="G175" s="36" t="n"/>
      <c r="H175" s="36" t="n"/>
      <c r="I175" s="37">
        <f>IF(B175="","",F175+G175-H175)</f>
        <v/>
      </c>
      <c r="J175" s="38" t="n"/>
      <c r="K175" s="39">
        <f>IF(B175="","",I175*J175)</f>
        <v/>
      </c>
      <c r="L175" s="36" t="n"/>
      <c r="M175" s="40">
        <f>IF(B175="","",IF(I175&lt;=0,"SIN STOCK",IF(I175&lt;=L175,"REABASTECER","OK")))</f>
        <v/>
      </c>
    </row>
    <row r="176" ht="20" customHeight="1">
      <c r="A176" s="34" t="n">
        <v>170</v>
      </c>
      <c r="B176" s="35" t="n"/>
      <c r="C176" s="35" t="n"/>
      <c r="D176" s="35" t="n"/>
      <c r="E176" s="35" t="n"/>
      <c r="F176" s="36" t="n"/>
      <c r="G176" s="36" t="n"/>
      <c r="H176" s="36" t="n"/>
      <c r="I176" s="37">
        <f>IF(B176="","",F176+G176-H176)</f>
        <v/>
      </c>
      <c r="J176" s="38" t="n"/>
      <c r="K176" s="39">
        <f>IF(B176="","",I176*J176)</f>
        <v/>
      </c>
      <c r="L176" s="36" t="n"/>
      <c r="M176" s="40">
        <f>IF(B176="","",IF(I176&lt;=0,"SIN STOCK",IF(I176&lt;=L176,"REABASTECER","OK")))</f>
        <v/>
      </c>
    </row>
    <row r="177" ht="20" customHeight="1">
      <c r="A177" s="34" t="n">
        <v>171</v>
      </c>
      <c r="B177" s="35" t="n"/>
      <c r="C177" s="35" t="n"/>
      <c r="D177" s="35" t="n"/>
      <c r="E177" s="35" t="n"/>
      <c r="F177" s="36" t="n"/>
      <c r="G177" s="36" t="n"/>
      <c r="H177" s="36" t="n"/>
      <c r="I177" s="37">
        <f>IF(B177="","",F177+G177-H177)</f>
        <v/>
      </c>
      <c r="J177" s="38" t="n"/>
      <c r="K177" s="39">
        <f>IF(B177="","",I177*J177)</f>
        <v/>
      </c>
      <c r="L177" s="36" t="n"/>
      <c r="M177" s="40">
        <f>IF(B177="","",IF(I177&lt;=0,"SIN STOCK",IF(I177&lt;=L177,"REABASTECER","OK")))</f>
        <v/>
      </c>
    </row>
    <row r="178" ht="20" customHeight="1">
      <c r="A178" s="34" t="n">
        <v>172</v>
      </c>
      <c r="B178" s="35" t="n"/>
      <c r="C178" s="35" t="n"/>
      <c r="D178" s="35" t="n"/>
      <c r="E178" s="35" t="n"/>
      <c r="F178" s="36" t="n"/>
      <c r="G178" s="36" t="n"/>
      <c r="H178" s="36" t="n"/>
      <c r="I178" s="37">
        <f>IF(B178="","",F178+G178-H178)</f>
        <v/>
      </c>
      <c r="J178" s="38" t="n"/>
      <c r="K178" s="39">
        <f>IF(B178="","",I178*J178)</f>
        <v/>
      </c>
      <c r="L178" s="36" t="n"/>
      <c r="M178" s="40">
        <f>IF(B178="","",IF(I178&lt;=0,"SIN STOCK",IF(I178&lt;=L178,"REABASTECER","OK")))</f>
        <v/>
      </c>
    </row>
    <row r="179" ht="20" customHeight="1">
      <c r="A179" s="34" t="n">
        <v>173</v>
      </c>
      <c r="B179" s="35" t="n"/>
      <c r="C179" s="35" t="n"/>
      <c r="D179" s="35" t="n"/>
      <c r="E179" s="35" t="n"/>
      <c r="F179" s="36" t="n"/>
      <c r="G179" s="36" t="n"/>
      <c r="H179" s="36" t="n"/>
      <c r="I179" s="37">
        <f>IF(B179="","",F179+G179-H179)</f>
        <v/>
      </c>
      <c r="J179" s="38" t="n"/>
      <c r="K179" s="39">
        <f>IF(B179="","",I179*J179)</f>
        <v/>
      </c>
      <c r="L179" s="36" t="n"/>
      <c r="M179" s="40">
        <f>IF(B179="","",IF(I179&lt;=0,"SIN STOCK",IF(I179&lt;=L179,"REABASTECER","OK")))</f>
        <v/>
      </c>
    </row>
    <row r="180" ht="20" customHeight="1">
      <c r="A180" s="34" t="n">
        <v>174</v>
      </c>
      <c r="B180" s="35" t="n"/>
      <c r="C180" s="35" t="n"/>
      <c r="D180" s="35" t="n"/>
      <c r="E180" s="35" t="n"/>
      <c r="F180" s="36" t="n"/>
      <c r="G180" s="36" t="n"/>
      <c r="H180" s="36" t="n"/>
      <c r="I180" s="37">
        <f>IF(B180="","",F180+G180-H180)</f>
        <v/>
      </c>
      <c r="J180" s="38" t="n"/>
      <c r="K180" s="39">
        <f>IF(B180="","",I180*J180)</f>
        <v/>
      </c>
      <c r="L180" s="36" t="n"/>
      <c r="M180" s="40">
        <f>IF(B180="","",IF(I180&lt;=0,"SIN STOCK",IF(I180&lt;=L180,"REABASTECER","OK")))</f>
        <v/>
      </c>
    </row>
    <row r="181" ht="20" customHeight="1">
      <c r="A181" s="34" t="n">
        <v>175</v>
      </c>
      <c r="B181" s="35" t="n"/>
      <c r="C181" s="35" t="n"/>
      <c r="D181" s="35" t="n"/>
      <c r="E181" s="35" t="n"/>
      <c r="F181" s="36" t="n"/>
      <c r="G181" s="36" t="n"/>
      <c r="H181" s="36" t="n"/>
      <c r="I181" s="37">
        <f>IF(B181="","",F181+G181-H181)</f>
        <v/>
      </c>
      <c r="J181" s="38" t="n"/>
      <c r="K181" s="39">
        <f>IF(B181="","",I181*J181)</f>
        <v/>
      </c>
      <c r="L181" s="36" t="n"/>
      <c r="M181" s="40">
        <f>IF(B181="","",IF(I181&lt;=0,"SIN STOCK",IF(I181&lt;=L181,"REABASTECER","OK")))</f>
        <v/>
      </c>
    </row>
    <row r="182" ht="20" customHeight="1">
      <c r="A182" s="34" t="n">
        <v>176</v>
      </c>
      <c r="B182" s="35" t="n"/>
      <c r="C182" s="35" t="n"/>
      <c r="D182" s="35" t="n"/>
      <c r="E182" s="35" t="n"/>
      <c r="F182" s="36" t="n"/>
      <c r="G182" s="36" t="n"/>
      <c r="H182" s="36" t="n"/>
      <c r="I182" s="37">
        <f>IF(B182="","",F182+G182-H182)</f>
        <v/>
      </c>
      <c r="J182" s="38" t="n"/>
      <c r="K182" s="39">
        <f>IF(B182="","",I182*J182)</f>
        <v/>
      </c>
      <c r="L182" s="36" t="n"/>
      <c r="M182" s="40">
        <f>IF(B182="","",IF(I182&lt;=0,"SIN STOCK",IF(I182&lt;=L182,"REABASTECER","OK")))</f>
        <v/>
      </c>
    </row>
    <row r="183" ht="20" customHeight="1">
      <c r="A183" s="34" t="n">
        <v>177</v>
      </c>
      <c r="B183" s="35" t="n"/>
      <c r="C183" s="35" t="n"/>
      <c r="D183" s="35" t="n"/>
      <c r="E183" s="35" t="n"/>
      <c r="F183" s="36" t="n"/>
      <c r="G183" s="36" t="n"/>
      <c r="H183" s="36" t="n"/>
      <c r="I183" s="37">
        <f>IF(B183="","",F183+G183-H183)</f>
        <v/>
      </c>
      <c r="J183" s="38" t="n"/>
      <c r="K183" s="39">
        <f>IF(B183="","",I183*J183)</f>
        <v/>
      </c>
      <c r="L183" s="36" t="n"/>
      <c r="M183" s="40">
        <f>IF(B183="","",IF(I183&lt;=0,"SIN STOCK",IF(I183&lt;=L183,"REABASTECER","OK")))</f>
        <v/>
      </c>
    </row>
    <row r="184" ht="20" customHeight="1">
      <c r="A184" s="34" t="n">
        <v>178</v>
      </c>
      <c r="B184" s="35" t="n"/>
      <c r="C184" s="35" t="n"/>
      <c r="D184" s="35" t="n"/>
      <c r="E184" s="35" t="n"/>
      <c r="F184" s="36" t="n"/>
      <c r="G184" s="36" t="n"/>
      <c r="H184" s="36" t="n"/>
      <c r="I184" s="37">
        <f>IF(B184="","",F184+G184-H184)</f>
        <v/>
      </c>
      <c r="J184" s="38" t="n"/>
      <c r="K184" s="39">
        <f>IF(B184="","",I184*J184)</f>
        <v/>
      </c>
      <c r="L184" s="36" t="n"/>
      <c r="M184" s="40">
        <f>IF(B184="","",IF(I184&lt;=0,"SIN STOCK",IF(I184&lt;=L184,"REABASTECER","OK")))</f>
        <v/>
      </c>
    </row>
    <row r="185" ht="20" customHeight="1">
      <c r="A185" s="34" t="n">
        <v>179</v>
      </c>
      <c r="B185" s="35" t="n"/>
      <c r="C185" s="35" t="n"/>
      <c r="D185" s="35" t="n"/>
      <c r="E185" s="35" t="n"/>
      <c r="F185" s="36" t="n"/>
      <c r="G185" s="36" t="n"/>
      <c r="H185" s="36" t="n"/>
      <c r="I185" s="37">
        <f>IF(B185="","",F185+G185-H185)</f>
        <v/>
      </c>
      <c r="J185" s="38" t="n"/>
      <c r="K185" s="39">
        <f>IF(B185="","",I185*J185)</f>
        <v/>
      </c>
      <c r="L185" s="36" t="n"/>
      <c r="M185" s="40">
        <f>IF(B185="","",IF(I185&lt;=0,"SIN STOCK",IF(I185&lt;=L185,"REABASTECER","OK")))</f>
        <v/>
      </c>
    </row>
    <row r="186" ht="20" customHeight="1">
      <c r="A186" s="34" t="n">
        <v>180</v>
      </c>
      <c r="B186" s="35" t="n"/>
      <c r="C186" s="35" t="n"/>
      <c r="D186" s="35" t="n"/>
      <c r="E186" s="35" t="n"/>
      <c r="F186" s="36" t="n"/>
      <c r="G186" s="36" t="n"/>
      <c r="H186" s="36" t="n"/>
      <c r="I186" s="37">
        <f>IF(B186="","",F186+G186-H186)</f>
        <v/>
      </c>
      <c r="J186" s="38" t="n"/>
      <c r="K186" s="39">
        <f>IF(B186="","",I186*J186)</f>
        <v/>
      </c>
      <c r="L186" s="36" t="n"/>
      <c r="M186" s="40">
        <f>IF(B186="","",IF(I186&lt;=0,"SIN STOCK",IF(I186&lt;=L186,"REABASTECER","OK")))</f>
        <v/>
      </c>
    </row>
    <row r="187" ht="20" customHeight="1">
      <c r="A187" s="34" t="n">
        <v>181</v>
      </c>
      <c r="B187" s="35" t="n"/>
      <c r="C187" s="35" t="n"/>
      <c r="D187" s="35" t="n"/>
      <c r="E187" s="35" t="n"/>
      <c r="F187" s="36" t="n"/>
      <c r="G187" s="36" t="n"/>
      <c r="H187" s="36" t="n"/>
      <c r="I187" s="37">
        <f>IF(B187="","",F187+G187-H187)</f>
        <v/>
      </c>
      <c r="J187" s="38" t="n"/>
      <c r="K187" s="39">
        <f>IF(B187="","",I187*J187)</f>
        <v/>
      </c>
      <c r="L187" s="36" t="n"/>
      <c r="M187" s="40">
        <f>IF(B187="","",IF(I187&lt;=0,"SIN STOCK",IF(I187&lt;=L187,"REABASTECER","OK")))</f>
        <v/>
      </c>
    </row>
    <row r="188" ht="20" customHeight="1">
      <c r="A188" s="34" t="n">
        <v>182</v>
      </c>
      <c r="B188" s="35" t="n"/>
      <c r="C188" s="35" t="n"/>
      <c r="D188" s="35" t="n"/>
      <c r="E188" s="35" t="n"/>
      <c r="F188" s="36" t="n"/>
      <c r="G188" s="36" t="n"/>
      <c r="H188" s="36" t="n"/>
      <c r="I188" s="37">
        <f>IF(B188="","",F188+G188-H188)</f>
        <v/>
      </c>
      <c r="J188" s="38" t="n"/>
      <c r="K188" s="39">
        <f>IF(B188="","",I188*J188)</f>
        <v/>
      </c>
      <c r="L188" s="36" t="n"/>
      <c r="M188" s="40">
        <f>IF(B188="","",IF(I188&lt;=0,"SIN STOCK",IF(I188&lt;=L188,"REABASTECER","OK")))</f>
        <v/>
      </c>
    </row>
    <row r="189" ht="20" customHeight="1">
      <c r="A189" s="34" t="n">
        <v>183</v>
      </c>
      <c r="B189" s="35" t="n"/>
      <c r="C189" s="35" t="n"/>
      <c r="D189" s="35" t="n"/>
      <c r="E189" s="35" t="n"/>
      <c r="F189" s="36" t="n"/>
      <c r="G189" s="36" t="n"/>
      <c r="H189" s="36" t="n"/>
      <c r="I189" s="37">
        <f>IF(B189="","",F189+G189-H189)</f>
        <v/>
      </c>
      <c r="J189" s="38" t="n"/>
      <c r="K189" s="39">
        <f>IF(B189="","",I189*J189)</f>
        <v/>
      </c>
      <c r="L189" s="36" t="n"/>
      <c r="M189" s="40">
        <f>IF(B189="","",IF(I189&lt;=0,"SIN STOCK",IF(I189&lt;=L189,"REABASTECER","OK")))</f>
        <v/>
      </c>
    </row>
    <row r="190" ht="20" customHeight="1">
      <c r="A190" s="34" t="n">
        <v>184</v>
      </c>
      <c r="B190" s="35" t="n"/>
      <c r="C190" s="35" t="n"/>
      <c r="D190" s="35" t="n"/>
      <c r="E190" s="35" t="n"/>
      <c r="F190" s="36" t="n"/>
      <c r="G190" s="36" t="n"/>
      <c r="H190" s="36" t="n"/>
      <c r="I190" s="37">
        <f>IF(B190="","",F190+G190-H190)</f>
        <v/>
      </c>
      <c r="J190" s="38" t="n"/>
      <c r="K190" s="39">
        <f>IF(B190="","",I190*J190)</f>
        <v/>
      </c>
      <c r="L190" s="36" t="n"/>
      <c r="M190" s="40">
        <f>IF(B190="","",IF(I190&lt;=0,"SIN STOCK",IF(I190&lt;=L190,"REABASTECER","OK")))</f>
        <v/>
      </c>
    </row>
    <row r="191" ht="20" customHeight="1">
      <c r="A191" s="34" t="n">
        <v>185</v>
      </c>
      <c r="B191" s="35" t="n"/>
      <c r="C191" s="35" t="n"/>
      <c r="D191" s="35" t="n"/>
      <c r="E191" s="35" t="n"/>
      <c r="F191" s="36" t="n"/>
      <c r="G191" s="36" t="n"/>
      <c r="H191" s="36" t="n"/>
      <c r="I191" s="37">
        <f>IF(B191="","",F191+G191-H191)</f>
        <v/>
      </c>
      <c r="J191" s="38" t="n"/>
      <c r="K191" s="39">
        <f>IF(B191="","",I191*J191)</f>
        <v/>
      </c>
      <c r="L191" s="36" t="n"/>
      <c r="M191" s="40">
        <f>IF(B191="","",IF(I191&lt;=0,"SIN STOCK",IF(I191&lt;=L191,"REABASTECER","OK")))</f>
        <v/>
      </c>
    </row>
    <row r="192" ht="20" customHeight="1">
      <c r="A192" s="34" t="n">
        <v>186</v>
      </c>
      <c r="B192" s="35" t="n"/>
      <c r="C192" s="35" t="n"/>
      <c r="D192" s="35" t="n"/>
      <c r="E192" s="35" t="n"/>
      <c r="F192" s="36" t="n"/>
      <c r="G192" s="36" t="n"/>
      <c r="H192" s="36" t="n"/>
      <c r="I192" s="37">
        <f>IF(B192="","",F192+G192-H192)</f>
        <v/>
      </c>
      <c r="J192" s="38" t="n"/>
      <c r="K192" s="39">
        <f>IF(B192="","",I192*J192)</f>
        <v/>
      </c>
      <c r="L192" s="36" t="n"/>
      <c r="M192" s="40">
        <f>IF(B192="","",IF(I192&lt;=0,"SIN STOCK",IF(I192&lt;=L192,"REABASTECER","OK")))</f>
        <v/>
      </c>
    </row>
    <row r="193" ht="20" customHeight="1">
      <c r="A193" s="34" t="n">
        <v>187</v>
      </c>
      <c r="B193" s="35" t="n"/>
      <c r="C193" s="35" t="n"/>
      <c r="D193" s="35" t="n"/>
      <c r="E193" s="35" t="n"/>
      <c r="F193" s="36" t="n"/>
      <c r="G193" s="36" t="n"/>
      <c r="H193" s="36" t="n"/>
      <c r="I193" s="37">
        <f>IF(B193="","",F193+G193-H193)</f>
        <v/>
      </c>
      <c r="J193" s="38" t="n"/>
      <c r="K193" s="39">
        <f>IF(B193="","",I193*J193)</f>
        <v/>
      </c>
      <c r="L193" s="36" t="n"/>
      <c r="M193" s="40">
        <f>IF(B193="","",IF(I193&lt;=0,"SIN STOCK",IF(I193&lt;=L193,"REABASTECER","OK")))</f>
        <v/>
      </c>
    </row>
    <row r="194" ht="20" customHeight="1">
      <c r="A194" s="34" t="n">
        <v>188</v>
      </c>
      <c r="B194" s="35" t="n"/>
      <c r="C194" s="35" t="n"/>
      <c r="D194" s="35" t="n"/>
      <c r="E194" s="35" t="n"/>
      <c r="F194" s="36" t="n"/>
      <c r="G194" s="36" t="n"/>
      <c r="H194" s="36" t="n"/>
      <c r="I194" s="37">
        <f>IF(B194="","",F194+G194-H194)</f>
        <v/>
      </c>
      <c r="J194" s="38" t="n"/>
      <c r="K194" s="39">
        <f>IF(B194="","",I194*J194)</f>
        <v/>
      </c>
      <c r="L194" s="36" t="n"/>
      <c r="M194" s="40">
        <f>IF(B194="","",IF(I194&lt;=0,"SIN STOCK",IF(I194&lt;=L194,"REABASTECER","OK")))</f>
        <v/>
      </c>
    </row>
    <row r="195" ht="20" customHeight="1">
      <c r="A195" s="34" t="n">
        <v>189</v>
      </c>
      <c r="B195" s="35" t="n"/>
      <c r="C195" s="35" t="n"/>
      <c r="D195" s="35" t="n"/>
      <c r="E195" s="35" t="n"/>
      <c r="F195" s="36" t="n"/>
      <c r="G195" s="36" t="n"/>
      <c r="H195" s="36" t="n"/>
      <c r="I195" s="37">
        <f>IF(B195="","",F195+G195-H195)</f>
        <v/>
      </c>
      <c r="J195" s="38" t="n"/>
      <c r="K195" s="39">
        <f>IF(B195="","",I195*J195)</f>
        <v/>
      </c>
      <c r="L195" s="36" t="n"/>
      <c r="M195" s="40">
        <f>IF(B195="","",IF(I195&lt;=0,"SIN STOCK",IF(I195&lt;=L195,"REABASTECER","OK")))</f>
        <v/>
      </c>
    </row>
    <row r="196" ht="20" customHeight="1">
      <c r="A196" s="34" t="n">
        <v>190</v>
      </c>
      <c r="B196" s="35" t="n"/>
      <c r="C196" s="35" t="n"/>
      <c r="D196" s="35" t="n"/>
      <c r="E196" s="35" t="n"/>
      <c r="F196" s="36" t="n"/>
      <c r="G196" s="36" t="n"/>
      <c r="H196" s="36" t="n"/>
      <c r="I196" s="37">
        <f>IF(B196="","",F196+G196-H196)</f>
        <v/>
      </c>
      <c r="J196" s="38" t="n"/>
      <c r="K196" s="39">
        <f>IF(B196="","",I196*J196)</f>
        <v/>
      </c>
      <c r="L196" s="36" t="n"/>
      <c r="M196" s="40">
        <f>IF(B196="","",IF(I196&lt;=0,"SIN STOCK",IF(I196&lt;=L196,"REABASTECER","OK")))</f>
        <v/>
      </c>
    </row>
    <row r="197" ht="20" customHeight="1">
      <c r="A197" s="34" t="n">
        <v>191</v>
      </c>
      <c r="B197" s="35" t="n"/>
      <c r="C197" s="35" t="n"/>
      <c r="D197" s="35" t="n"/>
      <c r="E197" s="35" t="n"/>
      <c r="F197" s="36" t="n"/>
      <c r="G197" s="36" t="n"/>
      <c r="H197" s="36" t="n"/>
      <c r="I197" s="37">
        <f>IF(B197="","",F197+G197-H197)</f>
        <v/>
      </c>
      <c r="J197" s="38" t="n"/>
      <c r="K197" s="39">
        <f>IF(B197="","",I197*J197)</f>
        <v/>
      </c>
      <c r="L197" s="36" t="n"/>
      <c r="M197" s="40">
        <f>IF(B197="","",IF(I197&lt;=0,"SIN STOCK",IF(I197&lt;=L197,"REABASTECER","OK")))</f>
        <v/>
      </c>
    </row>
    <row r="198" ht="20" customHeight="1">
      <c r="A198" s="34" t="n">
        <v>192</v>
      </c>
      <c r="B198" s="35" t="n"/>
      <c r="C198" s="35" t="n"/>
      <c r="D198" s="35" t="n"/>
      <c r="E198" s="35" t="n"/>
      <c r="F198" s="36" t="n"/>
      <c r="G198" s="36" t="n"/>
      <c r="H198" s="36" t="n"/>
      <c r="I198" s="37">
        <f>IF(B198="","",F198+G198-H198)</f>
        <v/>
      </c>
      <c r="J198" s="38" t="n"/>
      <c r="K198" s="39">
        <f>IF(B198="","",I198*J198)</f>
        <v/>
      </c>
      <c r="L198" s="36" t="n"/>
      <c r="M198" s="40">
        <f>IF(B198="","",IF(I198&lt;=0,"SIN STOCK",IF(I198&lt;=L198,"REABASTECER","OK")))</f>
        <v/>
      </c>
    </row>
    <row r="199" ht="20" customHeight="1">
      <c r="A199" s="34" t="n">
        <v>193</v>
      </c>
      <c r="B199" s="35" t="n"/>
      <c r="C199" s="35" t="n"/>
      <c r="D199" s="35" t="n"/>
      <c r="E199" s="35" t="n"/>
      <c r="F199" s="36" t="n"/>
      <c r="G199" s="36" t="n"/>
      <c r="H199" s="36" t="n"/>
      <c r="I199" s="37">
        <f>IF(B199="","",F199+G199-H199)</f>
        <v/>
      </c>
      <c r="J199" s="38" t="n"/>
      <c r="K199" s="39">
        <f>IF(B199="","",I199*J199)</f>
        <v/>
      </c>
      <c r="L199" s="36" t="n"/>
      <c r="M199" s="40">
        <f>IF(B199="","",IF(I199&lt;=0,"SIN STOCK",IF(I199&lt;=L199,"REABASTECER","OK")))</f>
        <v/>
      </c>
    </row>
    <row r="200" ht="20" customHeight="1">
      <c r="A200" s="34" t="n">
        <v>194</v>
      </c>
      <c r="B200" s="35" t="n"/>
      <c r="C200" s="35" t="n"/>
      <c r="D200" s="35" t="n"/>
      <c r="E200" s="35" t="n"/>
      <c r="F200" s="36" t="n"/>
      <c r="G200" s="36" t="n"/>
      <c r="H200" s="36" t="n"/>
      <c r="I200" s="37">
        <f>IF(B200="","",F200+G200-H200)</f>
        <v/>
      </c>
      <c r="J200" s="38" t="n"/>
      <c r="K200" s="39">
        <f>IF(B200="","",I200*J200)</f>
        <v/>
      </c>
      <c r="L200" s="36" t="n"/>
      <c r="M200" s="40">
        <f>IF(B200="","",IF(I200&lt;=0,"SIN STOCK",IF(I200&lt;=L200,"REABASTECER","OK")))</f>
        <v/>
      </c>
    </row>
    <row r="201" ht="20" customHeight="1">
      <c r="A201" s="34" t="n">
        <v>195</v>
      </c>
      <c r="B201" s="35" t="n"/>
      <c r="C201" s="35" t="n"/>
      <c r="D201" s="35" t="n"/>
      <c r="E201" s="35" t="n"/>
      <c r="F201" s="36" t="n"/>
      <c r="G201" s="36" t="n"/>
      <c r="H201" s="36" t="n"/>
      <c r="I201" s="37">
        <f>IF(B201="","",F201+G201-H201)</f>
        <v/>
      </c>
      <c r="J201" s="38" t="n"/>
      <c r="K201" s="39">
        <f>IF(B201="","",I201*J201)</f>
        <v/>
      </c>
      <c r="L201" s="36" t="n"/>
      <c r="M201" s="40">
        <f>IF(B201="","",IF(I201&lt;=0,"SIN STOCK",IF(I201&lt;=L201,"REABASTECER","OK")))</f>
        <v/>
      </c>
    </row>
    <row r="202" ht="20" customHeight="1">
      <c r="A202" s="34" t="n">
        <v>196</v>
      </c>
      <c r="B202" s="35" t="n"/>
      <c r="C202" s="35" t="n"/>
      <c r="D202" s="35" t="n"/>
      <c r="E202" s="35" t="n"/>
      <c r="F202" s="36" t="n"/>
      <c r="G202" s="36" t="n"/>
      <c r="H202" s="36" t="n"/>
      <c r="I202" s="37">
        <f>IF(B202="","",F202+G202-H202)</f>
        <v/>
      </c>
      <c r="J202" s="38" t="n"/>
      <c r="K202" s="39">
        <f>IF(B202="","",I202*J202)</f>
        <v/>
      </c>
      <c r="L202" s="36" t="n"/>
      <c r="M202" s="40">
        <f>IF(B202="","",IF(I202&lt;=0,"SIN STOCK",IF(I202&lt;=L202,"REABASTECER","OK")))</f>
        <v/>
      </c>
    </row>
    <row r="203" ht="20" customHeight="1">
      <c r="A203" s="34" t="n">
        <v>197</v>
      </c>
      <c r="B203" s="35" t="n"/>
      <c r="C203" s="35" t="n"/>
      <c r="D203" s="35" t="n"/>
      <c r="E203" s="35" t="n"/>
      <c r="F203" s="36" t="n"/>
      <c r="G203" s="36" t="n"/>
      <c r="H203" s="36" t="n"/>
      <c r="I203" s="37">
        <f>IF(B203="","",F203+G203-H203)</f>
        <v/>
      </c>
      <c r="J203" s="38" t="n"/>
      <c r="K203" s="39">
        <f>IF(B203="","",I203*J203)</f>
        <v/>
      </c>
      <c r="L203" s="36" t="n"/>
      <c r="M203" s="40">
        <f>IF(B203="","",IF(I203&lt;=0,"SIN STOCK",IF(I203&lt;=L203,"REABASTECER","OK")))</f>
        <v/>
      </c>
    </row>
    <row r="204" ht="20" customHeight="1">
      <c r="A204" s="34" t="n">
        <v>198</v>
      </c>
      <c r="B204" s="35" t="n"/>
      <c r="C204" s="35" t="n"/>
      <c r="D204" s="35" t="n"/>
      <c r="E204" s="35" t="n"/>
      <c r="F204" s="36" t="n"/>
      <c r="G204" s="36" t="n"/>
      <c r="H204" s="36" t="n"/>
      <c r="I204" s="37">
        <f>IF(B204="","",F204+G204-H204)</f>
        <v/>
      </c>
      <c r="J204" s="38" t="n"/>
      <c r="K204" s="39">
        <f>IF(B204="","",I204*J204)</f>
        <v/>
      </c>
      <c r="L204" s="36" t="n"/>
      <c r="M204" s="40">
        <f>IF(B204="","",IF(I204&lt;=0,"SIN STOCK",IF(I204&lt;=L204,"REABASTECER","OK")))</f>
        <v/>
      </c>
    </row>
    <row r="205" ht="20" customHeight="1">
      <c r="A205" s="34" t="n">
        <v>199</v>
      </c>
      <c r="B205" s="35" t="n"/>
      <c r="C205" s="35" t="n"/>
      <c r="D205" s="35" t="n"/>
      <c r="E205" s="35" t="n"/>
      <c r="F205" s="36" t="n"/>
      <c r="G205" s="36" t="n"/>
      <c r="H205" s="36" t="n"/>
      <c r="I205" s="37">
        <f>IF(B205="","",F205+G205-H205)</f>
        <v/>
      </c>
      <c r="J205" s="38" t="n"/>
      <c r="K205" s="39">
        <f>IF(B205="","",I205*J205)</f>
        <v/>
      </c>
      <c r="L205" s="36" t="n"/>
      <c r="M205" s="40">
        <f>IF(B205="","",IF(I205&lt;=0,"SIN STOCK",IF(I205&lt;=L205,"REABASTECER","OK")))</f>
        <v/>
      </c>
    </row>
    <row r="206" ht="20" customHeight="1">
      <c r="A206" s="34" t="n">
        <v>200</v>
      </c>
      <c r="B206" s="35" t="n"/>
      <c r="C206" s="35" t="n"/>
      <c r="D206" s="35" t="n"/>
      <c r="E206" s="35" t="n"/>
      <c r="F206" s="36" t="n"/>
      <c r="G206" s="36" t="n"/>
      <c r="H206" s="36" t="n"/>
      <c r="I206" s="37">
        <f>IF(B206="","",F206+G206-H206)</f>
        <v/>
      </c>
      <c r="J206" s="38" t="n"/>
      <c r="K206" s="39">
        <f>IF(B206="","",I206*J206)</f>
        <v/>
      </c>
      <c r="L206" s="36" t="n"/>
      <c r="M206" s="40">
        <f>IF(B206="","",IF(I206&lt;=0,"SIN STOCK",IF(I206&lt;=L206,"REABASTECER","OK")))</f>
        <v/>
      </c>
    </row>
    <row r="207" ht="20" customHeight="1">
      <c r="A207" s="34" t="n">
        <v>201</v>
      </c>
      <c r="B207" s="35" t="n"/>
      <c r="C207" s="35" t="n"/>
      <c r="D207" s="35" t="n"/>
      <c r="E207" s="35" t="n"/>
      <c r="F207" s="36" t="n"/>
      <c r="G207" s="36" t="n"/>
      <c r="H207" s="36" t="n"/>
      <c r="I207" s="37">
        <f>IF(B207="","",F207+G207-H207)</f>
        <v/>
      </c>
      <c r="J207" s="38" t="n"/>
      <c r="K207" s="39">
        <f>IF(B207="","",I207*J207)</f>
        <v/>
      </c>
      <c r="L207" s="36" t="n"/>
      <c r="M207" s="40">
        <f>IF(B207="","",IF(I207&lt;=0,"SIN STOCK",IF(I207&lt;=L207,"REABASTECER","OK")))</f>
        <v/>
      </c>
    </row>
    <row r="208" ht="20" customHeight="1">
      <c r="A208" s="34" t="n">
        <v>202</v>
      </c>
      <c r="B208" s="35" t="n"/>
      <c r="C208" s="35" t="n"/>
      <c r="D208" s="35" t="n"/>
      <c r="E208" s="35" t="n"/>
      <c r="F208" s="36" t="n"/>
      <c r="G208" s="36" t="n"/>
      <c r="H208" s="36" t="n"/>
      <c r="I208" s="37">
        <f>IF(B208="","",F208+G208-H208)</f>
        <v/>
      </c>
      <c r="J208" s="38" t="n"/>
      <c r="K208" s="39">
        <f>IF(B208="","",I208*J208)</f>
        <v/>
      </c>
      <c r="L208" s="36" t="n"/>
      <c r="M208" s="40">
        <f>IF(B208="","",IF(I208&lt;=0,"SIN STOCK",IF(I208&lt;=L208,"REABASTECER","OK")))</f>
        <v/>
      </c>
    </row>
    <row r="209" ht="20" customHeight="1">
      <c r="A209" s="34" t="n">
        <v>203</v>
      </c>
      <c r="B209" s="35" t="n"/>
      <c r="C209" s="35" t="n"/>
      <c r="D209" s="35" t="n"/>
      <c r="E209" s="35" t="n"/>
      <c r="F209" s="36" t="n"/>
      <c r="G209" s="36" t="n"/>
      <c r="H209" s="36" t="n"/>
      <c r="I209" s="37">
        <f>IF(B209="","",F209+G209-H209)</f>
        <v/>
      </c>
      <c r="J209" s="38" t="n"/>
      <c r="K209" s="39">
        <f>IF(B209="","",I209*J209)</f>
        <v/>
      </c>
      <c r="L209" s="36" t="n"/>
      <c r="M209" s="40">
        <f>IF(B209="","",IF(I209&lt;=0,"SIN STOCK",IF(I209&lt;=L209,"REABASTECER","OK")))</f>
        <v/>
      </c>
    </row>
    <row r="210" ht="20" customHeight="1">
      <c r="A210" s="34" t="n">
        <v>204</v>
      </c>
      <c r="B210" s="35" t="n"/>
      <c r="C210" s="35" t="n"/>
      <c r="D210" s="35" t="n"/>
      <c r="E210" s="35" t="n"/>
      <c r="F210" s="36" t="n"/>
      <c r="G210" s="36" t="n"/>
      <c r="H210" s="36" t="n"/>
      <c r="I210" s="37">
        <f>IF(B210="","",F210+G210-H210)</f>
        <v/>
      </c>
      <c r="J210" s="38" t="n"/>
      <c r="K210" s="39">
        <f>IF(B210="","",I210*J210)</f>
        <v/>
      </c>
      <c r="L210" s="36" t="n"/>
      <c r="M210" s="40">
        <f>IF(B210="","",IF(I210&lt;=0,"SIN STOCK",IF(I210&lt;=L210,"REABASTECER","OK")))</f>
        <v/>
      </c>
    </row>
    <row r="211" ht="20" customHeight="1">
      <c r="A211" s="34" t="n">
        <v>205</v>
      </c>
      <c r="B211" s="35" t="n"/>
      <c r="C211" s="35" t="n"/>
      <c r="D211" s="35" t="n"/>
      <c r="E211" s="35" t="n"/>
      <c r="F211" s="36" t="n"/>
      <c r="G211" s="36" t="n"/>
      <c r="H211" s="36" t="n"/>
      <c r="I211" s="37">
        <f>IF(B211="","",F211+G211-H211)</f>
        <v/>
      </c>
      <c r="J211" s="38" t="n"/>
      <c r="K211" s="39">
        <f>IF(B211="","",I211*J211)</f>
        <v/>
      </c>
      <c r="L211" s="36" t="n"/>
      <c r="M211" s="40">
        <f>IF(B211="","",IF(I211&lt;=0,"SIN STOCK",IF(I211&lt;=L211,"REABASTECER","OK")))</f>
        <v/>
      </c>
    </row>
    <row r="212" ht="20" customHeight="1">
      <c r="A212" s="34" t="n">
        <v>206</v>
      </c>
      <c r="B212" s="35" t="n"/>
      <c r="C212" s="35" t="n"/>
      <c r="D212" s="35" t="n"/>
      <c r="E212" s="35" t="n"/>
      <c r="F212" s="36" t="n"/>
      <c r="G212" s="36" t="n"/>
      <c r="H212" s="36" t="n"/>
      <c r="I212" s="37">
        <f>IF(B212="","",F212+G212-H212)</f>
        <v/>
      </c>
      <c r="J212" s="38" t="n"/>
      <c r="K212" s="39">
        <f>IF(B212="","",I212*J212)</f>
        <v/>
      </c>
      <c r="L212" s="36" t="n"/>
      <c r="M212" s="40">
        <f>IF(B212="","",IF(I212&lt;=0,"SIN STOCK",IF(I212&lt;=L212,"REABASTECER","OK")))</f>
        <v/>
      </c>
    </row>
    <row r="213" ht="20" customHeight="1">
      <c r="A213" s="34" t="n">
        <v>207</v>
      </c>
      <c r="B213" s="35" t="n"/>
      <c r="C213" s="35" t="n"/>
      <c r="D213" s="35" t="n"/>
      <c r="E213" s="35" t="n"/>
      <c r="F213" s="36" t="n"/>
      <c r="G213" s="36" t="n"/>
      <c r="H213" s="36" t="n"/>
      <c r="I213" s="37">
        <f>IF(B213="","",F213+G213-H213)</f>
        <v/>
      </c>
      <c r="J213" s="38" t="n"/>
      <c r="K213" s="39">
        <f>IF(B213="","",I213*J213)</f>
        <v/>
      </c>
      <c r="L213" s="36" t="n"/>
      <c r="M213" s="40">
        <f>IF(B213="","",IF(I213&lt;=0,"SIN STOCK",IF(I213&lt;=L213,"REABASTECER","OK")))</f>
        <v/>
      </c>
    </row>
    <row r="214" ht="20" customHeight="1">
      <c r="A214" s="34" t="n">
        <v>208</v>
      </c>
      <c r="B214" s="35" t="n"/>
      <c r="C214" s="35" t="n"/>
      <c r="D214" s="35" t="n"/>
      <c r="E214" s="35" t="n"/>
      <c r="F214" s="36" t="n"/>
      <c r="G214" s="36" t="n"/>
      <c r="H214" s="36" t="n"/>
      <c r="I214" s="37">
        <f>IF(B214="","",F214+G214-H214)</f>
        <v/>
      </c>
      <c r="J214" s="38" t="n"/>
      <c r="K214" s="39">
        <f>IF(B214="","",I214*J214)</f>
        <v/>
      </c>
      <c r="L214" s="36" t="n"/>
      <c r="M214" s="40">
        <f>IF(B214="","",IF(I214&lt;=0,"SIN STOCK",IF(I214&lt;=L214,"REABASTECER","OK")))</f>
        <v/>
      </c>
    </row>
    <row r="215" ht="20" customHeight="1">
      <c r="A215" s="34" t="n">
        <v>209</v>
      </c>
      <c r="B215" s="35" t="n"/>
      <c r="C215" s="35" t="n"/>
      <c r="D215" s="35" t="n"/>
      <c r="E215" s="35" t="n"/>
      <c r="F215" s="36" t="n"/>
      <c r="G215" s="36" t="n"/>
      <c r="H215" s="36" t="n"/>
      <c r="I215" s="37">
        <f>IF(B215="","",F215+G215-H215)</f>
        <v/>
      </c>
      <c r="J215" s="38" t="n"/>
      <c r="K215" s="39">
        <f>IF(B215="","",I215*J215)</f>
        <v/>
      </c>
      <c r="L215" s="36" t="n"/>
      <c r="M215" s="40">
        <f>IF(B215="","",IF(I215&lt;=0,"SIN STOCK",IF(I215&lt;=L215,"REABASTECER","OK")))</f>
        <v/>
      </c>
    </row>
    <row r="216" ht="20" customHeight="1">
      <c r="A216" s="34" t="n">
        <v>210</v>
      </c>
      <c r="B216" s="35" t="n"/>
      <c r="C216" s="35" t="n"/>
      <c r="D216" s="35" t="n"/>
      <c r="E216" s="35" t="n"/>
      <c r="F216" s="36" t="n"/>
      <c r="G216" s="36" t="n"/>
      <c r="H216" s="36" t="n"/>
      <c r="I216" s="37">
        <f>IF(B216="","",F216+G216-H216)</f>
        <v/>
      </c>
      <c r="J216" s="38" t="n"/>
      <c r="K216" s="39">
        <f>IF(B216="","",I216*J216)</f>
        <v/>
      </c>
      <c r="L216" s="36" t="n"/>
      <c r="M216" s="40">
        <f>IF(B216="","",IF(I216&lt;=0,"SIN STOCK",IF(I216&lt;=L216,"REABASTECER","OK")))</f>
        <v/>
      </c>
    </row>
    <row r="217" ht="20" customHeight="1">
      <c r="A217" s="34" t="n">
        <v>211</v>
      </c>
      <c r="B217" s="35" t="n"/>
      <c r="C217" s="35" t="n"/>
      <c r="D217" s="35" t="n"/>
      <c r="E217" s="35" t="n"/>
      <c r="F217" s="36" t="n"/>
      <c r="G217" s="36" t="n"/>
      <c r="H217" s="36" t="n"/>
      <c r="I217" s="37">
        <f>IF(B217="","",F217+G217-H217)</f>
        <v/>
      </c>
      <c r="J217" s="38" t="n"/>
      <c r="K217" s="39">
        <f>IF(B217="","",I217*J217)</f>
        <v/>
      </c>
      <c r="L217" s="36" t="n"/>
      <c r="M217" s="40">
        <f>IF(B217="","",IF(I217&lt;=0,"SIN STOCK",IF(I217&lt;=L217,"REABASTECER","OK")))</f>
        <v/>
      </c>
    </row>
    <row r="218" ht="20" customHeight="1">
      <c r="A218" s="34" t="n">
        <v>212</v>
      </c>
      <c r="B218" s="35" t="n"/>
      <c r="C218" s="35" t="n"/>
      <c r="D218" s="35" t="n"/>
      <c r="E218" s="35" t="n"/>
      <c r="F218" s="36" t="n"/>
      <c r="G218" s="36" t="n"/>
      <c r="H218" s="36" t="n"/>
      <c r="I218" s="37">
        <f>IF(B218="","",F218+G218-H218)</f>
        <v/>
      </c>
      <c r="J218" s="38" t="n"/>
      <c r="K218" s="39">
        <f>IF(B218="","",I218*J218)</f>
        <v/>
      </c>
      <c r="L218" s="36" t="n"/>
      <c r="M218" s="40">
        <f>IF(B218="","",IF(I218&lt;=0,"SIN STOCK",IF(I218&lt;=L218,"REABASTECER","OK")))</f>
        <v/>
      </c>
    </row>
    <row r="219" ht="20" customHeight="1">
      <c r="A219" s="34" t="n">
        <v>213</v>
      </c>
      <c r="B219" s="35" t="n"/>
      <c r="C219" s="35" t="n"/>
      <c r="D219" s="35" t="n"/>
      <c r="E219" s="35" t="n"/>
      <c r="F219" s="36" t="n"/>
      <c r="G219" s="36" t="n"/>
      <c r="H219" s="36" t="n"/>
      <c r="I219" s="37">
        <f>IF(B219="","",F219+G219-H219)</f>
        <v/>
      </c>
      <c r="J219" s="38" t="n"/>
      <c r="K219" s="39">
        <f>IF(B219="","",I219*J219)</f>
        <v/>
      </c>
      <c r="L219" s="36" t="n"/>
      <c r="M219" s="40">
        <f>IF(B219="","",IF(I219&lt;=0,"SIN STOCK",IF(I219&lt;=L219,"REABASTECER","OK")))</f>
        <v/>
      </c>
    </row>
    <row r="220" ht="20" customHeight="1">
      <c r="A220" s="34" t="n">
        <v>214</v>
      </c>
      <c r="B220" s="35" t="n"/>
      <c r="C220" s="35" t="n"/>
      <c r="D220" s="35" t="n"/>
      <c r="E220" s="35" t="n"/>
      <c r="F220" s="36" t="n"/>
      <c r="G220" s="36" t="n"/>
      <c r="H220" s="36" t="n"/>
      <c r="I220" s="37">
        <f>IF(B220="","",F220+G220-H220)</f>
        <v/>
      </c>
      <c r="J220" s="38" t="n"/>
      <c r="K220" s="39">
        <f>IF(B220="","",I220*J220)</f>
        <v/>
      </c>
      <c r="L220" s="36" t="n"/>
      <c r="M220" s="40">
        <f>IF(B220="","",IF(I220&lt;=0,"SIN STOCK",IF(I220&lt;=L220,"REABASTECER","OK")))</f>
        <v/>
      </c>
    </row>
    <row r="221" ht="20" customHeight="1">
      <c r="A221" s="34" t="n">
        <v>215</v>
      </c>
      <c r="B221" s="35" t="n"/>
      <c r="C221" s="35" t="n"/>
      <c r="D221" s="35" t="n"/>
      <c r="E221" s="35" t="n"/>
      <c r="F221" s="36" t="n"/>
      <c r="G221" s="36" t="n"/>
      <c r="H221" s="36" t="n"/>
      <c r="I221" s="37">
        <f>IF(B221="","",F221+G221-H221)</f>
        <v/>
      </c>
      <c r="J221" s="38" t="n"/>
      <c r="K221" s="39">
        <f>IF(B221="","",I221*J221)</f>
        <v/>
      </c>
      <c r="L221" s="36" t="n"/>
      <c r="M221" s="40">
        <f>IF(B221="","",IF(I221&lt;=0,"SIN STOCK",IF(I221&lt;=L221,"REABASTECER","OK")))</f>
        <v/>
      </c>
    </row>
    <row r="222" ht="20" customHeight="1">
      <c r="A222" s="34" t="n">
        <v>216</v>
      </c>
      <c r="B222" s="35" t="n"/>
      <c r="C222" s="35" t="n"/>
      <c r="D222" s="35" t="n"/>
      <c r="E222" s="35" t="n"/>
      <c r="F222" s="36" t="n"/>
      <c r="G222" s="36" t="n"/>
      <c r="H222" s="36" t="n"/>
      <c r="I222" s="37">
        <f>IF(B222="","",F222+G222-H222)</f>
        <v/>
      </c>
      <c r="J222" s="38" t="n"/>
      <c r="K222" s="39">
        <f>IF(B222="","",I222*J222)</f>
        <v/>
      </c>
      <c r="L222" s="36" t="n"/>
      <c r="M222" s="40">
        <f>IF(B222="","",IF(I222&lt;=0,"SIN STOCK",IF(I222&lt;=L222,"REABASTECER","OK")))</f>
        <v/>
      </c>
    </row>
    <row r="223" ht="20" customHeight="1">
      <c r="A223" s="34" t="n">
        <v>217</v>
      </c>
      <c r="B223" s="35" t="n"/>
      <c r="C223" s="35" t="n"/>
      <c r="D223" s="35" t="n"/>
      <c r="E223" s="35" t="n"/>
      <c r="F223" s="36" t="n"/>
      <c r="G223" s="36" t="n"/>
      <c r="H223" s="36" t="n"/>
      <c r="I223" s="37">
        <f>IF(B223="","",F223+G223-H223)</f>
        <v/>
      </c>
      <c r="J223" s="38" t="n"/>
      <c r="K223" s="39">
        <f>IF(B223="","",I223*J223)</f>
        <v/>
      </c>
      <c r="L223" s="36" t="n"/>
      <c r="M223" s="40">
        <f>IF(B223="","",IF(I223&lt;=0,"SIN STOCK",IF(I223&lt;=L223,"REABASTECER","OK")))</f>
        <v/>
      </c>
    </row>
    <row r="224" ht="20" customHeight="1">
      <c r="A224" s="34" t="n">
        <v>218</v>
      </c>
      <c r="B224" s="35" t="n"/>
      <c r="C224" s="35" t="n"/>
      <c r="D224" s="35" t="n"/>
      <c r="E224" s="35" t="n"/>
      <c r="F224" s="36" t="n"/>
      <c r="G224" s="36" t="n"/>
      <c r="H224" s="36" t="n"/>
      <c r="I224" s="37">
        <f>IF(B224="","",F224+G224-H224)</f>
        <v/>
      </c>
      <c r="J224" s="38" t="n"/>
      <c r="K224" s="39">
        <f>IF(B224="","",I224*J224)</f>
        <v/>
      </c>
      <c r="L224" s="36" t="n"/>
      <c r="M224" s="40">
        <f>IF(B224="","",IF(I224&lt;=0,"SIN STOCK",IF(I224&lt;=L224,"REABASTECER","OK")))</f>
        <v/>
      </c>
    </row>
    <row r="225" ht="20" customHeight="1">
      <c r="A225" s="34" t="n">
        <v>219</v>
      </c>
      <c r="B225" s="35" t="n"/>
      <c r="C225" s="35" t="n"/>
      <c r="D225" s="35" t="n"/>
      <c r="E225" s="35" t="n"/>
      <c r="F225" s="36" t="n"/>
      <c r="G225" s="36" t="n"/>
      <c r="H225" s="36" t="n"/>
      <c r="I225" s="37">
        <f>IF(B225="","",F225+G225-H225)</f>
        <v/>
      </c>
      <c r="J225" s="38" t="n"/>
      <c r="K225" s="39">
        <f>IF(B225="","",I225*J225)</f>
        <v/>
      </c>
      <c r="L225" s="36" t="n"/>
      <c r="M225" s="40">
        <f>IF(B225="","",IF(I225&lt;=0,"SIN STOCK",IF(I225&lt;=L225,"REABASTECER","OK")))</f>
        <v/>
      </c>
    </row>
    <row r="226" ht="20" customHeight="1">
      <c r="A226" s="34" t="n">
        <v>220</v>
      </c>
      <c r="B226" s="35" t="n"/>
      <c r="C226" s="35" t="n"/>
      <c r="D226" s="35" t="n"/>
      <c r="E226" s="35" t="n"/>
      <c r="F226" s="36" t="n"/>
      <c r="G226" s="36" t="n"/>
      <c r="H226" s="36" t="n"/>
      <c r="I226" s="37">
        <f>IF(B226="","",F226+G226-H226)</f>
        <v/>
      </c>
      <c r="J226" s="38" t="n"/>
      <c r="K226" s="39">
        <f>IF(B226="","",I226*J226)</f>
        <v/>
      </c>
      <c r="L226" s="36" t="n"/>
      <c r="M226" s="40">
        <f>IF(B226="","",IF(I226&lt;=0,"SIN STOCK",IF(I226&lt;=L226,"REABASTECER","OK")))</f>
        <v/>
      </c>
    </row>
    <row r="227" ht="20" customHeight="1">
      <c r="A227" s="34" t="n">
        <v>221</v>
      </c>
      <c r="B227" s="35" t="n"/>
      <c r="C227" s="35" t="n"/>
      <c r="D227" s="35" t="n"/>
      <c r="E227" s="35" t="n"/>
      <c r="F227" s="36" t="n"/>
      <c r="G227" s="36" t="n"/>
      <c r="H227" s="36" t="n"/>
      <c r="I227" s="37">
        <f>IF(B227="","",F227+G227-H227)</f>
        <v/>
      </c>
      <c r="J227" s="38" t="n"/>
      <c r="K227" s="39">
        <f>IF(B227="","",I227*J227)</f>
        <v/>
      </c>
      <c r="L227" s="36" t="n"/>
      <c r="M227" s="40">
        <f>IF(B227="","",IF(I227&lt;=0,"SIN STOCK",IF(I227&lt;=L227,"REABASTECER","OK")))</f>
        <v/>
      </c>
    </row>
    <row r="228" ht="20" customHeight="1">
      <c r="A228" s="34" t="n">
        <v>222</v>
      </c>
      <c r="B228" s="35" t="n"/>
      <c r="C228" s="35" t="n"/>
      <c r="D228" s="35" t="n"/>
      <c r="E228" s="35" t="n"/>
      <c r="F228" s="36" t="n"/>
      <c r="G228" s="36" t="n"/>
      <c r="H228" s="36" t="n"/>
      <c r="I228" s="37">
        <f>IF(B228="","",F228+G228-H228)</f>
        <v/>
      </c>
      <c r="J228" s="38" t="n"/>
      <c r="K228" s="39">
        <f>IF(B228="","",I228*J228)</f>
        <v/>
      </c>
      <c r="L228" s="36" t="n"/>
      <c r="M228" s="40">
        <f>IF(B228="","",IF(I228&lt;=0,"SIN STOCK",IF(I228&lt;=L228,"REABASTECER","OK")))</f>
        <v/>
      </c>
    </row>
    <row r="229" ht="20" customHeight="1">
      <c r="A229" s="34" t="n">
        <v>223</v>
      </c>
      <c r="B229" s="35" t="n"/>
      <c r="C229" s="35" t="n"/>
      <c r="D229" s="35" t="n"/>
      <c r="E229" s="35" t="n"/>
      <c r="F229" s="36" t="n"/>
      <c r="G229" s="36" t="n"/>
      <c r="H229" s="36" t="n"/>
      <c r="I229" s="37">
        <f>IF(B229="","",F229+G229-H229)</f>
        <v/>
      </c>
      <c r="J229" s="38" t="n"/>
      <c r="K229" s="39">
        <f>IF(B229="","",I229*J229)</f>
        <v/>
      </c>
      <c r="L229" s="36" t="n"/>
      <c r="M229" s="40">
        <f>IF(B229="","",IF(I229&lt;=0,"SIN STOCK",IF(I229&lt;=L229,"REABASTECER","OK")))</f>
        <v/>
      </c>
    </row>
    <row r="230" ht="20" customHeight="1">
      <c r="A230" s="34" t="n">
        <v>224</v>
      </c>
      <c r="B230" s="35" t="n"/>
      <c r="C230" s="35" t="n"/>
      <c r="D230" s="35" t="n"/>
      <c r="E230" s="35" t="n"/>
      <c r="F230" s="36" t="n"/>
      <c r="G230" s="36" t="n"/>
      <c r="H230" s="36" t="n"/>
      <c r="I230" s="37">
        <f>IF(B230="","",F230+G230-H230)</f>
        <v/>
      </c>
      <c r="J230" s="38" t="n"/>
      <c r="K230" s="39">
        <f>IF(B230="","",I230*J230)</f>
        <v/>
      </c>
      <c r="L230" s="36" t="n"/>
      <c r="M230" s="40">
        <f>IF(B230="","",IF(I230&lt;=0,"SIN STOCK",IF(I230&lt;=L230,"REABASTECER","OK")))</f>
        <v/>
      </c>
    </row>
    <row r="231" ht="20" customHeight="1">
      <c r="A231" s="34" t="n">
        <v>225</v>
      </c>
      <c r="B231" s="35" t="n"/>
      <c r="C231" s="35" t="n"/>
      <c r="D231" s="35" t="n"/>
      <c r="E231" s="35" t="n"/>
      <c r="F231" s="36" t="n"/>
      <c r="G231" s="36" t="n"/>
      <c r="H231" s="36" t="n"/>
      <c r="I231" s="37">
        <f>IF(B231="","",F231+G231-H231)</f>
        <v/>
      </c>
      <c r="J231" s="38" t="n"/>
      <c r="K231" s="39">
        <f>IF(B231="","",I231*J231)</f>
        <v/>
      </c>
      <c r="L231" s="36" t="n"/>
      <c r="M231" s="40">
        <f>IF(B231="","",IF(I231&lt;=0,"SIN STOCK",IF(I231&lt;=L231,"REABASTECER","OK")))</f>
        <v/>
      </c>
    </row>
    <row r="232" ht="20" customHeight="1">
      <c r="A232" s="34" t="n">
        <v>226</v>
      </c>
      <c r="B232" s="35" t="n"/>
      <c r="C232" s="35" t="n"/>
      <c r="D232" s="35" t="n"/>
      <c r="E232" s="35" t="n"/>
      <c r="F232" s="36" t="n"/>
      <c r="G232" s="36" t="n"/>
      <c r="H232" s="36" t="n"/>
      <c r="I232" s="37">
        <f>IF(B232="","",F232+G232-H232)</f>
        <v/>
      </c>
      <c r="J232" s="38" t="n"/>
      <c r="K232" s="39">
        <f>IF(B232="","",I232*J232)</f>
        <v/>
      </c>
      <c r="L232" s="36" t="n"/>
      <c r="M232" s="40">
        <f>IF(B232="","",IF(I232&lt;=0,"SIN STOCK",IF(I232&lt;=L232,"REABASTECER","OK")))</f>
        <v/>
      </c>
    </row>
    <row r="233" ht="20" customHeight="1">
      <c r="A233" s="34" t="n">
        <v>227</v>
      </c>
      <c r="B233" s="35" t="n"/>
      <c r="C233" s="35" t="n"/>
      <c r="D233" s="35" t="n"/>
      <c r="E233" s="35" t="n"/>
      <c r="F233" s="36" t="n"/>
      <c r="G233" s="36" t="n"/>
      <c r="H233" s="36" t="n"/>
      <c r="I233" s="37">
        <f>IF(B233="","",F233+G233-H233)</f>
        <v/>
      </c>
      <c r="J233" s="38" t="n"/>
      <c r="K233" s="39">
        <f>IF(B233="","",I233*J233)</f>
        <v/>
      </c>
      <c r="L233" s="36" t="n"/>
      <c r="M233" s="40">
        <f>IF(B233="","",IF(I233&lt;=0,"SIN STOCK",IF(I233&lt;=L233,"REABASTECER","OK")))</f>
        <v/>
      </c>
    </row>
    <row r="234" ht="20" customHeight="1">
      <c r="A234" s="34" t="n">
        <v>228</v>
      </c>
      <c r="B234" s="35" t="n"/>
      <c r="C234" s="35" t="n"/>
      <c r="D234" s="35" t="n"/>
      <c r="E234" s="35" t="n"/>
      <c r="F234" s="36" t="n"/>
      <c r="G234" s="36" t="n"/>
      <c r="H234" s="36" t="n"/>
      <c r="I234" s="37">
        <f>IF(B234="","",F234+G234-H234)</f>
        <v/>
      </c>
      <c r="J234" s="38" t="n"/>
      <c r="K234" s="39">
        <f>IF(B234="","",I234*J234)</f>
        <v/>
      </c>
      <c r="L234" s="36" t="n"/>
      <c r="M234" s="40">
        <f>IF(B234="","",IF(I234&lt;=0,"SIN STOCK",IF(I234&lt;=L234,"REABASTECER","OK")))</f>
        <v/>
      </c>
    </row>
    <row r="235" ht="20" customHeight="1">
      <c r="A235" s="34" t="n">
        <v>229</v>
      </c>
      <c r="B235" s="35" t="n"/>
      <c r="C235" s="35" t="n"/>
      <c r="D235" s="35" t="n"/>
      <c r="E235" s="35" t="n"/>
      <c r="F235" s="36" t="n"/>
      <c r="G235" s="36" t="n"/>
      <c r="H235" s="36" t="n"/>
      <c r="I235" s="37">
        <f>IF(B235="","",F235+G235-H235)</f>
        <v/>
      </c>
      <c r="J235" s="38" t="n"/>
      <c r="K235" s="39">
        <f>IF(B235="","",I235*J235)</f>
        <v/>
      </c>
      <c r="L235" s="36" t="n"/>
      <c r="M235" s="40">
        <f>IF(B235="","",IF(I235&lt;=0,"SIN STOCK",IF(I235&lt;=L235,"REABASTECER","OK")))</f>
        <v/>
      </c>
    </row>
    <row r="236" ht="20" customHeight="1">
      <c r="A236" s="34" t="n">
        <v>230</v>
      </c>
      <c r="B236" s="35" t="n"/>
      <c r="C236" s="35" t="n"/>
      <c r="D236" s="35" t="n"/>
      <c r="E236" s="35" t="n"/>
      <c r="F236" s="36" t="n"/>
      <c r="G236" s="36" t="n"/>
      <c r="H236" s="36" t="n"/>
      <c r="I236" s="37">
        <f>IF(B236="","",F236+G236-H236)</f>
        <v/>
      </c>
      <c r="J236" s="38" t="n"/>
      <c r="K236" s="39">
        <f>IF(B236="","",I236*J236)</f>
        <v/>
      </c>
      <c r="L236" s="36" t="n"/>
      <c r="M236" s="40">
        <f>IF(B236="","",IF(I236&lt;=0,"SIN STOCK",IF(I236&lt;=L236,"REABASTECER","OK")))</f>
        <v/>
      </c>
    </row>
    <row r="237" ht="20" customHeight="1">
      <c r="A237" s="34" t="n">
        <v>231</v>
      </c>
      <c r="B237" s="35" t="n"/>
      <c r="C237" s="35" t="n"/>
      <c r="D237" s="35" t="n"/>
      <c r="E237" s="35" t="n"/>
      <c r="F237" s="36" t="n"/>
      <c r="G237" s="36" t="n"/>
      <c r="H237" s="36" t="n"/>
      <c r="I237" s="37">
        <f>IF(B237="","",F237+G237-H237)</f>
        <v/>
      </c>
      <c r="J237" s="38" t="n"/>
      <c r="K237" s="39">
        <f>IF(B237="","",I237*J237)</f>
        <v/>
      </c>
      <c r="L237" s="36" t="n"/>
      <c r="M237" s="40">
        <f>IF(B237="","",IF(I237&lt;=0,"SIN STOCK",IF(I237&lt;=L237,"REABASTECER","OK")))</f>
        <v/>
      </c>
    </row>
    <row r="238" ht="20" customHeight="1">
      <c r="A238" s="34" t="n">
        <v>232</v>
      </c>
      <c r="B238" s="35" t="n"/>
      <c r="C238" s="35" t="n"/>
      <c r="D238" s="35" t="n"/>
      <c r="E238" s="35" t="n"/>
      <c r="F238" s="36" t="n"/>
      <c r="G238" s="36" t="n"/>
      <c r="H238" s="36" t="n"/>
      <c r="I238" s="37">
        <f>IF(B238="","",F238+G238-H238)</f>
        <v/>
      </c>
      <c r="J238" s="38" t="n"/>
      <c r="K238" s="39">
        <f>IF(B238="","",I238*J238)</f>
        <v/>
      </c>
      <c r="L238" s="36" t="n"/>
      <c r="M238" s="40">
        <f>IF(B238="","",IF(I238&lt;=0,"SIN STOCK",IF(I238&lt;=L238,"REABASTECER","OK")))</f>
        <v/>
      </c>
    </row>
    <row r="239" ht="20" customHeight="1">
      <c r="A239" s="34" t="n">
        <v>233</v>
      </c>
      <c r="B239" s="35" t="n"/>
      <c r="C239" s="35" t="n"/>
      <c r="D239" s="35" t="n"/>
      <c r="E239" s="35" t="n"/>
      <c r="F239" s="36" t="n"/>
      <c r="G239" s="36" t="n"/>
      <c r="H239" s="36" t="n"/>
      <c r="I239" s="37">
        <f>IF(B239="","",F239+G239-H239)</f>
        <v/>
      </c>
      <c r="J239" s="38" t="n"/>
      <c r="K239" s="39">
        <f>IF(B239="","",I239*J239)</f>
        <v/>
      </c>
      <c r="L239" s="36" t="n"/>
      <c r="M239" s="40">
        <f>IF(B239="","",IF(I239&lt;=0,"SIN STOCK",IF(I239&lt;=L239,"REABASTECER","OK")))</f>
        <v/>
      </c>
    </row>
    <row r="240" ht="20" customHeight="1">
      <c r="A240" s="34" t="n">
        <v>234</v>
      </c>
      <c r="B240" s="35" t="n"/>
      <c r="C240" s="35" t="n"/>
      <c r="D240" s="35" t="n"/>
      <c r="E240" s="35" t="n"/>
      <c r="F240" s="36" t="n"/>
      <c r="G240" s="36" t="n"/>
      <c r="H240" s="36" t="n"/>
      <c r="I240" s="37">
        <f>IF(B240="","",F240+G240-H240)</f>
        <v/>
      </c>
      <c r="J240" s="38" t="n"/>
      <c r="K240" s="39">
        <f>IF(B240="","",I240*J240)</f>
        <v/>
      </c>
      <c r="L240" s="36" t="n"/>
      <c r="M240" s="40">
        <f>IF(B240="","",IF(I240&lt;=0,"SIN STOCK",IF(I240&lt;=L240,"REABASTECER","OK")))</f>
        <v/>
      </c>
    </row>
    <row r="241" ht="20" customHeight="1">
      <c r="A241" s="34" t="n">
        <v>235</v>
      </c>
      <c r="B241" s="35" t="n"/>
      <c r="C241" s="35" t="n"/>
      <c r="D241" s="35" t="n"/>
      <c r="E241" s="35" t="n"/>
      <c r="F241" s="36" t="n"/>
      <c r="G241" s="36" t="n"/>
      <c r="H241" s="36" t="n"/>
      <c r="I241" s="37">
        <f>IF(B241="","",F241+G241-H241)</f>
        <v/>
      </c>
      <c r="J241" s="38" t="n"/>
      <c r="K241" s="39">
        <f>IF(B241="","",I241*J241)</f>
        <v/>
      </c>
      <c r="L241" s="36" t="n"/>
      <c r="M241" s="40">
        <f>IF(B241="","",IF(I241&lt;=0,"SIN STOCK",IF(I241&lt;=L241,"REABASTECER","OK")))</f>
        <v/>
      </c>
    </row>
    <row r="242" ht="20" customHeight="1">
      <c r="A242" s="34" t="n">
        <v>236</v>
      </c>
      <c r="B242" s="35" t="n"/>
      <c r="C242" s="35" t="n"/>
      <c r="D242" s="35" t="n"/>
      <c r="E242" s="35" t="n"/>
      <c r="F242" s="36" t="n"/>
      <c r="G242" s="36" t="n"/>
      <c r="H242" s="36" t="n"/>
      <c r="I242" s="37">
        <f>IF(B242="","",F242+G242-H242)</f>
        <v/>
      </c>
      <c r="J242" s="38" t="n"/>
      <c r="K242" s="39">
        <f>IF(B242="","",I242*J242)</f>
        <v/>
      </c>
      <c r="L242" s="36" t="n"/>
      <c r="M242" s="40">
        <f>IF(B242="","",IF(I242&lt;=0,"SIN STOCK",IF(I242&lt;=L242,"REABASTECER","OK")))</f>
        <v/>
      </c>
    </row>
    <row r="243" ht="20" customHeight="1">
      <c r="A243" s="34" t="n">
        <v>237</v>
      </c>
      <c r="B243" s="35" t="n"/>
      <c r="C243" s="35" t="n"/>
      <c r="D243" s="35" t="n"/>
      <c r="E243" s="35" t="n"/>
      <c r="F243" s="36" t="n"/>
      <c r="G243" s="36" t="n"/>
      <c r="H243" s="36" t="n"/>
      <c r="I243" s="37">
        <f>IF(B243="","",F243+G243-H243)</f>
        <v/>
      </c>
      <c r="J243" s="38" t="n"/>
      <c r="K243" s="39">
        <f>IF(B243="","",I243*J243)</f>
        <v/>
      </c>
      <c r="L243" s="36" t="n"/>
      <c r="M243" s="40">
        <f>IF(B243="","",IF(I243&lt;=0,"SIN STOCK",IF(I243&lt;=L243,"REABASTECER","OK")))</f>
        <v/>
      </c>
    </row>
    <row r="244" ht="20" customHeight="1">
      <c r="A244" s="34" t="n">
        <v>238</v>
      </c>
      <c r="B244" s="35" t="n"/>
      <c r="C244" s="35" t="n"/>
      <c r="D244" s="35" t="n"/>
      <c r="E244" s="35" t="n"/>
      <c r="F244" s="36" t="n"/>
      <c r="G244" s="36" t="n"/>
      <c r="H244" s="36" t="n"/>
      <c r="I244" s="37">
        <f>IF(B244="","",F244+G244-H244)</f>
        <v/>
      </c>
      <c r="J244" s="38" t="n"/>
      <c r="K244" s="39">
        <f>IF(B244="","",I244*J244)</f>
        <v/>
      </c>
      <c r="L244" s="36" t="n"/>
      <c r="M244" s="40">
        <f>IF(B244="","",IF(I244&lt;=0,"SIN STOCK",IF(I244&lt;=L244,"REABASTECER","OK")))</f>
        <v/>
      </c>
    </row>
    <row r="245" ht="20" customHeight="1">
      <c r="A245" s="34" t="n">
        <v>239</v>
      </c>
      <c r="B245" s="35" t="n"/>
      <c r="C245" s="35" t="n"/>
      <c r="D245" s="35" t="n"/>
      <c r="E245" s="35" t="n"/>
      <c r="F245" s="36" t="n"/>
      <c r="G245" s="36" t="n"/>
      <c r="H245" s="36" t="n"/>
      <c r="I245" s="37">
        <f>IF(B245="","",F245+G245-H245)</f>
        <v/>
      </c>
      <c r="J245" s="38" t="n"/>
      <c r="K245" s="39">
        <f>IF(B245="","",I245*J245)</f>
        <v/>
      </c>
      <c r="L245" s="36" t="n"/>
      <c r="M245" s="40">
        <f>IF(B245="","",IF(I245&lt;=0,"SIN STOCK",IF(I245&lt;=L245,"REABASTECER","OK")))</f>
        <v/>
      </c>
    </row>
    <row r="246" ht="20" customHeight="1">
      <c r="A246" s="34" t="n">
        <v>240</v>
      </c>
      <c r="B246" s="35" t="n"/>
      <c r="C246" s="35" t="n"/>
      <c r="D246" s="35" t="n"/>
      <c r="E246" s="35" t="n"/>
      <c r="F246" s="36" t="n"/>
      <c r="G246" s="36" t="n"/>
      <c r="H246" s="36" t="n"/>
      <c r="I246" s="37">
        <f>IF(B246="","",F246+G246-H246)</f>
        <v/>
      </c>
      <c r="J246" s="38" t="n"/>
      <c r="K246" s="39">
        <f>IF(B246="","",I246*J246)</f>
        <v/>
      </c>
      <c r="L246" s="36" t="n"/>
      <c r="M246" s="40">
        <f>IF(B246="","",IF(I246&lt;=0,"SIN STOCK",IF(I246&lt;=L246,"REABASTECER","OK")))</f>
        <v/>
      </c>
    </row>
    <row r="247" ht="20" customHeight="1">
      <c r="A247" s="34" t="n">
        <v>241</v>
      </c>
      <c r="B247" s="35" t="n"/>
      <c r="C247" s="35" t="n"/>
      <c r="D247" s="35" t="n"/>
      <c r="E247" s="35" t="n"/>
      <c r="F247" s="36" t="n"/>
      <c r="G247" s="36" t="n"/>
      <c r="H247" s="36" t="n"/>
      <c r="I247" s="37">
        <f>IF(B247="","",F247+G247-H247)</f>
        <v/>
      </c>
      <c r="J247" s="38" t="n"/>
      <c r="K247" s="39">
        <f>IF(B247="","",I247*J247)</f>
        <v/>
      </c>
      <c r="L247" s="36" t="n"/>
      <c r="M247" s="40">
        <f>IF(B247="","",IF(I247&lt;=0,"SIN STOCK",IF(I247&lt;=L247,"REABASTECER","OK")))</f>
        <v/>
      </c>
    </row>
    <row r="248" ht="20" customHeight="1">
      <c r="A248" s="34" t="n">
        <v>242</v>
      </c>
      <c r="B248" s="35" t="n"/>
      <c r="C248" s="35" t="n"/>
      <c r="D248" s="35" t="n"/>
      <c r="E248" s="35" t="n"/>
      <c r="F248" s="36" t="n"/>
      <c r="G248" s="36" t="n"/>
      <c r="H248" s="36" t="n"/>
      <c r="I248" s="37">
        <f>IF(B248="","",F248+G248-H248)</f>
        <v/>
      </c>
      <c r="J248" s="38" t="n"/>
      <c r="K248" s="39">
        <f>IF(B248="","",I248*J248)</f>
        <v/>
      </c>
      <c r="L248" s="36" t="n"/>
      <c r="M248" s="40">
        <f>IF(B248="","",IF(I248&lt;=0,"SIN STOCK",IF(I248&lt;=L248,"REABASTECER","OK")))</f>
        <v/>
      </c>
    </row>
    <row r="249" ht="20" customHeight="1">
      <c r="A249" s="34" t="n">
        <v>243</v>
      </c>
      <c r="B249" s="35" t="n"/>
      <c r="C249" s="35" t="n"/>
      <c r="D249" s="35" t="n"/>
      <c r="E249" s="35" t="n"/>
      <c r="F249" s="36" t="n"/>
      <c r="G249" s="36" t="n"/>
      <c r="H249" s="36" t="n"/>
      <c r="I249" s="37">
        <f>IF(B249="","",F249+G249-H249)</f>
        <v/>
      </c>
      <c r="J249" s="38" t="n"/>
      <c r="K249" s="39">
        <f>IF(B249="","",I249*J249)</f>
        <v/>
      </c>
      <c r="L249" s="36" t="n"/>
      <c r="M249" s="40">
        <f>IF(B249="","",IF(I249&lt;=0,"SIN STOCK",IF(I249&lt;=L249,"REABASTECER","OK")))</f>
        <v/>
      </c>
    </row>
    <row r="250" ht="20" customHeight="1">
      <c r="A250" s="34" t="n">
        <v>244</v>
      </c>
      <c r="B250" s="35" t="n"/>
      <c r="C250" s="35" t="n"/>
      <c r="D250" s="35" t="n"/>
      <c r="E250" s="35" t="n"/>
      <c r="F250" s="36" t="n"/>
      <c r="G250" s="36" t="n"/>
      <c r="H250" s="36" t="n"/>
      <c r="I250" s="37">
        <f>IF(B250="","",F250+G250-H250)</f>
        <v/>
      </c>
      <c r="J250" s="38" t="n"/>
      <c r="K250" s="39">
        <f>IF(B250="","",I250*J250)</f>
        <v/>
      </c>
      <c r="L250" s="36" t="n"/>
      <c r="M250" s="40">
        <f>IF(B250="","",IF(I250&lt;=0,"SIN STOCK",IF(I250&lt;=L250,"REABASTECER","OK")))</f>
        <v/>
      </c>
    </row>
    <row r="251" ht="20" customHeight="1">
      <c r="A251" s="34" t="n">
        <v>245</v>
      </c>
      <c r="B251" s="35" t="n"/>
      <c r="C251" s="35" t="n"/>
      <c r="D251" s="35" t="n"/>
      <c r="E251" s="35" t="n"/>
      <c r="F251" s="36" t="n"/>
      <c r="G251" s="36" t="n"/>
      <c r="H251" s="36" t="n"/>
      <c r="I251" s="37">
        <f>IF(B251="","",F251+G251-H251)</f>
        <v/>
      </c>
      <c r="J251" s="38" t="n"/>
      <c r="K251" s="39">
        <f>IF(B251="","",I251*J251)</f>
        <v/>
      </c>
      <c r="L251" s="36" t="n"/>
      <c r="M251" s="40">
        <f>IF(B251="","",IF(I251&lt;=0,"SIN STOCK",IF(I251&lt;=L251,"REABASTECER","OK")))</f>
        <v/>
      </c>
    </row>
    <row r="252" ht="20" customHeight="1">
      <c r="A252" s="34" t="n">
        <v>246</v>
      </c>
      <c r="B252" s="35" t="n"/>
      <c r="C252" s="35" t="n"/>
      <c r="D252" s="35" t="n"/>
      <c r="E252" s="35" t="n"/>
      <c r="F252" s="36" t="n"/>
      <c r="G252" s="36" t="n"/>
      <c r="H252" s="36" t="n"/>
      <c r="I252" s="37">
        <f>IF(B252="","",F252+G252-H252)</f>
        <v/>
      </c>
      <c r="J252" s="38" t="n"/>
      <c r="K252" s="39">
        <f>IF(B252="","",I252*J252)</f>
        <v/>
      </c>
      <c r="L252" s="36" t="n"/>
      <c r="M252" s="40">
        <f>IF(B252="","",IF(I252&lt;=0,"SIN STOCK",IF(I252&lt;=L252,"REABASTECER","OK")))</f>
        <v/>
      </c>
    </row>
    <row r="253" ht="20" customHeight="1">
      <c r="A253" s="34" t="n">
        <v>247</v>
      </c>
      <c r="B253" s="35" t="n"/>
      <c r="C253" s="35" t="n"/>
      <c r="D253" s="35" t="n"/>
      <c r="E253" s="35" t="n"/>
      <c r="F253" s="36" t="n"/>
      <c r="G253" s="36" t="n"/>
      <c r="H253" s="36" t="n"/>
      <c r="I253" s="37">
        <f>IF(B253="","",F253+G253-H253)</f>
        <v/>
      </c>
      <c r="J253" s="38" t="n"/>
      <c r="K253" s="39">
        <f>IF(B253="","",I253*J253)</f>
        <v/>
      </c>
      <c r="L253" s="36" t="n"/>
      <c r="M253" s="40">
        <f>IF(B253="","",IF(I253&lt;=0,"SIN STOCK",IF(I253&lt;=L253,"REABASTECER","OK")))</f>
        <v/>
      </c>
    </row>
    <row r="254" ht="20" customHeight="1">
      <c r="A254" s="34" t="n">
        <v>248</v>
      </c>
      <c r="B254" s="35" t="n"/>
      <c r="C254" s="35" t="n"/>
      <c r="D254" s="35" t="n"/>
      <c r="E254" s="35" t="n"/>
      <c r="F254" s="36" t="n"/>
      <c r="G254" s="36" t="n"/>
      <c r="H254" s="36" t="n"/>
      <c r="I254" s="37">
        <f>IF(B254="","",F254+G254-H254)</f>
        <v/>
      </c>
      <c r="J254" s="38" t="n"/>
      <c r="K254" s="39">
        <f>IF(B254="","",I254*J254)</f>
        <v/>
      </c>
      <c r="L254" s="36" t="n"/>
      <c r="M254" s="40">
        <f>IF(B254="","",IF(I254&lt;=0,"SIN STOCK",IF(I254&lt;=L254,"REABASTECER","OK")))</f>
        <v/>
      </c>
    </row>
    <row r="255" ht="20" customHeight="1">
      <c r="A255" s="34" t="n">
        <v>249</v>
      </c>
      <c r="B255" s="35" t="n"/>
      <c r="C255" s="35" t="n"/>
      <c r="D255" s="35" t="n"/>
      <c r="E255" s="35" t="n"/>
      <c r="F255" s="36" t="n"/>
      <c r="G255" s="36" t="n"/>
      <c r="H255" s="36" t="n"/>
      <c r="I255" s="37">
        <f>IF(B255="","",F255+G255-H255)</f>
        <v/>
      </c>
      <c r="J255" s="38" t="n"/>
      <c r="K255" s="39">
        <f>IF(B255="","",I255*J255)</f>
        <v/>
      </c>
      <c r="L255" s="36" t="n"/>
      <c r="M255" s="40">
        <f>IF(B255="","",IF(I255&lt;=0,"SIN STOCK",IF(I255&lt;=L255,"REABASTECER","OK")))</f>
        <v/>
      </c>
    </row>
    <row r="256" ht="20" customHeight="1">
      <c r="A256" s="34" t="n">
        <v>250</v>
      </c>
      <c r="B256" s="35" t="n"/>
      <c r="C256" s="35" t="n"/>
      <c r="D256" s="35" t="n"/>
      <c r="E256" s="35" t="n"/>
      <c r="F256" s="36" t="n"/>
      <c r="G256" s="36" t="n"/>
      <c r="H256" s="36" t="n"/>
      <c r="I256" s="37">
        <f>IF(B256="","",F256+G256-H256)</f>
        <v/>
      </c>
      <c r="J256" s="38" t="n"/>
      <c r="K256" s="39">
        <f>IF(B256="","",I256*J256)</f>
        <v/>
      </c>
      <c r="L256" s="36" t="n"/>
      <c r="M256" s="40">
        <f>IF(B256="","",IF(I256&lt;=0,"SIN STOCK",IF(I256&lt;=L256,"REABASTECER","OK")))</f>
        <v/>
      </c>
    </row>
    <row r="257" ht="20" customHeight="1">
      <c r="A257" s="34" t="n">
        <v>251</v>
      </c>
      <c r="B257" s="35" t="n"/>
      <c r="C257" s="35" t="n"/>
      <c r="D257" s="35" t="n"/>
      <c r="E257" s="35" t="n"/>
      <c r="F257" s="36" t="n"/>
      <c r="G257" s="36" t="n"/>
      <c r="H257" s="36" t="n"/>
      <c r="I257" s="37">
        <f>IF(B257="","",F257+G257-H257)</f>
        <v/>
      </c>
      <c r="J257" s="38" t="n"/>
      <c r="K257" s="39">
        <f>IF(B257="","",I257*J257)</f>
        <v/>
      </c>
      <c r="L257" s="36" t="n"/>
      <c r="M257" s="40">
        <f>IF(B257="","",IF(I257&lt;=0,"SIN STOCK",IF(I257&lt;=L257,"REABASTECER","OK")))</f>
        <v/>
      </c>
    </row>
    <row r="258" ht="20" customHeight="1">
      <c r="A258" s="34" t="n">
        <v>252</v>
      </c>
      <c r="B258" s="35" t="n"/>
      <c r="C258" s="35" t="n"/>
      <c r="D258" s="35" t="n"/>
      <c r="E258" s="35" t="n"/>
      <c r="F258" s="36" t="n"/>
      <c r="G258" s="36" t="n"/>
      <c r="H258" s="36" t="n"/>
      <c r="I258" s="37">
        <f>IF(B258="","",F258+G258-H258)</f>
        <v/>
      </c>
      <c r="J258" s="38" t="n"/>
      <c r="K258" s="39">
        <f>IF(B258="","",I258*J258)</f>
        <v/>
      </c>
      <c r="L258" s="36" t="n"/>
      <c r="M258" s="40">
        <f>IF(B258="","",IF(I258&lt;=0,"SIN STOCK",IF(I258&lt;=L258,"REABASTECER","OK")))</f>
        <v/>
      </c>
    </row>
    <row r="259" ht="20" customHeight="1">
      <c r="A259" s="34" t="n">
        <v>253</v>
      </c>
      <c r="B259" s="35" t="n"/>
      <c r="C259" s="35" t="n"/>
      <c r="D259" s="35" t="n"/>
      <c r="E259" s="35" t="n"/>
      <c r="F259" s="36" t="n"/>
      <c r="G259" s="36" t="n"/>
      <c r="H259" s="36" t="n"/>
      <c r="I259" s="37">
        <f>IF(B259="","",F259+G259-H259)</f>
        <v/>
      </c>
      <c r="J259" s="38" t="n"/>
      <c r="K259" s="39">
        <f>IF(B259="","",I259*J259)</f>
        <v/>
      </c>
      <c r="L259" s="36" t="n"/>
      <c r="M259" s="40">
        <f>IF(B259="","",IF(I259&lt;=0,"SIN STOCK",IF(I259&lt;=L259,"REABASTECER","OK")))</f>
        <v/>
      </c>
    </row>
    <row r="260" ht="20" customHeight="1">
      <c r="A260" s="34" t="n">
        <v>254</v>
      </c>
      <c r="B260" s="35" t="n"/>
      <c r="C260" s="35" t="n"/>
      <c r="D260" s="35" t="n"/>
      <c r="E260" s="35" t="n"/>
      <c r="F260" s="36" t="n"/>
      <c r="G260" s="36" t="n"/>
      <c r="H260" s="36" t="n"/>
      <c r="I260" s="37">
        <f>IF(B260="","",F260+G260-H260)</f>
        <v/>
      </c>
      <c r="J260" s="38" t="n"/>
      <c r="K260" s="39">
        <f>IF(B260="","",I260*J260)</f>
        <v/>
      </c>
      <c r="L260" s="36" t="n"/>
      <c r="M260" s="40">
        <f>IF(B260="","",IF(I260&lt;=0,"SIN STOCK",IF(I260&lt;=L260,"REABASTECER","OK")))</f>
        <v/>
      </c>
    </row>
    <row r="261" ht="20" customHeight="1">
      <c r="A261" s="34" t="n">
        <v>255</v>
      </c>
      <c r="B261" s="35" t="n"/>
      <c r="C261" s="35" t="n"/>
      <c r="D261" s="35" t="n"/>
      <c r="E261" s="35" t="n"/>
      <c r="F261" s="36" t="n"/>
      <c r="G261" s="36" t="n"/>
      <c r="H261" s="36" t="n"/>
      <c r="I261" s="37">
        <f>IF(B261="","",F261+G261-H261)</f>
        <v/>
      </c>
      <c r="J261" s="38" t="n"/>
      <c r="K261" s="39">
        <f>IF(B261="","",I261*J261)</f>
        <v/>
      </c>
      <c r="L261" s="36" t="n"/>
      <c r="M261" s="40">
        <f>IF(B261="","",IF(I261&lt;=0,"SIN STOCK",IF(I261&lt;=L261,"REABASTECER","OK")))</f>
        <v/>
      </c>
    </row>
    <row r="262" ht="20" customHeight="1">
      <c r="A262" s="34" t="n">
        <v>256</v>
      </c>
      <c r="B262" s="35" t="n"/>
      <c r="C262" s="35" t="n"/>
      <c r="D262" s="35" t="n"/>
      <c r="E262" s="35" t="n"/>
      <c r="F262" s="36" t="n"/>
      <c r="G262" s="36" t="n"/>
      <c r="H262" s="36" t="n"/>
      <c r="I262" s="37">
        <f>IF(B262="","",F262+G262-H262)</f>
        <v/>
      </c>
      <c r="J262" s="38" t="n"/>
      <c r="K262" s="39">
        <f>IF(B262="","",I262*J262)</f>
        <v/>
      </c>
      <c r="L262" s="36" t="n"/>
      <c r="M262" s="40">
        <f>IF(B262="","",IF(I262&lt;=0,"SIN STOCK",IF(I262&lt;=L262,"REABASTECER","OK")))</f>
        <v/>
      </c>
    </row>
    <row r="263" ht="20" customHeight="1">
      <c r="A263" s="34" t="n">
        <v>257</v>
      </c>
      <c r="B263" s="35" t="n"/>
      <c r="C263" s="35" t="n"/>
      <c r="D263" s="35" t="n"/>
      <c r="E263" s="35" t="n"/>
      <c r="F263" s="36" t="n"/>
      <c r="G263" s="36" t="n"/>
      <c r="H263" s="36" t="n"/>
      <c r="I263" s="37">
        <f>IF(B263="","",F263+G263-H263)</f>
        <v/>
      </c>
      <c r="J263" s="38" t="n"/>
      <c r="K263" s="39">
        <f>IF(B263="","",I263*J263)</f>
        <v/>
      </c>
      <c r="L263" s="36" t="n"/>
      <c r="M263" s="40">
        <f>IF(B263="","",IF(I263&lt;=0,"SIN STOCK",IF(I263&lt;=L263,"REABASTECER","OK")))</f>
        <v/>
      </c>
    </row>
    <row r="264" ht="20" customHeight="1">
      <c r="A264" s="34" t="n">
        <v>258</v>
      </c>
      <c r="B264" s="35" t="n"/>
      <c r="C264" s="35" t="n"/>
      <c r="D264" s="35" t="n"/>
      <c r="E264" s="35" t="n"/>
      <c r="F264" s="36" t="n"/>
      <c r="G264" s="36" t="n"/>
      <c r="H264" s="36" t="n"/>
      <c r="I264" s="37">
        <f>IF(B264="","",F264+G264-H264)</f>
        <v/>
      </c>
      <c r="J264" s="38" t="n"/>
      <c r="K264" s="39">
        <f>IF(B264="","",I264*J264)</f>
        <v/>
      </c>
      <c r="L264" s="36" t="n"/>
      <c r="M264" s="40">
        <f>IF(B264="","",IF(I264&lt;=0,"SIN STOCK",IF(I264&lt;=L264,"REABASTECER","OK")))</f>
        <v/>
      </c>
    </row>
    <row r="265" ht="20" customHeight="1">
      <c r="A265" s="34" t="n">
        <v>259</v>
      </c>
      <c r="B265" s="35" t="n"/>
      <c r="C265" s="35" t="n"/>
      <c r="D265" s="35" t="n"/>
      <c r="E265" s="35" t="n"/>
      <c r="F265" s="36" t="n"/>
      <c r="G265" s="36" t="n"/>
      <c r="H265" s="36" t="n"/>
      <c r="I265" s="37">
        <f>IF(B265="","",F265+G265-H265)</f>
        <v/>
      </c>
      <c r="J265" s="38" t="n"/>
      <c r="K265" s="39">
        <f>IF(B265="","",I265*J265)</f>
        <v/>
      </c>
      <c r="L265" s="36" t="n"/>
      <c r="M265" s="40">
        <f>IF(B265="","",IF(I265&lt;=0,"SIN STOCK",IF(I265&lt;=L265,"REABASTECER","OK")))</f>
        <v/>
      </c>
    </row>
    <row r="266" ht="20" customHeight="1">
      <c r="A266" s="34" t="n">
        <v>260</v>
      </c>
      <c r="B266" s="35" t="n"/>
      <c r="C266" s="35" t="n"/>
      <c r="D266" s="35" t="n"/>
      <c r="E266" s="35" t="n"/>
      <c r="F266" s="36" t="n"/>
      <c r="G266" s="36" t="n"/>
      <c r="H266" s="36" t="n"/>
      <c r="I266" s="37">
        <f>IF(B266="","",F266+G266-H266)</f>
        <v/>
      </c>
      <c r="J266" s="38" t="n"/>
      <c r="K266" s="39">
        <f>IF(B266="","",I266*J266)</f>
        <v/>
      </c>
      <c r="L266" s="36" t="n"/>
      <c r="M266" s="40">
        <f>IF(B266="","",IF(I266&lt;=0,"SIN STOCK",IF(I266&lt;=L266,"REABASTECER","OK")))</f>
        <v/>
      </c>
    </row>
    <row r="267" ht="20" customHeight="1">
      <c r="A267" s="34" t="n">
        <v>261</v>
      </c>
      <c r="B267" s="35" t="n"/>
      <c r="C267" s="35" t="n"/>
      <c r="D267" s="35" t="n"/>
      <c r="E267" s="35" t="n"/>
      <c r="F267" s="36" t="n"/>
      <c r="G267" s="36" t="n"/>
      <c r="H267" s="36" t="n"/>
      <c r="I267" s="37">
        <f>IF(B267="","",F267+G267-H267)</f>
        <v/>
      </c>
      <c r="J267" s="38" t="n"/>
      <c r="K267" s="39">
        <f>IF(B267="","",I267*J267)</f>
        <v/>
      </c>
      <c r="L267" s="36" t="n"/>
      <c r="M267" s="40">
        <f>IF(B267="","",IF(I267&lt;=0,"SIN STOCK",IF(I267&lt;=L267,"REABASTECER","OK")))</f>
        <v/>
      </c>
    </row>
    <row r="268" ht="20" customHeight="1">
      <c r="A268" s="34" t="n">
        <v>262</v>
      </c>
      <c r="B268" s="35" t="n"/>
      <c r="C268" s="35" t="n"/>
      <c r="D268" s="35" t="n"/>
      <c r="E268" s="35" t="n"/>
      <c r="F268" s="36" t="n"/>
      <c r="G268" s="36" t="n"/>
      <c r="H268" s="36" t="n"/>
      <c r="I268" s="37">
        <f>IF(B268="","",F268+G268-H268)</f>
        <v/>
      </c>
      <c r="J268" s="38" t="n"/>
      <c r="K268" s="39">
        <f>IF(B268="","",I268*J268)</f>
        <v/>
      </c>
      <c r="L268" s="36" t="n"/>
      <c r="M268" s="40">
        <f>IF(B268="","",IF(I268&lt;=0,"SIN STOCK",IF(I268&lt;=L268,"REABASTECER","OK")))</f>
        <v/>
      </c>
    </row>
    <row r="269" ht="20" customHeight="1">
      <c r="A269" s="34" t="n">
        <v>263</v>
      </c>
      <c r="B269" s="35" t="n"/>
      <c r="C269" s="35" t="n"/>
      <c r="D269" s="35" t="n"/>
      <c r="E269" s="35" t="n"/>
      <c r="F269" s="36" t="n"/>
      <c r="G269" s="36" t="n"/>
      <c r="H269" s="36" t="n"/>
      <c r="I269" s="37">
        <f>IF(B269="","",F269+G269-H269)</f>
        <v/>
      </c>
      <c r="J269" s="38" t="n"/>
      <c r="K269" s="39">
        <f>IF(B269="","",I269*J269)</f>
        <v/>
      </c>
      <c r="L269" s="36" t="n"/>
      <c r="M269" s="40">
        <f>IF(B269="","",IF(I269&lt;=0,"SIN STOCK",IF(I269&lt;=L269,"REABASTECER","OK")))</f>
        <v/>
      </c>
    </row>
    <row r="270" ht="20" customHeight="1">
      <c r="A270" s="34" t="n">
        <v>264</v>
      </c>
      <c r="B270" s="35" t="n"/>
      <c r="C270" s="35" t="n"/>
      <c r="D270" s="35" t="n"/>
      <c r="E270" s="35" t="n"/>
      <c r="F270" s="36" t="n"/>
      <c r="G270" s="36" t="n"/>
      <c r="H270" s="36" t="n"/>
      <c r="I270" s="37">
        <f>IF(B270="","",F270+G270-H270)</f>
        <v/>
      </c>
      <c r="J270" s="38" t="n"/>
      <c r="K270" s="39">
        <f>IF(B270="","",I270*J270)</f>
        <v/>
      </c>
      <c r="L270" s="36" t="n"/>
      <c r="M270" s="40">
        <f>IF(B270="","",IF(I270&lt;=0,"SIN STOCK",IF(I270&lt;=L270,"REABASTECER","OK")))</f>
        <v/>
      </c>
    </row>
    <row r="271" ht="20" customHeight="1">
      <c r="A271" s="34" t="n">
        <v>265</v>
      </c>
      <c r="B271" s="35" t="n"/>
      <c r="C271" s="35" t="n"/>
      <c r="D271" s="35" t="n"/>
      <c r="E271" s="35" t="n"/>
      <c r="F271" s="36" t="n"/>
      <c r="G271" s="36" t="n"/>
      <c r="H271" s="36" t="n"/>
      <c r="I271" s="37">
        <f>IF(B271="","",F271+G271-H271)</f>
        <v/>
      </c>
      <c r="J271" s="38" t="n"/>
      <c r="K271" s="39">
        <f>IF(B271="","",I271*J271)</f>
        <v/>
      </c>
      <c r="L271" s="36" t="n"/>
      <c r="M271" s="40">
        <f>IF(B271="","",IF(I271&lt;=0,"SIN STOCK",IF(I271&lt;=L271,"REABASTECER","OK")))</f>
        <v/>
      </c>
    </row>
    <row r="272" ht="20" customHeight="1">
      <c r="A272" s="34" t="n">
        <v>266</v>
      </c>
      <c r="B272" s="35" t="n"/>
      <c r="C272" s="35" t="n"/>
      <c r="D272" s="35" t="n"/>
      <c r="E272" s="35" t="n"/>
      <c r="F272" s="36" t="n"/>
      <c r="G272" s="36" t="n"/>
      <c r="H272" s="36" t="n"/>
      <c r="I272" s="37">
        <f>IF(B272="","",F272+G272-H272)</f>
        <v/>
      </c>
      <c r="J272" s="38" t="n"/>
      <c r="K272" s="39">
        <f>IF(B272="","",I272*J272)</f>
        <v/>
      </c>
      <c r="L272" s="36" t="n"/>
      <c r="M272" s="40">
        <f>IF(B272="","",IF(I272&lt;=0,"SIN STOCK",IF(I272&lt;=L272,"REABASTECER","OK")))</f>
        <v/>
      </c>
    </row>
    <row r="273" ht="20" customHeight="1">
      <c r="A273" s="34" t="n">
        <v>267</v>
      </c>
      <c r="B273" s="35" t="n"/>
      <c r="C273" s="35" t="n"/>
      <c r="D273" s="35" t="n"/>
      <c r="E273" s="35" t="n"/>
      <c r="F273" s="36" t="n"/>
      <c r="G273" s="36" t="n"/>
      <c r="H273" s="36" t="n"/>
      <c r="I273" s="37">
        <f>IF(B273="","",F273+G273-H273)</f>
        <v/>
      </c>
      <c r="J273" s="38" t="n"/>
      <c r="K273" s="39">
        <f>IF(B273="","",I273*J273)</f>
        <v/>
      </c>
      <c r="L273" s="36" t="n"/>
      <c r="M273" s="40">
        <f>IF(B273="","",IF(I273&lt;=0,"SIN STOCK",IF(I273&lt;=L273,"REABASTECER","OK")))</f>
        <v/>
      </c>
    </row>
    <row r="274" ht="20" customHeight="1">
      <c r="A274" s="34" t="n">
        <v>268</v>
      </c>
      <c r="B274" s="35" t="n"/>
      <c r="C274" s="35" t="n"/>
      <c r="D274" s="35" t="n"/>
      <c r="E274" s="35" t="n"/>
      <c r="F274" s="36" t="n"/>
      <c r="G274" s="36" t="n"/>
      <c r="H274" s="36" t="n"/>
      <c r="I274" s="37">
        <f>IF(B274="","",F274+G274-H274)</f>
        <v/>
      </c>
      <c r="J274" s="38" t="n"/>
      <c r="K274" s="39">
        <f>IF(B274="","",I274*J274)</f>
        <v/>
      </c>
      <c r="L274" s="36" t="n"/>
      <c r="M274" s="40">
        <f>IF(B274="","",IF(I274&lt;=0,"SIN STOCK",IF(I274&lt;=L274,"REABASTECER","OK")))</f>
        <v/>
      </c>
    </row>
    <row r="275" ht="20" customHeight="1">
      <c r="A275" s="34" t="n">
        <v>269</v>
      </c>
      <c r="B275" s="35" t="n"/>
      <c r="C275" s="35" t="n"/>
      <c r="D275" s="35" t="n"/>
      <c r="E275" s="35" t="n"/>
      <c r="F275" s="36" t="n"/>
      <c r="G275" s="36" t="n"/>
      <c r="H275" s="36" t="n"/>
      <c r="I275" s="37">
        <f>IF(B275="","",F275+G275-H275)</f>
        <v/>
      </c>
      <c r="J275" s="38" t="n"/>
      <c r="K275" s="39">
        <f>IF(B275="","",I275*J275)</f>
        <v/>
      </c>
      <c r="L275" s="36" t="n"/>
      <c r="M275" s="40">
        <f>IF(B275="","",IF(I275&lt;=0,"SIN STOCK",IF(I275&lt;=L275,"REABASTECER","OK")))</f>
        <v/>
      </c>
    </row>
    <row r="276" ht="20" customHeight="1">
      <c r="A276" s="34" t="n">
        <v>270</v>
      </c>
      <c r="B276" s="35" t="n"/>
      <c r="C276" s="35" t="n"/>
      <c r="D276" s="35" t="n"/>
      <c r="E276" s="35" t="n"/>
      <c r="F276" s="36" t="n"/>
      <c r="G276" s="36" t="n"/>
      <c r="H276" s="36" t="n"/>
      <c r="I276" s="37">
        <f>IF(B276="","",F276+G276-H276)</f>
        <v/>
      </c>
      <c r="J276" s="38" t="n"/>
      <c r="K276" s="39">
        <f>IF(B276="","",I276*J276)</f>
        <v/>
      </c>
      <c r="L276" s="36" t="n"/>
      <c r="M276" s="40">
        <f>IF(B276="","",IF(I276&lt;=0,"SIN STOCK",IF(I276&lt;=L276,"REABASTECER","OK")))</f>
        <v/>
      </c>
    </row>
    <row r="277" ht="20" customHeight="1">
      <c r="A277" s="34" t="n">
        <v>271</v>
      </c>
      <c r="B277" s="35" t="n"/>
      <c r="C277" s="35" t="n"/>
      <c r="D277" s="35" t="n"/>
      <c r="E277" s="35" t="n"/>
      <c r="F277" s="36" t="n"/>
      <c r="G277" s="36" t="n"/>
      <c r="H277" s="36" t="n"/>
      <c r="I277" s="37">
        <f>IF(B277="","",F277+G277-H277)</f>
        <v/>
      </c>
      <c r="J277" s="38" t="n"/>
      <c r="K277" s="39">
        <f>IF(B277="","",I277*J277)</f>
        <v/>
      </c>
      <c r="L277" s="36" t="n"/>
      <c r="M277" s="40">
        <f>IF(B277="","",IF(I277&lt;=0,"SIN STOCK",IF(I277&lt;=L277,"REABASTECER","OK")))</f>
        <v/>
      </c>
    </row>
    <row r="278" ht="20" customHeight="1">
      <c r="A278" s="34" t="n">
        <v>272</v>
      </c>
      <c r="B278" s="35" t="n"/>
      <c r="C278" s="35" t="n"/>
      <c r="D278" s="35" t="n"/>
      <c r="E278" s="35" t="n"/>
      <c r="F278" s="36" t="n"/>
      <c r="G278" s="36" t="n"/>
      <c r="H278" s="36" t="n"/>
      <c r="I278" s="37">
        <f>IF(B278="","",F278+G278-H278)</f>
        <v/>
      </c>
      <c r="J278" s="38" t="n"/>
      <c r="K278" s="39">
        <f>IF(B278="","",I278*J278)</f>
        <v/>
      </c>
      <c r="L278" s="36" t="n"/>
      <c r="M278" s="40">
        <f>IF(B278="","",IF(I278&lt;=0,"SIN STOCK",IF(I278&lt;=L278,"REABASTECER","OK")))</f>
        <v/>
      </c>
    </row>
    <row r="279" ht="20" customHeight="1">
      <c r="A279" s="34" t="n">
        <v>273</v>
      </c>
      <c r="B279" s="35" t="n"/>
      <c r="C279" s="35" t="n"/>
      <c r="D279" s="35" t="n"/>
      <c r="E279" s="35" t="n"/>
      <c r="F279" s="36" t="n"/>
      <c r="G279" s="36" t="n"/>
      <c r="H279" s="36" t="n"/>
      <c r="I279" s="37">
        <f>IF(B279="","",F279+G279-H279)</f>
        <v/>
      </c>
      <c r="J279" s="38" t="n"/>
      <c r="K279" s="39">
        <f>IF(B279="","",I279*J279)</f>
        <v/>
      </c>
      <c r="L279" s="36" t="n"/>
      <c r="M279" s="40">
        <f>IF(B279="","",IF(I279&lt;=0,"SIN STOCK",IF(I279&lt;=L279,"REABASTECER","OK")))</f>
        <v/>
      </c>
    </row>
    <row r="280" ht="20" customHeight="1">
      <c r="A280" s="34" t="n">
        <v>274</v>
      </c>
      <c r="B280" s="35" t="n"/>
      <c r="C280" s="35" t="n"/>
      <c r="D280" s="35" t="n"/>
      <c r="E280" s="35" t="n"/>
      <c r="F280" s="36" t="n"/>
      <c r="G280" s="36" t="n"/>
      <c r="H280" s="36" t="n"/>
      <c r="I280" s="37">
        <f>IF(B280="","",F280+G280-H280)</f>
        <v/>
      </c>
      <c r="J280" s="38" t="n"/>
      <c r="K280" s="39">
        <f>IF(B280="","",I280*J280)</f>
        <v/>
      </c>
      <c r="L280" s="36" t="n"/>
      <c r="M280" s="40">
        <f>IF(B280="","",IF(I280&lt;=0,"SIN STOCK",IF(I280&lt;=L280,"REABASTECER","OK")))</f>
        <v/>
      </c>
    </row>
    <row r="281" ht="20" customHeight="1">
      <c r="A281" s="34" t="n">
        <v>275</v>
      </c>
      <c r="B281" s="35" t="n"/>
      <c r="C281" s="35" t="n"/>
      <c r="D281" s="35" t="n"/>
      <c r="E281" s="35" t="n"/>
      <c r="F281" s="36" t="n"/>
      <c r="G281" s="36" t="n"/>
      <c r="H281" s="36" t="n"/>
      <c r="I281" s="37">
        <f>IF(B281="","",F281+G281-H281)</f>
        <v/>
      </c>
      <c r="J281" s="38" t="n"/>
      <c r="K281" s="39">
        <f>IF(B281="","",I281*J281)</f>
        <v/>
      </c>
      <c r="L281" s="36" t="n"/>
      <c r="M281" s="40">
        <f>IF(B281="","",IF(I281&lt;=0,"SIN STOCK",IF(I281&lt;=L281,"REABASTECER","OK")))</f>
        <v/>
      </c>
    </row>
    <row r="282" ht="20" customHeight="1">
      <c r="A282" s="34" t="n">
        <v>276</v>
      </c>
      <c r="B282" s="35" t="n"/>
      <c r="C282" s="35" t="n"/>
      <c r="D282" s="35" t="n"/>
      <c r="E282" s="35" t="n"/>
      <c r="F282" s="36" t="n"/>
      <c r="G282" s="36" t="n"/>
      <c r="H282" s="36" t="n"/>
      <c r="I282" s="37">
        <f>IF(B282="","",F282+G282-H282)</f>
        <v/>
      </c>
      <c r="J282" s="38" t="n"/>
      <c r="K282" s="39">
        <f>IF(B282="","",I282*J282)</f>
        <v/>
      </c>
      <c r="L282" s="36" t="n"/>
      <c r="M282" s="40">
        <f>IF(B282="","",IF(I282&lt;=0,"SIN STOCK",IF(I282&lt;=L282,"REABASTECER","OK")))</f>
        <v/>
      </c>
    </row>
    <row r="283" ht="20" customHeight="1">
      <c r="A283" s="34" t="n">
        <v>277</v>
      </c>
      <c r="B283" s="35" t="n"/>
      <c r="C283" s="35" t="n"/>
      <c r="D283" s="35" t="n"/>
      <c r="E283" s="35" t="n"/>
      <c r="F283" s="36" t="n"/>
      <c r="G283" s="36" t="n"/>
      <c r="H283" s="36" t="n"/>
      <c r="I283" s="37">
        <f>IF(B283="","",F283+G283-H283)</f>
        <v/>
      </c>
      <c r="J283" s="38" t="n"/>
      <c r="K283" s="39">
        <f>IF(B283="","",I283*J283)</f>
        <v/>
      </c>
      <c r="L283" s="36" t="n"/>
      <c r="M283" s="40">
        <f>IF(B283="","",IF(I283&lt;=0,"SIN STOCK",IF(I283&lt;=L283,"REABASTECER","OK")))</f>
        <v/>
      </c>
    </row>
    <row r="284" ht="20" customHeight="1">
      <c r="A284" s="34" t="n">
        <v>278</v>
      </c>
      <c r="B284" s="35" t="n"/>
      <c r="C284" s="35" t="n"/>
      <c r="D284" s="35" t="n"/>
      <c r="E284" s="35" t="n"/>
      <c r="F284" s="36" t="n"/>
      <c r="G284" s="36" t="n"/>
      <c r="H284" s="36" t="n"/>
      <c r="I284" s="37">
        <f>IF(B284="","",F284+G284-H284)</f>
        <v/>
      </c>
      <c r="J284" s="38" t="n"/>
      <c r="K284" s="39">
        <f>IF(B284="","",I284*J284)</f>
        <v/>
      </c>
      <c r="L284" s="36" t="n"/>
      <c r="M284" s="40">
        <f>IF(B284="","",IF(I284&lt;=0,"SIN STOCK",IF(I284&lt;=L284,"REABASTECER","OK")))</f>
        <v/>
      </c>
    </row>
    <row r="285" ht="20" customHeight="1">
      <c r="A285" s="34" t="n">
        <v>279</v>
      </c>
      <c r="B285" s="35" t="n"/>
      <c r="C285" s="35" t="n"/>
      <c r="D285" s="35" t="n"/>
      <c r="E285" s="35" t="n"/>
      <c r="F285" s="36" t="n"/>
      <c r="G285" s="36" t="n"/>
      <c r="H285" s="36" t="n"/>
      <c r="I285" s="37">
        <f>IF(B285="","",F285+G285-H285)</f>
        <v/>
      </c>
      <c r="J285" s="38" t="n"/>
      <c r="K285" s="39">
        <f>IF(B285="","",I285*J285)</f>
        <v/>
      </c>
      <c r="L285" s="36" t="n"/>
      <c r="M285" s="40">
        <f>IF(B285="","",IF(I285&lt;=0,"SIN STOCK",IF(I285&lt;=L285,"REABASTECER","OK")))</f>
        <v/>
      </c>
    </row>
    <row r="286" ht="20" customHeight="1">
      <c r="A286" s="34" t="n">
        <v>280</v>
      </c>
      <c r="B286" s="35" t="n"/>
      <c r="C286" s="35" t="n"/>
      <c r="D286" s="35" t="n"/>
      <c r="E286" s="35" t="n"/>
      <c r="F286" s="36" t="n"/>
      <c r="G286" s="36" t="n"/>
      <c r="H286" s="36" t="n"/>
      <c r="I286" s="37">
        <f>IF(B286="","",F286+G286-H286)</f>
        <v/>
      </c>
      <c r="J286" s="38" t="n"/>
      <c r="K286" s="39">
        <f>IF(B286="","",I286*J286)</f>
        <v/>
      </c>
      <c r="L286" s="36" t="n"/>
      <c r="M286" s="40">
        <f>IF(B286="","",IF(I286&lt;=0,"SIN STOCK",IF(I286&lt;=L286,"REABASTECER","OK")))</f>
        <v/>
      </c>
    </row>
    <row r="287" ht="20" customHeight="1">
      <c r="A287" s="34" t="n">
        <v>281</v>
      </c>
      <c r="B287" s="35" t="n"/>
      <c r="C287" s="35" t="n"/>
      <c r="D287" s="35" t="n"/>
      <c r="E287" s="35" t="n"/>
      <c r="F287" s="36" t="n"/>
      <c r="G287" s="36" t="n"/>
      <c r="H287" s="36" t="n"/>
      <c r="I287" s="37">
        <f>IF(B287="","",F287+G287-H287)</f>
        <v/>
      </c>
      <c r="J287" s="38" t="n"/>
      <c r="K287" s="39">
        <f>IF(B287="","",I287*J287)</f>
        <v/>
      </c>
      <c r="L287" s="36" t="n"/>
      <c r="M287" s="40">
        <f>IF(B287="","",IF(I287&lt;=0,"SIN STOCK",IF(I287&lt;=L287,"REABASTECER","OK")))</f>
        <v/>
      </c>
    </row>
    <row r="288" ht="20" customHeight="1">
      <c r="A288" s="34" t="n">
        <v>282</v>
      </c>
      <c r="B288" s="35" t="n"/>
      <c r="C288" s="35" t="n"/>
      <c r="D288" s="35" t="n"/>
      <c r="E288" s="35" t="n"/>
      <c r="F288" s="36" t="n"/>
      <c r="G288" s="36" t="n"/>
      <c r="H288" s="36" t="n"/>
      <c r="I288" s="37">
        <f>IF(B288="","",F288+G288-H288)</f>
        <v/>
      </c>
      <c r="J288" s="38" t="n"/>
      <c r="K288" s="39">
        <f>IF(B288="","",I288*J288)</f>
        <v/>
      </c>
      <c r="L288" s="36" t="n"/>
      <c r="M288" s="40">
        <f>IF(B288="","",IF(I288&lt;=0,"SIN STOCK",IF(I288&lt;=L288,"REABASTECER","OK")))</f>
        <v/>
      </c>
    </row>
    <row r="289" ht="20" customHeight="1">
      <c r="A289" s="34" t="n">
        <v>283</v>
      </c>
      <c r="B289" s="35" t="n"/>
      <c r="C289" s="35" t="n"/>
      <c r="D289" s="35" t="n"/>
      <c r="E289" s="35" t="n"/>
      <c r="F289" s="36" t="n"/>
      <c r="G289" s="36" t="n"/>
      <c r="H289" s="36" t="n"/>
      <c r="I289" s="37">
        <f>IF(B289="","",F289+G289-H289)</f>
        <v/>
      </c>
      <c r="J289" s="38" t="n"/>
      <c r="K289" s="39">
        <f>IF(B289="","",I289*J289)</f>
        <v/>
      </c>
      <c r="L289" s="36" t="n"/>
      <c r="M289" s="40">
        <f>IF(B289="","",IF(I289&lt;=0,"SIN STOCK",IF(I289&lt;=L289,"REABASTECER","OK")))</f>
        <v/>
      </c>
    </row>
    <row r="290" ht="20" customHeight="1">
      <c r="A290" s="34" t="n">
        <v>284</v>
      </c>
      <c r="B290" s="35" t="n"/>
      <c r="C290" s="35" t="n"/>
      <c r="D290" s="35" t="n"/>
      <c r="E290" s="35" t="n"/>
      <c r="F290" s="36" t="n"/>
      <c r="G290" s="36" t="n"/>
      <c r="H290" s="36" t="n"/>
      <c r="I290" s="37">
        <f>IF(B290="","",F290+G290-H290)</f>
        <v/>
      </c>
      <c r="J290" s="38" t="n"/>
      <c r="K290" s="39">
        <f>IF(B290="","",I290*J290)</f>
        <v/>
      </c>
      <c r="L290" s="36" t="n"/>
      <c r="M290" s="40">
        <f>IF(B290="","",IF(I290&lt;=0,"SIN STOCK",IF(I290&lt;=L290,"REABASTECER","OK")))</f>
        <v/>
      </c>
    </row>
    <row r="291" ht="20" customHeight="1">
      <c r="A291" s="34" t="n">
        <v>285</v>
      </c>
      <c r="B291" s="35" t="n"/>
      <c r="C291" s="35" t="n"/>
      <c r="D291" s="35" t="n"/>
      <c r="E291" s="35" t="n"/>
      <c r="F291" s="36" t="n"/>
      <c r="G291" s="36" t="n"/>
      <c r="H291" s="36" t="n"/>
      <c r="I291" s="37">
        <f>IF(B291="","",F291+G291-H291)</f>
        <v/>
      </c>
      <c r="J291" s="38" t="n"/>
      <c r="K291" s="39">
        <f>IF(B291="","",I291*J291)</f>
        <v/>
      </c>
      <c r="L291" s="36" t="n"/>
      <c r="M291" s="40">
        <f>IF(B291="","",IF(I291&lt;=0,"SIN STOCK",IF(I291&lt;=L291,"REABASTECER","OK")))</f>
        <v/>
      </c>
    </row>
    <row r="292" ht="20" customHeight="1">
      <c r="A292" s="34" t="n">
        <v>286</v>
      </c>
      <c r="B292" s="35" t="n"/>
      <c r="C292" s="35" t="n"/>
      <c r="D292" s="35" t="n"/>
      <c r="E292" s="35" t="n"/>
      <c r="F292" s="36" t="n"/>
      <c r="G292" s="36" t="n"/>
      <c r="H292" s="36" t="n"/>
      <c r="I292" s="37">
        <f>IF(B292="","",F292+G292-H292)</f>
        <v/>
      </c>
      <c r="J292" s="38" t="n"/>
      <c r="K292" s="39">
        <f>IF(B292="","",I292*J292)</f>
        <v/>
      </c>
      <c r="L292" s="36" t="n"/>
      <c r="M292" s="40">
        <f>IF(B292="","",IF(I292&lt;=0,"SIN STOCK",IF(I292&lt;=L292,"REABASTECER","OK")))</f>
        <v/>
      </c>
    </row>
    <row r="293" ht="20" customHeight="1">
      <c r="A293" s="34" t="n">
        <v>287</v>
      </c>
      <c r="B293" s="35" t="n"/>
      <c r="C293" s="35" t="n"/>
      <c r="D293" s="35" t="n"/>
      <c r="E293" s="35" t="n"/>
      <c r="F293" s="36" t="n"/>
      <c r="G293" s="36" t="n"/>
      <c r="H293" s="36" t="n"/>
      <c r="I293" s="37">
        <f>IF(B293="","",F293+G293-H293)</f>
        <v/>
      </c>
      <c r="J293" s="38" t="n"/>
      <c r="K293" s="39">
        <f>IF(B293="","",I293*J293)</f>
        <v/>
      </c>
      <c r="L293" s="36" t="n"/>
      <c r="M293" s="40">
        <f>IF(B293="","",IF(I293&lt;=0,"SIN STOCK",IF(I293&lt;=L293,"REABASTECER","OK")))</f>
        <v/>
      </c>
    </row>
    <row r="294" ht="20" customHeight="1">
      <c r="A294" s="34" t="n">
        <v>288</v>
      </c>
      <c r="B294" s="35" t="n"/>
      <c r="C294" s="35" t="n"/>
      <c r="D294" s="35" t="n"/>
      <c r="E294" s="35" t="n"/>
      <c r="F294" s="36" t="n"/>
      <c r="G294" s="36" t="n"/>
      <c r="H294" s="36" t="n"/>
      <c r="I294" s="37">
        <f>IF(B294="","",F294+G294-H294)</f>
        <v/>
      </c>
      <c r="J294" s="38" t="n"/>
      <c r="K294" s="39">
        <f>IF(B294="","",I294*J294)</f>
        <v/>
      </c>
      <c r="L294" s="36" t="n"/>
      <c r="M294" s="40">
        <f>IF(B294="","",IF(I294&lt;=0,"SIN STOCK",IF(I294&lt;=L294,"REABASTECER","OK")))</f>
        <v/>
      </c>
    </row>
    <row r="295" ht="20" customHeight="1">
      <c r="A295" s="34" t="n">
        <v>289</v>
      </c>
      <c r="B295" s="35" t="n"/>
      <c r="C295" s="35" t="n"/>
      <c r="D295" s="35" t="n"/>
      <c r="E295" s="35" t="n"/>
      <c r="F295" s="36" t="n"/>
      <c r="G295" s="36" t="n"/>
      <c r="H295" s="36" t="n"/>
      <c r="I295" s="37">
        <f>IF(B295="","",F295+G295-H295)</f>
        <v/>
      </c>
      <c r="J295" s="38" t="n"/>
      <c r="K295" s="39">
        <f>IF(B295="","",I295*J295)</f>
        <v/>
      </c>
      <c r="L295" s="36" t="n"/>
      <c r="M295" s="40">
        <f>IF(B295="","",IF(I295&lt;=0,"SIN STOCK",IF(I295&lt;=L295,"REABASTECER","OK")))</f>
        <v/>
      </c>
    </row>
    <row r="296" ht="20" customHeight="1">
      <c r="A296" s="34" t="n">
        <v>290</v>
      </c>
      <c r="B296" s="35" t="n"/>
      <c r="C296" s="35" t="n"/>
      <c r="D296" s="35" t="n"/>
      <c r="E296" s="35" t="n"/>
      <c r="F296" s="36" t="n"/>
      <c r="G296" s="36" t="n"/>
      <c r="H296" s="36" t="n"/>
      <c r="I296" s="37">
        <f>IF(B296="","",F296+G296-H296)</f>
        <v/>
      </c>
      <c r="J296" s="38" t="n"/>
      <c r="K296" s="39">
        <f>IF(B296="","",I296*J296)</f>
        <v/>
      </c>
      <c r="L296" s="36" t="n"/>
      <c r="M296" s="40">
        <f>IF(B296="","",IF(I296&lt;=0,"SIN STOCK",IF(I296&lt;=L296,"REABASTECER","OK")))</f>
        <v/>
      </c>
    </row>
    <row r="297" ht="20" customHeight="1">
      <c r="A297" s="34" t="n">
        <v>291</v>
      </c>
      <c r="B297" s="35" t="n"/>
      <c r="C297" s="35" t="n"/>
      <c r="D297" s="35" t="n"/>
      <c r="E297" s="35" t="n"/>
      <c r="F297" s="36" t="n"/>
      <c r="G297" s="36" t="n"/>
      <c r="H297" s="36" t="n"/>
      <c r="I297" s="37">
        <f>IF(B297="","",F297+G297-H297)</f>
        <v/>
      </c>
      <c r="J297" s="38" t="n"/>
      <c r="K297" s="39">
        <f>IF(B297="","",I297*J297)</f>
        <v/>
      </c>
      <c r="L297" s="36" t="n"/>
      <c r="M297" s="40">
        <f>IF(B297="","",IF(I297&lt;=0,"SIN STOCK",IF(I297&lt;=L297,"REABASTECER","OK")))</f>
        <v/>
      </c>
    </row>
    <row r="298" ht="20" customHeight="1">
      <c r="A298" s="34" t="n">
        <v>292</v>
      </c>
      <c r="B298" s="35" t="n"/>
      <c r="C298" s="35" t="n"/>
      <c r="D298" s="35" t="n"/>
      <c r="E298" s="35" t="n"/>
      <c r="F298" s="36" t="n"/>
      <c r="G298" s="36" t="n"/>
      <c r="H298" s="36" t="n"/>
      <c r="I298" s="37">
        <f>IF(B298="","",F298+G298-H298)</f>
        <v/>
      </c>
      <c r="J298" s="38" t="n"/>
      <c r="K298" s="39">
        <f>IF(B298="","",I298*J298)</f>
        <v/>
      </c>
      <c r="L298" s="36" t="n"/>
      <c r="M298" s="40">
        <f>IF(B298="","",IF(I298&lt;=0,"SIN STOCK",IF(I298&lt;=L298,"REABASTECER","OK")))</f>
        <v/>
      </c>
    </row>
    <row r="299" ht="20" customHeight="1">
      <c r="A299" s="34" t="n">
        <v>293</v>
      </c>
      <c r="B299" s="35" t="n"/>
      <c r="C299" s="35" t="n"/>
      <c r="D299" s="35" t="n"/>
      <c r="E299" s="35" t="n"/>
      <c r="F299" s="36" t="n"/>
      <c r="G299" s="36" t="n"/>
      <c r="H299" s="36" t="n"/>
      <c r="I299" s="37">
        <f>IF(B299="","",F299+G299-H299)</f>
        <v/>
      </c>
      <c r="J299" s="38" t="n"/>
      <c r="K299" s="39">
        <f>IF(B299="","",I299*J299)</f>
        <v/>
      </c>
      <c r="L299" s="36" t="n"/>
      <c r="M299" s="40">
        <f>IF(B299="","",IF(I299&lt;=0,"SIN STOCK",IF(I299&lt;=L299,"REABASTECER","OK")))</f>
        <v/>
      </c>
    </row>
    <row r="300" ht="20" customHeight="1">
      <c r="A300" s="34" t="n">
        <v>294</v>
      </c>
      <c r="B300" s="35" t="n"/>
      <c r="C300" s="35" t="n"/>
      <c r="D300" s="35" t="n"/>
      <c r="E300" s="35" t="n"/>
      <c r="F300" s="36" t="n"/>
      <c r="G300" s="36" t="n"/>
      <c r="H300" s="36" t="n"/>
      <c r="I300" s="37">
        <f>IF(B300="","",F300+G300-H300)</f>
        <v/>
      </c>
      <c r="J300" s="38" t="n"/>
      <c r="K300" s="39">
        <f>IF(B300="","",I300*J300)</f>
        <v/>
      </c>
      <c r="L300" s="36" t="n"/>
      <c r="M300" s="40">
        <f>IF(B300="","",IF(I300&lt;=0,"SIN STOCK",IF(I300&lt;=L300,"REABASTECER","OK")))</f>
        <v/>
      </c>
    </row>
    <row r="301" ht="20" customHeight="1">
      <c r="A301" s="34" t="n">
        <v>295</v>
      </c>
      <c r="B301" s="35" t="n"/>
      <c r="C301" s="35" t="n"/>
      <c r="D301" s="35" t="n"/>
      <c r="E301" s="35" t="n"/>
      <c r="F301" s="36" t="n"/>
      <c r="G301" s="36" t="n"/>
      <c r="H301" s="36" t="n"/>
      <c r="I301" s="37">
        <f>IF(B301="","",F301+G301-H301)</f>
        <v/>
      </c>
      <c r="J301" s="38" t="n"/>
      <c r="K301" s="39">
        <f>IF(B301="","",I301*J301)</f>
        <v/>
      </c>
      <c r="L301" s="36" t="n"/>
      <c r="M301" s="40">
        <f>IF(B301="","",IF(I301&lt;=0,"SIN STOCK",IF(I301&lt;=L301,"REABASTECER","OK")))</f>
        <v/>
      </c>
    </row>
    <row r="302" ht="20" customHeight="1">
      <c r="A302" s="34" t="n">
        <v>296</v>
      </c>
      <c r="B302" s="35" t="n"/>
      <c r="C302" s="35" t="n"/>
      <c r="D302" s="35" t="n"/>
      <c r="E302" s="35" t="n"/>
      <c r="F302" s="36" t="n"/>
      <c r="G302" s="36" t="n"/>
      <c r="H302" s="36" t="n"/>
      <c r="I302" s="37">
        <f>IF(B302="","",F302+G302-H302)</f>
        <v/>
      </c>
      <c r="J302" s="38" t="n"/>
      <c r="K302" s="39">
        <f>IF(B302="","",I302*J302)</f>
        <v/>
      </c>
      <c r="L302" s="36" t="n"/>
      <c r="M302" s="40">
        <f>IF(B302="","",IF(I302&lt;=0,"SIN STOCK",IF(I302&lt;=L302,"REABASTECER","OK")))</f>
        <v/>
      </c>
    </row>
    <row r="303" ht="20" customHeight="1">
      <c r="A303" s="34" t="n">
        <v>297</v>
      </c>
      <c r="B303" s="35" t="n"/>
      <c r="C303" s="35" t="n"/>
      <c r="D303" s="35" t="n"/>
      <c r="E303" s="35" t="n"/>
      <c r="F303" s="36" t="n"/>
      <c r="G303" s="36" t="n"/>
      <c r="H303" s="36" t="n"/>
      <c r="I303" s="37">
        <f>IF(B303="","",F303+G303-H303)</f>
        <v/>
      </c>
      <c r="J303" s="38" t="n"/>
      <c r="K303" s="39">
        <f>IF(B303="","",I303*J303)</f>
        <v/>
      </c>
      <c r="L303" s="36" t="n"/>
      <c r="M303" s="40">
        <f>IF(B303="","",IF(I303&lt;=0,"SIN STOCK",IF(I303&lt;=L303,"REABASTECER","OK")))</f>
        <v/>
      </c>
    </row>
    <row r="304" ht="20" customHeight="1">
      <c r="A304" s="34" t="n">
        <v>298</v>
      </c>
      <c r="B304" s="35" t="n"/>
      <c r="C304" s="35" t="n"/>
      <c r="D304" s="35" t="n"/>
      <c r="E304" s="35" t="n"/>
      <c r="F304" s="36" t="n"/>
      <c r="G304" s="36" t="n"/>
      <c r="H304" s="36" t="n"/>
      <c r="I304" s="37">
        <f>IF(B304="","",F304+G304-H304)</f>
        <v/>
      </c>
      <c r="J304" s="38" t="n"/>
      <c r="K304" s="39">
        <f>IF(B304="","",I304*J304)</f>
        <v/>
      </c>
      <c r="L304" s="36" t="n"/>
      <c r="M304" s="40">
        <f>IF(B304="","",IF(I304&lt;=0,"SIN STOCK",IF(I304&lt;=L304,"REABASTECER","OK")))</f>
        <v/>
      </c>
    </row>
    <row r="305" ht="20" customHeight="1">
      <c r="A305" s="34" t="n">
        <v>299</v>
      </c>
      <c r="B305" s="35" t="n"/>
      <c r="C305" s="35" t="n"/>
      <c r="D305" s="35" t="n"/>
      <c r="E305" s="35" t="n"/>
      <c r="F305" s="36" t="n"/>
      <c r="G305" s="36" t="n"/>
      <c r="H305" s="36" t="n"/>
      <c r="I305" s="37">
        <f>IF(B305="","",F305+G305-H305)</f>
        <v/>
      </c>
      <c r="J305" s="38" t="n"/>
      <c r="K305" s="39">
        <f>IF(B305="","",I305*J305)</f>
        <v/>
      </c>
      <c r="L305" s="36" t="n"/>
      <c r="M305" s="40">
        <f>IF(B305="","",IF(I305&lt;=0,"SIN STOCK",IF(I305&lt;=L305,"REABASTECER","OK")))</f>
        <v/>
      </c>
    </row>
    <row r="306" ht="20" customHeight="1">
      <c r="A306" s="34" t="n">
        <v>300</v>
      </c>
      <c r="B306" s="35" t="n"/>
      <c r="C306" s="35" t="n"/>
      <c r="D306" s="35" t="n"/>
      <c r="E306" s="35" t="n"/>
      <c r="F306" s="36" t="n"/>
      <c r="G306" s="36" t="n"/>
      <c r="H306" s="36" t="n"/>
      <c r="I306" s="37">
        <f>IF(B306="","",F306+G306-H306)</f>
        <v/>
      </c>
      <c r="J306" s="38" t="n"/>
      <c r="K306" s="39">
        <f>IF(B306="","",I306*J306)</f>
        <v/>
      </c>
      <c r="L306" s="36" t="n"/>
      <c r="M306" s="40">
        <f>IF(B306="","",IF(I306&lt;=0,"SIN STOCK",IF(I306&lt;=L306,"REABASTECER","OK")))</f>
        <v/>
      </c>
    </row>
    <row r="307">
      <c r="A307" s="4" t="n"/>
      <c r="B307" s="4" t="n"/>
      <c r="C307" s="4" t="n"/>
      <c r="D307" s="4" t="n"/>
      <c r="E307" s="4" t="n"/>
      <c r="F307" s="4" t="n"/>
      <c r="G307" s="4" t="n"/>
      <c r="H307" s="41" t="inlineStr">
        <is>
          <t>TOTAL</t>
        </is>
      </c>
      <c r="I307" s="42">
        <f>SUM(I7:I306)</f>
        <v/>
      </c>
      <c r="J307" s="4" t="n"/>
      <c r="K307" s="43">
        <f>SUM(K7:K306)</f>
        <v/>
      </c>
      <c r="L307" s="4" t="n"/>
      <c r="M307" s="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5">
    <mergeCell ref="G4:H4"/>
    <mergeCell ref="A1:J1"/>
    <mergeCell ref="A2:J2"/>
    <mergeCell ref="B4:D4"/>
    <mergeCell ref="K1:K2"/>
  </mergeCells>
  <conditionalFormatting sqref="M7:M306">
    <cfRule type="cellIs" priority="1" operator="equal" dxfId="0">
      <formula>"SIN STOCK"</formula>
    </cfRule>
    <cfRule type="cellIs" priority="2" operator="equal" dxfId="1">
      <formula>"REABASTECER"</formula>
    </cfRule>
  </conditionalFormatting>
  <conditionalFormatting sqref="K7:K306">
    <cfRule type="dataBar" priority="3">
      <dataBar showValue="1">
        <cfvo type="num" val="0"/>
        <cfvo type="max"/>
        <color rgb="0012A0A8"/>
      </dataBar>
    </cfRule>
  </conditionalFormatting>
  <dataValidations count="1">
    <dataValidation sqref="J7:J306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</dataValidations>
  <printOptions horizontalCentered="1"/>
  <pageMargins left="0.75" right="0.75" top="1" bottom="1" header="0.5" footer="0.5"/>
  <pageSetup orientation="landscape" fitToHeight="0" fitToWidth="1" firstPageNumber="1" useFirstPageNumber="1"/>
  <headerFooter>
    <oddHeader/>
    <oddFooter>&amp;C&amp;8 Página &amp;P&amp;R&amp;8 Impreso: &amp;D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J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" customWidth="1" min="10" max="10"/>
  </cols>
  <sheetData>
    <row r="1" ht="44" customHeight="1">
      <c r="A1" s="26" t="inlineStr">
        <is>
          <t>RESUMEN DE INVENTARIO</t>
        </is>
      </c>
      <c r="H1" s="66" t="inlineStr">
        <is>
          <t>INSERTE SU LOGO
(clic derecho &gt; Insertar imagen)</t>
        </is>
      </c>
      <c r="I1" s="72" t="n"/>
      <c r="J1" s="73" t="n"/>
    </row>
    <row r="2" ht="26" customHeight="1">
      <c r="A2" s="67" t="inlineStr">
        <is>
          <t>Valor, existencias y alertas de reabasto</t>
        </is>
      </c>
      <c r="B2" s="68" t="n"/>
      <c r="C2" s="68" t="n"/>
      <c r="D2" s="68" t="n"/>
      <c r="E2" s="68" t="n"/>
      <c r="F2" s="68" t="n"/>
      <c r="G2" s="68" t="n"/>
      <c r="H2" s="74" t="n"/>
      <c r="I2" s="75" t="n"/>
      <c r="J2" s="76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 ht="22" customHeight="1">
      <c r="A4" s="4" t="n"/>
      <c r="B4" s="77" t="inlineStr">
        <is>
          <t>VALOR DEL INVENTARIO</t>
        </is>
      </c>
      <c r="C4" s="78" t="n"/>
      <c r="D4" s="77" t="inlineStr">
        <is>
          <t>PRODUCTOS</t>
        </is>
      </c>
      <c r="E4" s="78" t="n"/>
      <c r="F4" s="77" t="inlineStr">
        <is>
          <t>POR REABASTECER</t>
        </is>
      </c>
      <c r="G4" s="78" t="n"/>
      <c r="H4" s="77" t="inlineStr">
        <is>
          <t>SIN STOCK</t>
        </is>
      </c>
      <c r="I4" s="78" t="n"/>
      <c r="J4" s="4" t="n"/>
    </row>
    <row r="5" ht="46" customHeight="1">
      <c r="A5" s="4" t="n"/>
      <c r="B5" s="79">
        <f>FORMATO!K307</f>
        <v/>
      </c>
      <c r="C5" s="80" t="n"/>
      <c r="D5" s="81">
        <f>COUNTA(FORMATO!B7:B306)</f>
        <v/>
      </c>
      <c r="E5" s="80" t="n"/>
      <c r="F5" s="81">
        <f>COUNTIF(FORMATO!M7:M306,"REABASTECER")</f>
        <v/>
      </c>
      <c r="G5" s="80" t="n"/>
      <c r="H5" s="81">
        <f>COUNTIF(FORMATO!M7:M306,"SIN STOCK")</f>
        <v/>
      </c>
      <c r="I5" s="80" t="n"/>
      <c r="J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 ht="30" customHeight="1">
      <c r="A7" s="4" t="n"/>
      <c r="B7" s="82">
        <f>IF(D5=0,"Captura productos en la hoja FORMATO para ver el análisis automático.","Producto de mayor valor: "&amp;INDEX(FORMATO!C7:C306,MATCH(MAX(FORMATO!K7:K306),FORMATO!K7:K306,0))&amp;". Por reabastecer: "&amp;F5&amp;" · Sin stock: "&amp;H5&amp;".")</f>
        <v/>
      </c>
      <c r="J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 ht="32" customHeight="1">
      <c r="A25" s="4" t="n"/>
      <c r="B25" s="33" t="inlineStr">
        <is>
          <t>ESTATUS</t>
        </is>
      </c>
      <c r="C25" s="33" t="inlineStr">
        <is>
          <t>PRODUCTOS</t>
        </is>
      </c>
      <c r="D25" s="4" t="n"/>
      <c r="E25" s="4" t="n"/>
      <c r="F25" s="4" t="n"/>
      <c r="G25" s="4" t="n"/>
      <c r="H25" s="4" t="n"/>
      <c r="I25" s="4" t="n"/>
      <c r="J25" s="4" t="n"/>
    </row>
    <row r="26">
      <c r="A26" s="4" t="n"/>
      <c r="B26" s="56" t="inlineStr">
        <is>
          <t>OK</t>
        </is>
      </c>
      <c r="C26" s="22">
        <f>COUNTIF(FORMATO!M7:M306,"OK")</f>
        <v/>
      </c>
      <c r="D26" s="4" t="n"/>
      <c r="E26" s="4" t="n"/>
      <c r="F26" s="4" t="n"/>
      <c r="G26" s="4" t="n"/>
      <c r="H26" s="4" t="n"/>
      <c r="I26" s="4" t="n"/>
      <c r="J26" s="4" t="n"/>
    </row>
    <row r="27">
      <c r="A27" s="4" t="n"/>
      <c r="B27" s="56" t="inlineStr">
        <is>
          <t>REABASTECER</t>
        </is>
      </c>
      <c r="C27" s="22">
        <f>F5</f>
        <v/>
      </c>
      <c r="D27" s="4" t="n"/>
      <c r="E27" s="4" t="n"/>
      <c r="F27" s="4" t="n"/>
      <c r="G27" s="4" t="n"/>
      <c r="H27" s="4" t="n"/>
      <c r="I27" s="4" t="n"/>
      <c r="J27" s="4" t="n"/>
    </row>
    <row r="28">
      <c r="A28" s="4" t="n"/>
      <c r="B28" s="56" t="inlineStr">
        <is>
          <t>SIN STOCK</t>
        </is>
      </c>
      <c r="C28" s="22">
        <f>H5</f>
        <v/>
      </c>
      <c r="D28" s="4" t="n"/>
      <c r="E28" s="4" t="n"/>
      <c r="F28" s="4" t="n"/>
      <c r="G28" s="4" t="n"/>
      <c r="H28" s="4" t="n"/>
      <c r="I28" s="4" t="n"/>
      <c r="J28" s="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2">
    <mergeCell ref="F4:G4"/>
    <mergeCell ref="H1:J2"/>
    <mergeCell ref="A1:G1"/>
    <mergeCell ref="B7:I7"/>
    <mergeCell ref="B5:C5"/>
    <mergeCell ref="F5:G5"/>
    <mergeCell ref="D5:E5"/>
    <mergeCell ref="A2:G2"/>
    <mergeCell ref="D4:E4"/>
    <mergeCell ref="H5:I5"/>
    <mergeCell ref="H4:I4"/>
    <mergeCell ref="B4:C4"/>
  </mergeCells>
  <printOptions horizontalCentered="1"/>
  <pageMargins left="0.75" right="0.75" top="1" bottom="1" header="0.5" footer="0.5"/>
  <pageSetup orientation="landscape" fitToHeight="1" fitToWidth="1" firstPageNumber="1" useFirstPageNumber="1"/>
  <headerFooter>
    <oddHeader/>
    <oddFooter>&amp;C&amp;8 Página &amp;P&amp;R&amp;8 Impreso: &amp;D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0E7C8B"/>
    <outlinePr summaryBelow="1" summaryRight="1"/>
    <pageSetUpPr fitToPage="1"/>
  </sheetPr>
  <dimension ref="A1:E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8" customWidth="1" min="3" max="3"/>
    <col width="80" customWidth="1" min="4" max="4"/>
    <col width="3" customWidth="1" min="5" max="5"/>
  </cols>
  <sheetData>
    <row r="1" ht="30" customHeight="1">
      <c r="A1" s="1" t="n"/>
      <c r="B1" s="57" t="inlineStr">
        <is>
          <t>AYUDA Y PREGUNTAS FRECUENTES</t>
        </is>
      </c>
      <c r="E1" s="1" t="n"/>
    </row>
    <row r="2">
      <c r="A2" s="1" t="n"/>
      <c r="B2" s="58" t="inlineStr">
        <is>
          <t>CONTROL DE INVENTARIO</t>
        </is>
      </c>
      <c r="E2" s="1" t="n"/>
    </row>
    <row r="3">
      <c r="A3" s="8" t="n"/>
      <c r="B3" s="8" t="n"/>
      <c r="C3" s="8" t="n"/>
      <c r="D3" s="8" t="n"/>
      <c r="E3" s="8" t="n"/>
    </row>
    <row r="4">
      <c r="A4" s="4" t="n"/>
      <c r="B4" s="4" t="n"/>
      <c r="C4" s="4" t="n"/>
      <c r="D4" s="4" t="n"/>
      <c r="E4" s="4" t="n"/>
    </row>
    <row r="5" ht="24" customHeight="1">
      <c r="A5" s="4" t="n"/>
      <c r="B5" s="9" t="inlineStr">
        <is>
          <t>PREGUNTAS FRECUENTES</t>
        </is>
      </c>
      <c r="C5" s="10" t="n"/>
      <c r="D5" s="10" t="n"/>
      <c r="E5" s="4" t="n"/>
    </row>
    <row r="6" ht="38" customHeight="1">
      <c r="A6" s="4" t="n"/>
      <c r="B6" s="4" t="n"/>
      <c r="C6" s="59" t="inlineStr">
        <is>
          <t>¿Cómo corrijo diferencias de inventario?</t>
        </is>
      </c>
      <c r="D6" s="60" t="inlineStr">
        <is>
          <t>Ajusta con una entrada o salida por ajuste y anota el motivo en tu bitácora.</t>
        </is>
      </c>
      <c r="E6" s="4" t="n"/>
    </row>
    <row r="7" ht="30" customHeight="1">
      <c r="A7" s="4" t="n"/>
      <c r="B7" s="4" t="n"/>
      <c r="C7" s="59" t="inlineStr">
        <is>
          <t>¿Puedo manejar varias bodegas?</t>
        </is>
      </c>
      <c r="D7" s="60" t="inlineStr">
        <is>
          <t>Usa una copia del archivo por bodega o agrega la bodega en la categoría.</t>
        </is>
      </c>
      <c r="E7" s="4" t="n"/>
    </row>
    <row r="8" ht="53" customHeight="1">
      <c r="A8" s="4" t="n"/>
      <c r="B8" s="4" t="n"/>
      <c r="C8" s="59" t="inlineStr">
        <is>
          <t>¿Por qué no puedo escribir en algunas celdas?</t>
        </is>
      </c>
      <c r="D8" s="60" t="inlineStr">
        <is>
          <t>La hoja está protegida para que no se borren fórmulas por accidente. Solo se editan las celdas de captura (color crema). Si necesitas modificar algo más: pestaña Revisar &gt; Desproteger hoja (no tiene contraseña).</t>
        </is>
      </c>
      <c r="E8" s="4" t="n"/>
    </row>
    <row r="9" ht="38" customHeight="1">
      <c r="A9" s="4" t="n"/>
      <c r="B9" s="4" t="n"/>
      <c r="C9" s="59" t="inlineStr">
        <is>
          <t>¿Cómo agrego mi logotipo?</t>
        </is>
      </c>
      <c r="D9" s="60" t="inlineStr">
        <is>
          <t>Haz clic en el recuadro punteado de la esquina superior derecha del formato y usa Insertar &gt; Imágenes. Ajusta el tamaño sin salirte del recuadro.</t>
        </is>
      </c>
      <c r="E9" s="4" t="n"/>
    </row>
    <row r="10" ht="38" customHeight="1">
      <c r="A10" s="4" t="n"/>
      <c r="B10" s="4" t="n"/>
      <c r="C10" s="59" t="inlineStr">
        <is>
          <t>¿Cómo lo imprimo o lo convierto a PDF?</t>
        </is>
      </c>
      <c r="D10" s="60" t="inlineStr">
        <is>
          <t>Archivo &gt; Imprimir (ya está ajustado a una hoja de ancho). Para PDF elige 'Microsoft Print to PDF' o Archivo &gt; Exportar &gt; PDF.</t>
        </is>
      </c>
      <c r="E10" s="4" t="n"/>
    </row>
    <row r="11" ht="38" customHeight="1">
      <c r="A11" s="4" t="n"/>
      <c r="B11" s="4" t="n"/>
      <c r="C11" s="59" t="inlineStr">
        <is>
          <t>¿Con qué versiones de Excel funciona?</t>
        </is>
      </c>
      <c r="D11" s="60" t="inlineStr">
        <is>
          <t>Excel 2016, 2019, 2021 y Microsoft 365 (Windows y Mac). Funciona en LibreOffice y Google Sheets, aunque algunas gráficas y formatos pueden verse distintos.</t>
        </is>
      </c>
      <c r="E11" s="4" t="n"/>
    </row>
    <row r="12" ht="38" customHeight="1">
      <c r="A12" s="4" t="n"/>
      <c r="B12" s="4" t="n"/>
      <c r="C12" s="59" t="inlineStr">
        <is>
          <t>¿Puedo cambiar la letra?</t>
        </is>
      </c>
      <c r="D12" s="60" t="inlineStr">
        <is>
          <t>El diseño usa la fuente Arial, disponible en Windows, Mac y Google Sheets. Si necesitas otra, selecciona todo (Ctrl+E) y cambia la fuente; no afecta el funcionamiento.</t>
        </is>
      </c>
      <c r="E12" s="4" t="n"/>
    </row>
    <row r="13" ht="38" customHeight="1">
      <c r="A13" s="4" t="n"/>
      <c r="B13" s="4" t="n"/>
      <c r="C13" s="59" t="inlineStr">
        <is>
          <t>¿Puedo usarlo en varias empresas o por varios años?</t>
        </is>
      </c>
      <c r="D13" s="60" t="inlineStr">
        <is>
          <t>Sí. Guarda una copia del archivo por empresa o por periodo (Archivo &gt; Guardar como) y deja el original en blanco como plantilla maestra.</t>
        </is>
      </c>
      <c r="E13" s="4" t="n"/>
    </row>
    <row r="14">
      <c r="A14" s="4" t="n"/>
      <c r="B14" s="4" t="n"/>
      <c r="C14" s="4" t="n"/>
      <c r="D14" s="4" t="n"/>
      <c r="E14" s="4" t="n"/>
    </row>
    <row r="15" ht="24" customHeight="1">
      <c r="A15" s="4" t="n"/>
      <c r="B15" s="9" t="inlineStr">
        <is>
          <t>GLOSARIO</t>
        </is>
      </c>
      <c r="C15" s="10" t="n"/>
      <c r="D15" s="10" t="n"/>
      <c r="E15" s="4" t="n"/>
    </row>
    <row r="16" ht="21" customHeight="1">
      <c r="A16" s="4" t="n"/>
      <c r="B16" s="4" t="n"/>
      <c r="C16" s="61" t="inlineStr">
        <is>
          <t>EXISTENCIA</t>
        </is>
      </c>
      <c r="D16" s="62" t="inlineStr">
        <is>
          <t>Inventario inicial + entradas - salidas.</t>
        </is>
      </c>
      <c r="E16" s="4" t="n"/>
    </row>
    <row r="17" ht="21" customHeight="1">
      <c r="A17" s="4" t="n"/>
      <c r="B17" s="4" t="n"/>
      <c r="C17" s="61" t="inlineStr">
        <is>
          <t>STOCK MÍNIMO</t>
        </is>
      </c>
      <c r="D17" s="62" t="inlineStr">
        <is>
          <t>Nivel que dispara una nueva compra.</t>
        </is>
      </c>
      <c r="E17" s="4" t="n"/>
    </row>
    <row r="18" ht="21" customHeight="1">
      <c r="A18" s="4" t="n"/>
      <c r="B18" s="4" t="n"/>
      <c r="C18" s="61" t="inlineStr">
        <is>
          <t>SKU</t>
        </is>
      </c>
      <c r="D18" s="62" t="inlineStr">
        <is>
          <t>Código único de cada producto.</t>
        </is>
      </c>
      <c r="E18" s="4" t="n"/>
    </row>
    <row r="19" ht="21" customHeight="1">
      <c r="A19" s="4" t="n"/>
      <c r="B19" s="4" t="n"/>
      <c r="C19" s="61" t="inlineStr">
        <is>
          <t>VALOR DE INVENTARIO</t>
        </is>
      </c>
      <c r="D19" s="62" t="inlineStr">
        <is>
          <t>Existencia x costo unitario.</t>
        </is>
      </c>
      <c r="E19" s="4" t="n"/>
    </row>
    <row r="20">
      <c r="A20" s="4" t="n"/>
      <c r="B20" s="4" t="n"/>
      <c r="C20" s="4" t="n"/>
      <c r="D20" s="4" t="n"/>
      <c r="E20" s="4" t="n"/>
    </row>
    <row r="21" ht="24" customHeight="1">
      <c r="A21" s="4" t="n"/>
      <c r="B21" s="9" t="inlineStr">
        <is>
          <t>LISTA DE VERIFICACIÓN (marca ☑ al completar)</t>
        </is>
      </c>
      <c r="C21" s="10" t="n"/>
      <c r="D21" s="10" t="n"/>
      <c r="E21" s="4" t="n"/>
    </row>
    <row r="22" ht="20" customHeight="1">
      <c r="A22" s="4" t="n"/>
      <c r="B22" s="63" t="inlineStr">
        <is>
          <t>☐</t>
        </is>
      </c>
      <c r="C22" s="64" t="inlineStr">
        <is>
          <t>Conteo físico realizado</t>
        </is>
      </c>
      <c r="E22" s="4" t="n"/>
    </row>
    <row r="23" ht="20" customHeight="1">
      <c r="A23" s="4" t="n"/>
      <c r="B23" s="63" t="inlineStr">
        <is>
          <t>☐</t>
        </is>
      </c>
      <c r="C23" s="64" t="inlineStr">
        <is>
          <t>Entradas y salidas capturadas</t>
        </is>
      </c>
      <c r="E23" s="4" t="n"/>
    </row>
    <row r="24" ht="20" customHeight="1">
      <c r="A24" s="4" t="n"/>
      <c r="B24" s="63" t="inlineStr">
        <is>
          <t>☐</t>
        </is>
      </c>
      <c r="C24" s="64" t="inlineStr">
        <is>
          <t>Diferencias analizadas</t>
        </is>
      </c>
      <c r="E24" s="4" t="n"/>
    </row>
    <row r="25" ht="20" customHeight="1">
      <c r="A25" s="4" t="n"/>
      <c r="B25" s="63" t="inlineStr">
        <is>
          <t>☐</t>
        </is>
      </c>
      <c r="C25" s="64" t="inlineStr">
        <is>
          <t>Compras sugeridas generadas</t>
        </is>
      </c>
      <c r="E25" s="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6">
    <mergeCell ref="C24:D24"/>
    <mergeCell ref="B1:D1"/>
    <mergeCell ref="C25:D25"/>
    <mergeCell ref="C22:D22"/>
    <mergeCell ref="C23:D23"/>
    <mergeCell ref="B2:D2"/>
  </mergeCells>
  <dataValidations count="1">
    <dataValidation sqref="B22 B23 B24 B25" showDropDown="0" showInputMessage="0" showErrorMessage="0" allowBlank="0" type="list">
      <formula1>"☐,☑"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2026-10-07T22:57:52Z</dcterms:created>
  <dcterms:modified xmlns:dcterms="http://purl.org/dc/terms/" xmlns:xsi="http://www.w3.org/2001/XMLSchema-instance" xsi:type="dcterms:W3CDTF">2026-10-07T22:57:56Z</dcterms:modified>
</cp:coreProperties>
</file>