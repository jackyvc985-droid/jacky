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$&quot;#,##0.0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5B6B78"/>
      <sz val="10"/>
    </font>
    <font>
      <name val="Calibri"/>
      <i val="1"/>
      <color rgb="00A6A6A6"/>
      <sz val="8"/>
    </font>
    <font>
      <name val="Calibri"/>
      <b val="1"/>
      <color rgb="001B6B73"/>
    </font>
    <font>
      <name val="Calibri"/>
      <b val="1"/>
    </font>
    <font>
      <name val="Calibri"/>
      <b val="1"/>
      <color rgb="00FFFFFF"/>
    </font>
    <font>
      <name val="Calibri"/>
      <i val="1"/>
      <color rgb="007F7F7F"/>
    </font>
    <font>
      <name val="Calibri"/>
      <b val="1"/>
      <color rgb="00C9A227"/>
      <sz val="10"/>
    </font>
    <font>
      <name val="Calibri"/>
      <b val="1"/>
      <color rgb="00FFFFFF"/>
      <sz val="26"/>
    </font>
    <font>
      <name val="Calibri"/>
      <color rgb="00C9D3DB"/>
      <sz val="12"/>
    </font>
    <font>
      <name val="Calibri"/>
      <b val="1"/>
      <color rgb="001B6B73"/>
      <sz val="11"/>
    </font>
    <font>
      <name val="Calibri"/>
      <b val="1"/>
      <color rgb="00C9A227"/>
      <sz val="12"/>
    </font>
    <font>
      <name val="Calibri"/>
      <color rgb="002B2B2B"/>
      <sz val="11"/>
    </font>
    <font>
      <name val="Calibri"/>
      <color rgb="005B6B78"/>
      <sz val="10"/>
    </font>
    <font>
      <name val="Calibri"/>
      <color rgb="008A97A3"/>
      <sz val="9"/>
    </font>
  </fonts>
  <fills count="6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patternFill patternType="solid">
        <fgColor rgb="00EEF2F5"/>
      </patternFill>
    </fill>
  </fills>
  <borders count="21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top style="thick">
        <color rgb="00C9A227"/>
      </top>
    </border>
    <border>
      <top style="thin">
        <color rgb="00C9A227"/>
      </top>
    </border>
    <border>
      <left/>
      <right/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 style="thin">
        <color rgb="00C9D3DB"/>
      </bottom>
      <diagonal/>
    </border>
    <border>
      <left style="dashed">
        <color rgb="00A6A6A6"/>
      </left>
      <right style="dashed">
        <color rgb="00A6A6A6"/>
      </right>
      <top style="dashed">
        <color rgb="00A6A6A6"/>
      </top>
      <bottom style="dashed">
        <color rgb="00A6A6A6"/>
      </bottom>
    </border>
    <border>
      <left/>
      <right/>
      <top style="dashed">
        <color rgb="00A6A6A6"/>
      </top>
      <bottom/>
      <diagonal/>
    </border>
    <border>
      <left style="dashed">
        <color rgb="00A6A6A6"/>
      </left>
      <right/>
      <top/>
      <bottom/>
      <diagonal/>
    </border>
    <border>
      <left/>
      <right style="dashed">
        <color rgb="00A6A6A6"/>
      </right>
      <top style="dashed">
        <color rgb="00A6A6A6"/>
      </top>
      <bottom/>
      <diagonal/>
    </border>
    <border>
      <left/>
      <right style="dashed">
        <color rgb="00A6A6A6"/>
      </right>
      <top/>
      <bottom/>
      <diagonal/>
    </border>
    <border>
      <left style="dashed">
        <color rgb="00A6A6A6"/>
      </left>
      <right/>
      <top/>
      <bottom style="dashed">
        <color rgb="00A6A6A6"/>
      </bottom>
      <diagonal/>
    </border>
    <border>
      <left/>
      <right style="dashed">
        <color rgb="00A6A6A6"/>
      </right>
      <top/>
      <bottom style="dashed">
        <color rgb="00A6A6A6"/>
      </bottom>
      <diagonal/>
    </border>
    <border>
      <right/>
      <bottom style="medium">
        <color rgb="00C9A227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8" fillId="2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0" fillId="0" borderId="8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0" fillId="4" borderId="7" applyProtection="1" pivotButton="0" quotePrefix="0" xfId="0">
      <protection locked="0" hidden="0"/>
    </xf>
    <xf numFmtId="0" fontId="14" fillId="0" borderId="0" pivotButton="0" quotePrefix="0" xfId="0"/>
    <xf numFmtId="0" fontId="0" fillId="5" borderId="7" pivotButton="0" quotePrefix="0" xfId="0"/>
    <xf numFmtId="0" fontId="0" fillId="2" borderId="7" pivotButton="0" quotePrefix="0" xfId="0"/>
    <xf numFmtId="0" fontId="0" fillId="0" borderId="9" pivotButton="0" quotePrefix="0" xfId="0"/>
    <xf numFmtId="0" fontId="1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4" fillId="3" borderId="7" pivotButton="0" quotePrefix="0" xfId="0"/>
    <xf numFmtId="164" fontId="0" fillId="4" borderId="7" applyProtection="1" pivotButton="0" quotePrefix="0" xfId="0">
      <protection locked="0" hidden="0"/>
    </xf>
    <xf numFmtId="0" fontId="5" fillId="4" borderId="7" applyAlignment="1" applyProtection="1" pivotButton="0" quotePrefix="0" xfId="0">
      <alignment horizontal="center"/>
      <protection locked="0" hidden="0"/>
    </xf>
    <xf numFmtId="0" fontId="0" fillId="0" borderId="7" pivotButton="0" quotePrefix="0" xfId="0"/>
    <xf numFmtId="0" fontId="6" fillId="2" borderId="7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/>
    </xf>
    <xf numFmtId="165" fontId="0" fillId="4" borderId="7" applyProtection="1" pivotButton="0" quotePrefix="0" xfId="0">
      <protection locked="0" hidden="0"/>
    </xf>
    <xf numFmtId="166" fontId="0" fillId="4" borderId="7" applyProtection="1" pivotButton="0" quotePrefix="0" xfId="0">
      <protection locked="0" hidden="0"/>
    </xf>
    <xf numFmtId="166" fontId="0" fillId="5" borderId="7" pivotButton="0" quotePrefix="0" xfId="0"/>
    <xf numFmtId="0" fontId="5" fillId="0" borderId="0" pivotButton="0" quotePrefix="0" xfId="0"/>
    <xf numFmtId="166" fontId="5" fillId="3" borderId="7" pivotButton="0" quotePrefix="0" xfId="0"/>
    <xf numFmtId="0" fontId="4" fillId="0" borderId="0" pivotButton="0" quotePrefix="0" xfId="0"/>
    <xf numFmtId="0" fontId="7" fillId="0" borderId="0" pivotButton="0" quotePrefix="0" xfId="0"/>
    <xf numFmtId="0" fontId="3" fillId="0" borderId="13" applyAlignment="1" pivotButton="0" quotePrefix="0" xfId="0">
      <alignment horizontal="center" vertical="center" wrapText="1"/>
    </xf>
    <xf numFmtId="0" fontId="0" fillId="0" borderId="16" pivotButton="0" quotePrefix="0" xfId="0"/>
    <xf numFmtId="0" fontId="2" fillId="0" borderId="20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12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D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88" customWidth="1" min="3" max="3"/>
    <col width="4" customWidth="1" min="4" max="4"/>
  </cols>
  <sheetData>
    <row r="1">
      <c r="A1" s="1" t="n"/>
      <c r="B1" s="1" t="n"/>
      <c r="C1" s="1" t="n"/>
      <c r="D1" s="1" t="n"/>
    </row>
    <row r="2" ht="20" customHeight="1">
      <c r="A2" s="1" t="n"/>
      <c r="B2" s="2" t="inlineStr">
        <is>
          <t>GRUPO CANVILLE</t>
        </is>
      </c>
      <c r="C2" s="1" t="n"/>
      <c r="D2" s="1" t="n"/>
    </row>
    <row r="3">
      <c r="A3" s="1" t="n"/>
      <c r="B3" s="1" t="n"/>
      <c r="C3" s="1" t="n"/>
      <c r="D3" s="1" t="n"/>
    </row>
    <row r="4" ht="40" customHeight="1">
      <c r="A4" s="1" t="n"/>
      <c r="B4" s="3" t="inlineStr">
        <is>
          <t>Cuadro comparativo</t>
        </is>
      </c>
      <c r="C4" s="1" t="n"/>
      <c r="D4" s="1" t="n"/>
    </row>
    <row r="5">
      <c r="A5" s="1" t="n"/>
      <c r="B5" s="4" t="inlineStr">
        <is>
          <t>Formato administrativo editable · México</t>
        </is>
      </c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 ht="6" customHeight="1">
      <c r="A8" s="5" t="n"/>
      <c r="B8" s="5" t="n"/>
      <c r="C8" s="5" t="n"/>
      <c r="D8" s="5" t="n"/>
    </row>
    <row r="10">
      <c r="B10" s="6" t="inlineStr">
        <is>
          <t>CÓMO USARLO</t>
        </is>
      </c>
    </row>
    <row r="11" ht="21" customHeight="1">
      <c r="B11" s="7" t="n">
        <v>1</v>
      </c>
      <c r="C11" s="8" t="inlineStr">
        <is>
          <t>Renombra los proveedores en la fila 6.</t>
        </is>
      </c>
    </row>
    <row r="12" ht="36" customHeight="1">
      <c r="B12" s="7" t="n">
        <v>2</v>
      </c>
      <c r="C12" s="8" t="inlineStr">
        <is>
          <t>Captura descripción, unidad y cantidad de cada partida y el precio unitario ofrecido por proveedor.</t>
        </is>
      </c>
    </row>
    <row r="13" ht="21" customHeight="1">
      <c r="B13" s="7" t="n">
        <v>3</v>
      </c>
      <c r="C13" s="8" t="inlineStr">
        <is>
          <t>Importes, IVA y total se calculan; abajo se indica el proveedor con el menor total.</t>
        </is>
      </c>
    </row>
    <row r="14" ht="21" customHeight="1">
      <c r="B14" s="7" t="n">
        <v>4</v>
      </c>
      <c r="C14" s="8" t="inlineStr">
        <is>
          <t>Anota condiciones de pago y tiempos de entrega, pues el precio no es el único criterio.</t>
        </is>
      </c>
    </row>
    <row r="15" ht="36" customHeight="1">
      <c r="B15" s="7" t="n">
        <v>5</v>
      </c>
      <c r="C15" s="8" t="inlineStr">
        <is>
          <t>Personaliza: en el recuadro punteado de la esquina superior derecha inserta tu logo (Insertar &gt; Imágenes) y captura los datos de tu empresa en las celdas de captura.</t>
        </is>
      </c>
    </row>
    <row r="17">
      <c r="B17" s="6" t="inlineStr">
        <is>
          <t>LEYENDA</t>
        </is>
      </c>
    </row>
    <row r="18">
      <c r="B18" s="9" t="inlineStr"/>
      <c r="C18" s="10" t="inlineStr">
        <is>
          <t>Celda de captura: escribe aquí.</t>
        </is>
      </c>
    </row>
    <row r="19">
      <c r="B19" s="11" t="inlineStr"/>
      <c r="C19" s="10" t="inlineStr">
        <is>
          <t>Cálculo automático: no la modifiques.</t>
        </is>
      </c>
    </row>
    <row r="20">
      <c r="B20" s="12" t="inlineStr"/>
      <c r="C20" s="10" t="inlineStr">
        <is>
          <t>Encabezados y títulos.</t>
        </is>
      </c>
    </row>
    <row r="22">
      <c r="A22" s="13" t="n"/>
      <c r="B22" s="13" t="n"/>
      <c r="C22" s="13" t="n"/>
      <c r="D22" s="13" t="n"/>
    </row>
    <row r="23">
      <c r="B23" s="14" t="inlineStr">
        <is>
          <t>GRUPO CANVILLE · Formatos administrativos · v1.0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L30"/>
  <sheetViews>
    <sheetView showGridLines="0" workbookViewId="0">
      <selection activeCell="A1" sqref="A1"/>
    </sheetView>
  </sheetViews>
  <sheetFormatPr baseColWidth="8" defaultRowHeight="15"/>
  <cols>
    <col width="19.25" customWidth="1" min="1" max="1"/>
    <col width="34" customWidth="1" min="2" max="2"/>
    <col width="11" customWidth="1" min="3" max="3"/>
    <col width="11" customWidth="1" min="4" max="4"/>
    <col width="13" customWidth="1" min="5" max="5"/>
    <col width="15" customWidth="1" min="6" max="6"/>
    <col width="13" customWidth="1" min="7" max="7"/>
    <col width="15" customWidth="1" min="8" max="8"/>
    <col width="13" customWidth="1" min="9" max="9"/>
    <col width="15" customWidth="1" min="10" max="10"/>
    <col width="13" customWidth="1" min="11" max="11"/>
    <col width="15" customWidth="1" min="12" max="12"/>
  </cols>
  <sheetData>
    <row r="1" ht="44" customHeight="1">
      <c r="A1" s="15" t="inlineStr">
        <is>
          <t>CUADRO COMPARATIVO DE COTIZACIONES</t>
        </is>
      </c>
      <c r="K1" s="35" t="inlineStr">
        <is>
          <t>INSERTE SU LOGO
(clic derecho &gt; Insertar imagen)</t>
        </is>
      </c>
      <c r="L1" s="36" t="n"/>
    </row>
    <row r="2" ht="26" customHeight="1">
      <c r="A2" s="37" t="inlineStr">
        <is>
          <t>Compara hasta 4 proveedores y selecciona la mejor opción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38" t="n"/>
      <c r="L2" s="39" t="n"/>
    </row>
    <row r="4">
      <c r="A4" s="22" t="inlineStr">
        <is>
          <t>Requisición No.</t>
        </is>
      </c>
      <c r="B4" s="9" t="inlineStr">
        <is>
          <t>REQ-2026-031</t>
        </is>
      </c>
      <c r="C4" s="40" t="n"/>
      <c r="E4" s="22" t="inlineStr">
        <is>
          <t>Fecha</t>
        </is>
      </c>
      <c r="F4" s="23" t="n">
        <v>46300</v>
      </c>
      <c r="G4" s="40" t="n"/>
    </row>
    <row r="6">
      <c r="E6" s="24" t="inlineStr">
        <is>
          <t>Papelera del Centro</t>
        </is>
      </c>
      <c r="F6" s="40" t="n"/>
      <c r="G6" s="24" t="inlineStr">
        <is>
          <t>Office Max</t>
        </is>
      </c>
      <c r="H6" s="40" t="n"/>
      <c r="I6" s="24" t="inlineStr">
        <is>
          <t>Distribuidora Pluma</t>
        </is>
      </c>
      <c r="J6" s="40" t="n"/>
      <c r="K6" s="24" t="inlineStr">
        <is>
          <t>Comercial Rex</t>
        </is>
      </c>
      <c r="L6" s="40" t="n"/>
    </row>
    <row r="7" ht="32" customHeight="1">
      <c r="A7" s="26" t="inlineStr">
        <is>
          <t>Part.</t>
        </is>
      </c>
      <c r="B7" s="26" t="inlineStr">
        <is>
          <t>Descripción</t>
        </is>
      </c>
      <c r="C7" s="26" t="inlineStr">
        <is>
          <t>Unidad</t>
        </is>
      </c>
      <c r="D7" s="26" t="inlineStr">
        <is>
          <t>Cantidad</t>
        </is>
      </c>
      <c r="E7" s="26" t="inlineStr">
        <is>
          <t>P. Unit.</t>
        </is>
      </c>
      <c r="F7" s="26" t="inlineStr">
        <is>
          <t>Importe</t>
        </is>
      </c>
      <c r="G7" s="26" t="inlineStr">
        <is>
          <t>P. Unit.</t>
        </is>
      </c>
      <c r="H7" s="26" t="inlineStr">
        <is>
          <t>Importe</t>
        </is>
      </c>
      <c r="I7" s="26" t="inlineStr">
        <is>
          <t>P. Unit.</t>
        </is>
      </c>
      <c r="J7" s="26" t="inlineStr">
        <is>
          <t>Importe</t>
        </is>
      </c>
      <c r="K7" s="26" t="inlineStr">
        <is>
          <t>P. Unit.</t>
        </is>
      </c>
      <c r="L7" s="26" t="inlineStr">
        <is>
          <t>Importe</t>
        </is>
      </c>
    </row>
    <row r="8">
      <c r="A8" s="27" t="n">
        <v>1</v>
      </c>
      <c r="B8" s="9" t="inlineStr">
        <is>
          <t>Papel bond carta (caja)</t>
        </is>
      </c>
      <c r="C8" s="9" t="inlineStr">
        <is>
          <t>Caja</t>
        </is>
      </c>
      <c r="D8" s="28" t="n">
        <v>20</v>
      </c>
      <c r="E8" s="29" t="n">
        <v>780</v>
      </c>
      <c r="F8" s="30">
        <f>IF(OR(E8="",$D8=""),"",E8*$D8)</f>
        <v/>
      </c>
      <c r="G8" s="29" t="n">
        <v>805</v>
      </c>
      <c r="H8" s="30">
        <f>IF(OR(G8="",$D8=""),"",G8*$D8)</f>
        <v/>
      </c>
      <c r="I8" s="29" t="n">
        <v>790</v>
      </c>
      <c r="J8" s="30">
        <f>IF(OR(I8="",$D8=""),"",I8*$D8)</f>
        <v/>
      </c>
      <c r="K8" s="29" t="n"/>
      <c r="L8" s="30">
        <f>IF(OR(K8="",$D8=""),"",K8*$D8)</f>
        <v/>
      </c>
    </row>
    <row r="9">
      <c r="A9" s="27" t="n">
        <v>2</v>
      </c>
      <c r="B9" s="9" t="inlineStr">
        <is>
          <t>Tóner HP 85A</t>
        </is>
      </c>
      <c r="C9" s="9" t="inlineStr">
        <is>
          <t>Pieza</t>
        </is>
      </c>
      <c r="D9" s="28" t="n">
        <v>10</v>
      </c>
      <c r="E9" s="29" t="n">
        <v>920</v>
      </c>
      <c r="F9" s="30">
        <f>IF(OR(E9="",$D9=""),"",E9*$D9)</f>
        <v/>
      </c>
      <c r="G9" s="29" t="n">
        <v>890</v>
      </c>
      <c r="H9" s="30">
        <f>IF(OR(G9="",$D9=""),"",G9*$D9)</f>
        <v/>
      </c>
      <c r="I9" s="29" t="n">
        <v>950</v>
      </c>
      <c r="J9" s="30">
        <f>IF(OR(I9="",$D9=""),"",I9*$D9)</f>
        <v/>
      </c>
      <c r="K9" s="29" t="n">
        <v>905</v>
      </c>
      <c r="L9" s="30">
        <f>IF(OR(K9="",$D9=""),"",K9*$D9)</f>
        <v/>
      </c>
    </row>
    <row r="10">
      <c r="A10" s="27" t="n">
        <v>3</v>
      </c>
      <c r="B10" s="9" t="inlineStr">
        <is>
          <t>Pluma azul (caja 12)</t>
        </is>
      </c>
      <c r="C10" s="9" t="inlineStr">
        <is>
          <t>Caja</t>
        </is>
      </c>
      <c r="D10" s="28" t="n">
        <v>15</v>
      </c>
      <c r="E10" s="29" t="n">
        <v>96</v>
      </c>
      <c r="F10" s="30">
        <f>IF(OR(E10="",$D10=""),"",E10*$D10)</f>
        <v/>
      </c>
      <c r="G10" s="29" t="n">
        <v>102</v>
      </c>
      <c r="H10" s="30">
        <f>IF(OR(G10="",$D10=""),"",G10*$D10)</f>
        <v/>
      </c>
      <c r="I10" s="29" t="n">
        <v>90</v>
      </c>
      <c r="J10" s="30">
        <f>IF(OR(I10="",$D10=""),"",I10*$D10)</f>
        <v/>
      </c>
      <c r="K10" s="29" t="n">
        <v>99</v>
      </c>
      <c r="L10" s="30">
        <f>IF(OR(K10="",$D10=""),"",K10*$D10)</f>
        <v/>
      </c>
    </row>
    <row r="11">
      <c r="A11" s="27" t="n">
        <v>4</v>
      </c>
      <c r="B11" s="9" t="inlineStr">
        <is>
          <t>Cinta adhesiva</t>
        </is>
      </c>
      <c r="C11" s="9" t="inlineStr">
        <is>
          <t>Rollo</t>
        </is>
      </c>
      <c r="D11" s="28" t="n">
        <v>60</v>
      </c>
      <c r="E11" s="29" t="n">
        <v>18</v>
      </c>
      <c r="F11" s="30">
        <f>IF(OR(E11="",$D11=""),"",E11*$D11)</f>
        <v/>
      </c>
      <c r="G11" s="29" t="n">
        <v>17.5</v>
      </c>
      <c r="H11" s="30">
        <f>IF(OR(G11="",$D11=""),"",G11*$D11)</f>
        <v/>
      </c>
      <c r="I11" s="29" t="n">
        <v>19</v>
      </c>
      <c r="J11" s="30">
        <f>IF(OR(I11="",$D11=""),"",I11*$D11)</f>
        <v/>
      </c>
      <c r="K11" s="29" t="n">
        <v>18</v>
      </c>
      <c r="L11" s="30">
        <f>IF(OR(K11="",$D11=""),"",K11*$D11)</f>
        <v/>
      </c>
    </row>
    <row r="12">
      <c r="A12" s="27" t="n">
        <v>5</v>
      </c>
      <c r="B12" s="9" t="n"/>
      <c r="C12" s="9" t="n"/>
      <c r="D12" s="28" t="n"/>
      <c r="E12" s="29" t="n"/>
      <c r="F12" s="30">
        <f>IF(OR(E12="",$D12=""),"",E12*$D12)</f>
        <v/>
      </c>
      <c r="G12" s="29" t="n"/>
      <c r="H12" s="30">
        <f>IF(OR(G12="",$D12=""),"",G12*$D12)</f>
        <v/>
      </c>
      <c r="I12" s="29" t="n"/>
      <c r="J12" s="30">
        <f>IF(OR(I12="",$D12=""),"",I12*$D12)</f>
        <v/>
      </c>
      <c r="K12" s="29" t="n"/>
      <c r="L12" s="30">
        <f>IF(OR(K12="",$D12=""),"",K12*$D12)</f>
        <v/>
      </c>
    </row>
    <row r="13">
      <c r="A13" s="27" t="n">
        <v>6</v>
      </c>
      <c r="B13" s="9" t="n"/>
      <c r="C13" s="9" t="n"/>
      <c r="D13" s="28" t="n"/>
      <c r="E13" s="29" t="n"/>
      <c r="F13" s="30">
        <f>IF(OR(E13="",$D13=""),"",E13*$D13)</f>
        <v/>
      </c>
      <c r="G13" s="29" t="n"/>
      <c r="H13" s="30">
        <f>IF(OR(G13="",$D13=""),"",G13*$D13)</f>
        <v/>
      </c>
      <c r="I13" s="29" t="n"/>
      <c r="J13" s="30">
        <f>IF(OR(I13="",$D13=""),"",I13*$D13)</f>
        <v/>
      </c>
      <c r="K13" s="29" t="n"/>
      <c r="L13" s="30">
        <f>IF(OR(K13="",$D13=""),"",K13*$D13)</f>
        <v/>
      </c>
    </row>
    <row r="14">
      <c r="A14" s="27" t="n">
        <v>7</v>
      </c>
      <c r="B14" s="9" t="n"/>
      <c r="C14" s="9" t="n"/>
      <c r="D14" s="28" t="n"/>
      <c r="E14" s="29" t="n"/>
      <c r="F14" s="30">
        <f>IF(OR(E14="",$D14=""),"",E14*$D14)</f>
        <v/>
      </c>
      <c r="G14" s="29" t="n"/>
      <c r="H14" s="30">
        <f>IF(OR(G14="",$D14=""),"",G14*$D14)</f>
        <v/>
      </c>
      <c r="I14" s="29" t="n"/>
      <c r="J14" s="30">
        <f>IF(OR(I14="",$D14=""),"",I14*$D14)</f>
        <v/>
      </c>
      <c r="K14" s="29" t="n"/>
      <c r="L14" s="30">
        <f>IF(OR(K14="",$D14=""),"",K14*$D14)</f>
        <v/>
      </c>
    </row>
    <row r="15">
      <c r="A15" s="27" t="n">
        <v>8</v>
      </c>
      <c r="B15" s="9" t="n"/>
      <c r="C15" s="9" t="n"/>
      <c r="D15" s="28" t="n"/>
      <c r="E15" s="29" t="n"/>
      <c r="F15" s="30">
        <f>IF(OR(E15="",$D15=""),"",E15*$D15)</f>
        <v/>
      </c>
      <c r="G15" s="29" t="n"/>
      <c r="H15" s="30">
        <f>IF(OR(G15="",$D15=""),"",G15*$D15)</f>
        <v/>
      </c>
      <c r="I15" s="29" t="n"/>
      <c r="J15" s="30">
        <f>IF(OR(I15="",$D15=""),"",I15*$D15)</f>
        <v/>
      </c>
      <c r="K15" s="29" t="n"/>
      <c r="L15" s="30">
        <f>IF(OR(K15="",$D15=""),"",K15*$D15)</f>
        <v/>
      </c>
    </row>
    <row r="16">
      <c r="A16" s="27" t="n">
        <v>9</v>
      </c>
      <c r="B16" s="9" t="n"/>
      <c r="C16" s="9" t="n"/>
      <c r="D16" s="28" t="n"/>
      <c r="E16" s="29" t="n"/>
      <c r="F16" s="30">
        <f>IF(OR(E16="",$D16=""),"",E16*$D16)</f>
        <v/>
      </c>
      <c r="G16" s="29" t="n"/>
      <c r="H16" s="30">
        <f>IF(OR(G16="",$D16=""),"",G16*$D16)</f>
        <v/>
      </c>
      <c r="I16" s="29" t="n"/>
      <c r="J16" s="30">
        <f>IF(OR(I16="",$D16=""),"",I16*$D16)</f>
        <v/>
      </c>
      <c r="K16" s="29" t="n"/>
      <c r="L16" s="30">
        <f>IF(OR(K16="",$D16=""),"",K16*$D16)</f>
        <v/>
      </c>
    </row>
    <row r="17">
      <c r="A17" s="27" t="n">
        <v>10</v>
      </c>
      <c r="B17" s="9" t="n"/>
      <c r="C17" s="9" t="n"/>
      <c r="D17" s="28" t="n"/>
      <c r="E17" s="29" t="n"/>
      <c r="F17" s="30">
        <f>IF(OR(E17="",$D17=""),"",E17*$D17)</f>
        <v/>
      </c>
      <c r="G17" s="29" t="n"/>
      <c r="H17" s="30">
        <f>IF(OR(G17="",$D17=""),"",G17*$D17)</f>
        <v/>
      </c>
      <c r="I17" s="29" t="n"/>
      <c r="J17" s="30">
        <f>IF(OR(I17="",$D17=""),"",I17*$D17)</f>
        <v/>
      </c>
      <c r="K17" s="29" t="n"/>
      <c r="L17" s="30">
        <f>IF(OR(K17="",$D17=""),"",K17*$D17)</f>
        <v/>
      </c>
    </row>
    <row r="18">
      <c r="A18" s="27" t="n">
        <v>11</v>
      </c>
      <c r="B18" s="9" t="n"/>
      <c r="C18" s="9" t="n"/>
      <c r="D18" s="28" t="n"/>
      <c r="E18" s="29" t="n"/>
      <c r="F18" s="30">
        <f>IF(OR(E18="",$D18=""),"",E18*$D18)</f>
        <v/>
      </c>
      <c r="G18" s="29" t="n"/>
      <c r="H18" s="30">
        <f>IF(OR(G18="",$D18=""),"",G18*$D18)</f>
        <v/>
      </c>
      <c r="I18" s="29" t="n"/>
      <c r="J18" s="30">
        <f>IF(OR(I18="",$D18=""),"",I18*$D18)</f>
        <v/>
      </c>
      <c r="K18" s="29" t="n"/>
      <c r="L18" s="30">
        <f>IF(OR(K18="",$D18=""),"",K18*$D18)</f>
        <v/>
      </c>
    </row>
    <row r="19">
      <c r="A19" s="27" t="n">
        <v>12</v>
      </c>
      <c r="B19" s="9" t="n"/>
      <c r="C19" s="9" t="n"/>
      <c r="D19" s="28" t="n"/>
      <c r="E19" s="29" t="n"/>
      <c r="F19" s="30">
        <f>IF(OR(E19="",$D19=""),"",E19*$D19)</f>
        <v/>
      </c>
      <c r="G19" s="29" t="n"/>
      <c r="H19" s="30">
        <f>IF(OR(G19="",$D19=""),"",G19*$D19)</f>
        <v/>
      </c>
      <c r="I19" s="29" t="n"/>
      <c r="J19" s="30">
        <f>IF(OR(I19="",$D19=""),"",I19*$D19)</f>
        <v/>
      </c>
      <c r="K19" s="29" t="n"/>
      <c r="L19" s="30">
        <f>IF(OR(K19="",$D19=""),"",K19*$D19)</f>
        <v/>
      </c>
    </row>
    <row r="20">
      <c r="A20" s="27" t="n">
        <v>13</v>
      </c>
      <c r="B20" s="9" t="n"/>
      <c r="C20" s="9" t="n"/>
      <c r="D20" s="28" t="n"/>
      <c r="E20" s="29" t="n"/>
      <c r="F20" s="30">
        <f>IF(OR(E20="",$D20=""),"",E20*$D20)</f>
        <v/>
      </c>
      <c r="G20" s="29" t="n"/>
      <c r="H20" s="30">
        <f>IF(OR(G20="",$D20=""),"",G20*$D20)</f>
        <v/>
      </c>
      <c r="I20" s="29" t="n"/>
      <c r="J20" s="30">
        <f>IF(OR(I20="",$D20=""),"",I20*$D20)</f>
        <v/>
      </c>
      <c r="K20" s="29" t="n"/>
      <c r="L20" s="30">
        <f>IF(OR(K20="",$D20=""),"",K20*$D20)</f>
        <v/>
      </c>
    </row>
    <row r="21">
      <c r="A21" s="27" t="n">
        <v>14</v>
      </c>
      <c r="B21" s="9" t="n"/>
      <c r="C21" s="9" t="n"/>
      <c r="D21" s="28" t="n"/>
      <c r="E21" s="29" t="n"/>
      <c r="F21" s="30">
        <f>IF(OR(E21="",$D21=""),"",E21*$D21)</f>
        <v/>
      </c>
      <c r="G21" s="29" t="n"/>
      <c r="H21" s="30">
        <f>IF(OR(G21="",$D21=""),"",G21*$D21)</f>
        <v/>
      </c>
      <c r="I21" s="29" t="n"/>
      <c r="J21" s="30">
        <f>IF(OR(I21="",$D21=""),"",I21*$D21)</f>
        <v/>
      </c>
      <c r="K21" s="29" t="n"/>
      <c r="L21" s="30">
        <f>IF(OR(K21="",$D21=""),"",K21*$D21)</f>
        <v/>
      </c>
    </row>
    <row r="22">
      <c r="A22" s="27" t="n">
        <v>15</v>
      </c>
      <c r="B22" s="9" t="n"/>
      <c r="C22" s="9" t="n"/>
      <c r="D22" s="28" t="n"/>
      <c r="E22" s="29" t="n"/>
      <c r="F22" s="30">
        <f>IF(OR(E22="",$D22=""),"",E22*$D22)</f>
        <v/>
      </c>
      <c r="G22" s="29" t="n"/>
      <c r="H22" s="30">
        <f>IF(OR(G22="",$D22=""),"",G22*$D22)</f>
        <v/>
      </c>
      <c r="I22" s="29" t="n"/>
      <c r="J22" s="30">
        <f>IF(OR(I22="",$D22=""),"",I22*$D22)</f>
        <v/>
      </c>
      <c r="K22" s="29" t="n"/>
      <c r="L22" s="30">
        <f>IF(OR(K22="",$D22=""),"",K22*$D22)</f>
        <v/>
      </c>
    </row>
    <row r="23">
      <c r="B23" s="31" t="inlineStr">
        <is>
          <t>SUBTOTAL</t>
        </is>
      </c>
      <c r="F23" s="32">
        <f>SUM(F8:F22)</f>
        <v/>
      </c>
      <c r="H23" s="32">
        <f>SUM(H8:H22)</f>
        <v/>
      </c>
      <c r="J23" s="32">
        <f>SUM(J8:J22)</f>
        <v/>
      </c>
      <c r="L23" s="32">
        <f>SUM(L8:L22)</f>
        <v/>
      </c>
    </row>
    <row r="24">
      <c r="B24" s="31" t="inlineStr">
        <is>
          <t>IVA 16%</t>
        </is>
      </c>
      <c r="F24" s="32">
        <f>ROUND(F23*0.16,2)</f>
        <v/>
      </c>
      <c r="H24" s="32">
        <f>ROUND(H23*0.16,2)</f>
        <v/>
      </c>
      <c r="J24" s="32">
        <f>ROUND(J23*0.16,2)</f>
        <v/>
      </c>
      <c r="L24" s="32">
        <f>ROUND(L23*0.16,2)</f>
        <v/>
      </c>
    </row>
    <row r="25">
      <c r="B25" s="31" t="inlineStr">
        <is>
          <t>TOTAL</t>
        </is>
      </c>
      <c r="F25" s="32">
        <f>F23+F24</f>
        <v/>
      </c>
      <c r="H25" s="32">
        <f>H23+H24</f>
        <v/>
      </c>
      <c r="J25" s="32">
        <f>J23+J24</f>
        <v/>
      </c>
      <c r="L25" s="32">
        <f>L23+L24</f>
        <v/>
      </c>
    </row>
    <row r="26">
      <c r="B26" t="inlineStr">
        <is>
          <t>Condiciones de pago</t>
        </is>
      </c>
      <c r="F26" s="9" t="inlineStr">
        <is>
          <t>Crédito 30 días</t>
        </is>
      </c>
      <c r="H26" s="9" t="inlineStr">
        <is>
          <t>Contado</t>
        </is>
      </c>
      <c r="J26" s="9" t="inlineStr">
        <is>
          <t>Crédito 15 días</t>
        </is>
      </c>
      <c r="L26" s="9" t="inlineStr">
        <is>
          <t>Crédito 30 días</t>
        </is>
      </c>
    </row>
    <row r="27">
      <c r="B27" t="inlineStr">
        <is>
          <t>Tiempo de entrega (días)</t>
        </is>
      </c>
      <c r="F27" s="9" t="n">
        <v>3</v>
      </c>
      <c r="H27" s="9" t="n">
        <v>5</v>
      </c>
      <c r="J27" s="9" t="n">
        <v>2</v>
      </c>
      <c r="L27" s="9" t="n">
        <v>7</v>
      </c>
    </row>
    <row r="29">
      <c r="B29" s="33" t="inlineStr">
        <is>
          <t>MEJOR OPCIÓN (menor total)</t>
        </is>
      </c>
      <c r="E29" s="31">
        <f>IF(MIN(IF(F25=0,1E+99,F25),IF(H25=0,1E+99,H25),IF(J25=0,1E+99,J25),IF(L25=0,1E+99,L25))=1E+99,"",IF(F25=MIN(IF(F25=0,1E+99,F25),IF(H25=0,1E+99,H25),IF(J25=0,1E+99,J25),IF(L25=0,1E+99,L25)),E6,IF(H25=MIN(IF(F25=0,1E+99,F25),IF(H25=0,1E+99,H25),IF(J25=0,1E+99,J25),IF(L25=0,1E+99,L25)),G6,IF(J25=MIN(IF(F25=0,1E+99,F25),IF(H25=0,1E+99,H25),IF(J25=0,1E+99,J25),IF(L25=0,1E+99,L25)),I6,IF(L25=MIN(IF(F25=0,1E+99,F25),IF(H25=0,1E+99,H25),IF(J25=0,1E+99,J25),IF(L25=0,1E+99,L25)),K6,"")))))</f>
        <v/>
      </c>
    </row>
    <row r="30">
      <c r="B30" s="34" t="inlineStr">
        <is>
          <t>Nota: si un proveedor no cotiza todas las partidas, su total no es comparable.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9">
    <mergeCell ref="F4:G4"/>
    <mergeCell ref="A1:J1"/>
    <mergeCell ref="E6:F6"/>
    <mergeCell ref="I6:J6"/>
    <mergeCell ref="K1:L2"/>
    <mergeCell ref="G6:H6"/>
    <mergeCell ref="A2:J2"/>
    <mergeCell ref="K6:L6"/>
    <mergeCell ref="B4:C4"/>
  </mergeCell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2026-10-07T18:10:57Z</dcterms:created>
  <dcterms:modified xmlns:dcterms="http://purl.org/dc/terms/" xmlns:xsi="http://www.w3.org/2001/XMLSchema-instance" xsi:type="dcterms:W3CDTF">2026-10-07T18:10:58Z</dcterms:modified>
</cp:coreProperties>
</file>