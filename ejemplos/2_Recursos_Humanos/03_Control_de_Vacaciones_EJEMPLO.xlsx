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TABLA LFT" sheetId="3" state="visible" r:id="rId3"/>
    <sheet xmlns:r="http://schemas.openxmlformats.org/officeDocument/2006/relationships" name="RESUMEN" sheetId="4" state="visible" r:id="rId4"/>
    <sheet xmlns:r="http://schemas.openxmlformats.org/officeDocument/2006/relationships" name="AYUD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&quot;$&quot;#,##0.00"/>
  </numFmts>
  <fonts count="26">
    <font>
      <name val="Calibri"/>
      <family val="2"/>
      <color theme="1"/>
      <sz val="11"/>
      <scheme val="minor"/>
    </font>
    <font>
      <name val="Abadi"/>
      <b val="1"/>
      <color rgb="00FFFFFF"/>
      <sz val="20"/>
    </font>
    <font>
      <name val="Abadi"/>
      <i val="1"/>
      <color rgb="005B6B78"/>
      <sz val="10"/>
    </font>
    <font>
      <name val="Abadi"/>
      <i val="1"/>
      <color rgb="00A6A6A6"/>
      <sz val="8"/>
    </font>
    <font>
      <name val="Abadi"/>
      <b val="1"/>
      <color rgb="000E7C8B"/>
    </font>
    <font>
      <name val="Abadi"/>
      <b val="1"/>
      <color rgb="00FFFFFF"/>
    </font>
    <font>
      <name val="Abadi"/>
      <b val="1"/>
    </font>
    <font>
      <name val="Abadi"/>
      <b val="1"/>
      <color rgb="000E7C8B"/>
      <sz val="9"/>
    </font>
    <font>
      <name val="Abadi"/>
      <b val="1"/>
      <color rgb="000B2A4A"/>
      <sz val="18"/>
    </font>
    <font>
      <name val="Abadi"/>
      <b val="1"/>
      <color rgb="00C9A227"/>
      <sz val="11"/>
    </font>
    <font>
      <name val="Abadi"/>
      <b val="1"/>
      <color rgb="00C9D3DB"/>
      <sz val="9"/>
    </font>
    <font>
      <name val="Abadi"/>
      <b val="1"/>
      <color rgb="00FFFFFF"/>
      <sz val="30"/>
    </font>
    <font>
      <name val="Abadi"/>
      <i val="1"/>
      <color rgb="00C9D3DB"/>
      <sz val="12"/>
    </font>
    <font>
      <name val="Abadi"/>
      <b val="1"/>
      <color rgb="00C9A227"/>
      <sz val="9"/>
    </font>
    <font>
      <name val="Abadi"/>
      <b val="1"/>
      <color rgb="000E7C8B"/>
      <sz val="12"/>
    </font>
    <font>
      <name val="Abadi"/>
      <b val="1"/>
      <color rgb="000B2A4A"/>
      <sz val="10"/>
    </font>
    <font>
      <name val="Abadi"/>
      <color rgb="002B2B2B"/>
      <sz val="10"/>
    </font>
    <font>
      <name val="Abadi"/>
      <b val="1"/>
      <color rgb="00C9A227"/>
      <sz val="12"/>
    </font>
    <font>
      <name val="Abadi"/>
      <b val="1"/>
      <color rgb="000E7C8B"/>
      <sz val="11"/>
    </font>
    <font>
      <name val="Abadi"/>
      <color rgb="005B6B78"/>
      <sz val="10"/>
    </font>
    <font>
      <name val="Abadi"/>
      <color rgb="00C9D3DB"/>
      <sz val="9"/>
    </font>
    <font>
      <name val="Abadi"/>
      <b val="1"/>
      <color rgb="00FFFFFF"/>
      <sz val="18"/>
    </font>
    <font>
      <name val="Abadi"/>
      <b val="1"/>
      <color rgb="00C9A227"/>
      <sz val="10"/>
    </font>
    <font>
      <name val="Abadi"/>
      <b val="1"/>
      <color rgb="000E7C8B"/>
      <sz val="10"/>
    </font>
    <font>
      <name val="Abadi"/>
      <color rgb="000B2A4A"/>
      <sz val="12"/>
    </font>
    <font>
      <name val="Abadi"/>
      <color theme="1"/>
      <sz val="11"/>
    </font>
  </fonts>
  <fills count="7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40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</border>
    <border>
      <left style="dashed">
        <color rgb="00A6A6A6"/>
      </left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left style="dashed">
        <color rgb="00A6A6A6"/>
      </left>
      <top style="dashed">
        <color rgb="00A6A6A6"/>
      </top>
    </border>
    <border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top style="thick">
        <color rgb="00C9A227"/>
      </top>
    </border>
    <border>
      <bottom style="thin">
        <color rgb="00C9D3DB"/>
      </bottom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right/>
      <bottom style="medium">
        <color rgb="00C9A227"/>
      </bottom>
    </border>
    <border>
      <left/>
      <right/>
      <top style="thin">
        <color rgb="00C9D3DB"/>
      </top>
      <bottom style="thin">
        <color rgb="00C9D3DB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 style="dashed">
        <color rgb="00A6A6A6"/>
      </left>
      <right/>
      <top/>
      <bottom/>
      <diagonal/>
    </border>
    <border>
      <left style="dashed">
        <color rgb="00A6A6A6"/>
      </left>
      <right style="dashed">
        <color rgb="00A6A6A6"/>
      </right>
      <top/>
      <bottom/>
      <diagonal/>
    </border>
    <border>
      <left style="dashed">
        <color rgb="00A6A6A6"/>
      </left>
      <right style="dashed">
        <color rgb="00A6A6A6"/>
      </right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top style="medium">
        <color rgb="00C9A227"/>
      </top>
    </border>
    <border>
      <left/>
      <right/>
      <top style="medium">
        <color rgb="00C9A227"/>
      </top>
      <bottom/>
      <diagonal/>
    </border>
    <border>
      <left/>
      <right style="thin">
        <color rgb="00C9D3DB"/>
      </right>
      <top style="medium">
        <color rgb="00C9A227"/>
      </top>
      <bottom/>
      <diagonal/>
    </border>
    <border>
      <left/>
      <right/>
      <top style="dashed">
        <color rgb="00A6A6A6"/>
      </top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bottom style="thin">
        <color rgb="00C9D3DB"/>
      </bottom>
    </border>
    <border>
      <left/>
      <right style="thin">
        <color rgb="00C9D3DB"/>
      </right>
      <top/>
      <bottom/>
      <diagonal/>
    </border>
    <border>
      <left/>
      <right style="thin">
        <color rgb="00C9D3DB"/>
      </right>
      <top/>
      <bottom style="thin">
        <color rgb="00C9D3DB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25" fillId="2" borderId="0" pivotButton="0" quotePrefix="0" xfId="0"/>
    <xf numFmtId="0" fontId="9" fillId="2" borderId="0" pivotButton="0" quotePrefix="0" xfId="0"/>
    <xf numFmtId="0" fontId="10" fillId="2" borderId="0" applyAlignment="1" pivotButton="0" quotePrefix="0" xfId="0">
      <alignment horizontal="right" vertical="center"/>
    </xf>
    <xf numFmtId="0" fontId="25" fillId="0" borderId="0" pivotButton="0" quotePrefix="0" xfId="0"/>
    <xf numFmtId="0" fontId="11" fillId="2" borderId="0" applyAlignment="1" pivotButton="0" quotePrefix="0" xfId="0">
      <alignment vertical="center" wrapText="1"/>
    </xf>
    <xf numFmtId="0" fontId="12" fillId="2" borderId="0" pivotButton="0" quotePrefix="0" xfId="0"/>
    <xf numFmtId="0" fontId="13" fillId="2" borderId="16" applyAlignment="1" pivotButton="0" quotePrefix="0" xfId="0">
      <alignment horizontal="center" vertical="center"/>
    </xf>
    <xf numFmtId="0" fontId="25" fillId="0" borderId="17" pivotButton="0" quotePrefix="0" xfId="0"/>
    <xf numFmtId="0" fontId="14" fillId="0" borderId="1" pivotButton="0" quotePrefix="0" xfId="0"/>
    <xf numFmtId="0" fontId="25" fillId="0" borderId="1" pivotButton="0" quotePrefix="0" xfId="0"/>
    <xf numFmtId="0" fontId="9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0" fontId="15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5" fillId="4" borderId="5" applyProtection="1" pivotButton="0" quotePrefix="0" xfId="0">
      <protection locked="0" hidden="0"/>
    </xf>
    <xf numFmtId="0" fontId="19" fillId="0" borderId="0" pivotButton="0" quotePrefix="0" xfId="0"/>
    <xf numFmtId="0" fontId="25" fillId="5" borderId="5" pivotButton="0" quotePrefix="0" xfId="0"/>
    <xf numFmtId="0" fontId="25" fillId="2" borderId="5" pivotButton="0" quotePrefix="0" xfId="0"/>
    <xf numFmtId="0" fontId="20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5" fillId="0" borderId="2" pivotButton="0" quotePrefix="0" xfId="0"/>
    <xf numFmtId="0" fontId="25" fillId="0" borderId="4" pivotButton="0" quotePrefix="0" xfId="0"/>
    <xf numFmtId="0" fontId="4" fillId="3" borderId="5" pivotButton="0" quotePrefix="0" xfId="0"/>
    <xf numFmtId="164" fontId="25" fillId="4" borderId="5" applyProtection="1" pivotButton="0" quotePrefix="0" xfId="0">
      <protection locked="0" hidden="0"/>
    </xf>
    <xf numFmtId="0" fontId="5" fillId="2" borderId="5" applyAlignment="1" pivotButton="0" quotePrefix="0" xfId="0">
      <alignment horizontal="center" vertical="center" wrapText="1"/>
    </xf>
    <xf numFmtId="0" fontId="25" fillId="5" borderId="5" applyAlignment="1" pivotButton="0" quotePrefix="0" xfId="0">
      <alignment horizontal="center"/>
    </xf>
    <xf numFmtId="1" fontId="25" fillId="4" borderId="5" applyProtection="1" pivotButton="0" quotePrefix="0" xfId="0">
      <protection locked="0" hidden="0"/>
    </xf>
    <xf numFmtId="165" fontId="25" fillId="5" borderId="5" pivotButton="0" quotePrefix="0" xfId="0"/>
    <xf numFmtId="165" fontId="25" fillId="4" borderId="5" applyProtection="1" pivotButton="0" quotePrefix="0" xfId="0">
      <protection locked="0" hidden="0"/>
    </xf>
    <xf numFmtId="0" fontId="6" fillId="0" borderId="0" pivotButton="0" quotePrefix="0" xfId="0"/>
    <xf numFmtId="0" fontId="3" fillId="0" borderId="6" applyAlignment="1" pivotButton="0" quotePrefix="0" xfId="0">
      <alignment horizontal="center" vertical="center" wrapText="1"/>
    </xf>
    <xf numFmtId="0" fontId="25" fillId="0" borderId="7" pivotButton="0" quotePrefix="0" xfId="0"/>
    <xf numFmtId="0" fontId="25" fillId="0" borderId="8" pivotButton="0" quotePrefix="0" xfId="0"/>
    <xf numFmtId="0" fontId="25" fillId="0" borderId="9" pivotButton="0" quotePrefix="0" xfId="0"/>
    <xf numFmtId="0" fontId="25" fillId="0" borderId="10" pivotButton="0" quotePrefix="0" xfId="0"/>
    <xf numFmtId="0" fontId="25" fillId="0" borderId="11" pivotButton="0" quotePrefix="0" xfId="0"/>
    <xf numFmtId="0" fontId="7" fillId="3" borderId="12" applyAlignment="1" pivotButton="0" quotePrefix="0" xfId="0">
      <alignment horizontal="center" vertical="center"/>
    </xf>
    <xf numFmtId="0" fontId="25" fillId="3" borderId="13" pivotButton="0" quotePrefix="0" xfId="0"/>
    <xf numFmtId="1" fontId="8" fillId="6" borderId="14" applyAlignment="1" pivotButton="0" quotePrefix="0" xfId="0">
      <alignment horizontal="center" vertical="center"/>
    </xf>
    <xf numFmtId="0" fontId="25" fillId="6" borderId="15" pivotButton="0" quotePrefix="0" xfId="0"/>
    <xf numFmtId="165" fontId="8" fillId="6" borderId="14" applyAlignment="1" pivotButton="0" quotePrefix="0" xfId="0">
      <alignment horizontal="center" vertical="center"/>
    </xf>
    <xf numFmtId="0" fontId="25" fillId="0" borderId="5" pivotButton="0" quotePrefix="0" xfId="0"/>
    <xf numFmtId="1" fontId="25" fillId="5" borderId="5" pivotButton="0" quotePrefix="0" xfId="0"/>
    <xf numFmtId="0" fontId="21" fillId="2" borderId="0" applyAlignment="1" pivotButton="0" quotePrefix="0" xfId="0">
      <alignment vertical="center"/>
    </xf>
    <xf numFmtId="0" fontId="22" fillId="2" borderId="0" pivotButton="0" quotePrefix="0" xfId="0"/>
    <xf numFmtId="0" fontId="15" fillId="0" borderId="18" applyAlignment="1" pivotButton="0" quotePrefix="0" xfId="0">
      <alignment vertical="top" wrapText="1"/>
    </xf>
    <xf numFmtId="0" fontId="16" fillId="0" borderId="18" applyAlignment="1" pivotButton="0" quotePrefix="0" xfId="0">
      <alignment vertical="top" wrapText="1"/>
    </xf>
    <xf numFmtId="0" fontId="23" fillId="0" borderId="18" pivotButton="0" quotePrefix="0" xfId="0"/>
    <xf numFmtId="0" fontId="16" fillId="0" borderId="18" applyAlignment="1" pivotButton="0" quotePrefix="0" xfId="0">
      <alignment vertical="center" wrapText="1"/>
    </xf>
    <xf numFmtId="0" fontId="24" fillId="4" borderId="5" applyAlignment="1" applyProtection="1" pivotButton="0" quotePrefix="0" xfId="0">
      <alignment horizontal="center"/>
      <protection locked="0" hidden="0"/>
    </xf>
    <xf numFmtId="0" fontId="16" fillId="0" borderId="0" pivotButton="0" quotePrefix="0" xfId="0"/>
    <xf numFmtId="0" fontId="3" fillId="0" borderId="24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7" pivotButton="0" quotePrefix="0" xfId="0"/>
    <xf numFmtId="0" fontId="0" fillId="0" borderId="23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31" pivotButton="0" quotePrefix="0" xfId="0"/>
    <xf numFmtId="0" fontId="0" fillId="0" borderId="32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7" fillId="3" borderId="28" applyAlignment="1" pivotButton="0" quotePrefix="0" xfId="0">
      <alignment horizontal="center" vertical="center"/>
    </xf>
    <xf numFmtId="0" fontId="0" fillId="0" borderId="30" pivotButton="0" quotePrefix="0" xfId="0"/>
    <xf numFmtId="1" fontId="8" fillId="6" borderId="37" applyAlignment="1" pivotButton="0" quotePrefix="0" xfId="0">
      <alignment horizontal="center" vertical="center"/>
    </xf>
    <xf numFmtId="0" fontId="0" fillId="0" borderId="39" pivotButton="0" quotePrefix="0" xfId="0"/>
    <xf numFmtId="165" fontId="8" fillId="6" borderId="3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Días de vacaciones pendientes por empleado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'RESUMEN'!C25</f>
            </strRef>
          </tx>
          <spPr>
            <a:solidFill xmlns:a="http://schemas.openxmlformats.org/drawingml/2006/main">
              <a:srgbClr val="0E7C8B"/>
            </a:solidFill>
            <a:ln xmlns:a="http://schemas.openxmlformats.org/drawingml/2006/main">
              <a:solidFill>
                <a:srgbClr val="0E7C8B"/>
              </a:solidFill>
              <a:prstDash val="solid"/>
            </a:ln>
          </spPr>
          <cat>
            <numRef>
              <f>'RESUMEN'!$B$26:$B$40</f>
            </numRef>
          </cat>
          <val>
            <numRef>
              <f>'RESUMEN'!$C$26:$C$40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8460000" cy="30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G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7" customWidth="1" min="3" max="3"/>
    <col width="27" customWidth="1" min="4" max="4"/>
    <col width="27" customWidth="1" min="5" max="5"/>
    <col width="27" customWidth="1" min="6" max="6"/>
    <col width="3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</row>
    <row r="2" ht="22" customHeight="1">
      <c r="A2" s="1" t="n"/>
      <c r="B2" s="2" t="inlineStr">
        <is>
          <t>FORMATOS ADMINISTRATIVOS</t>
        </is>
      </c>
      <c r="C2" s="1" t="n"/>
      <c r="D2" s="1" t="n"/>
      <c r="E2" s="3" t="inlineStr">
        <is>
          <t>VERSIÓN 2.0  ·  MÉXICO</t>
        </is>
      </c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0" customHeight="1">
      <c r="A4" s="1" t="n"/>
      <c r="B4" s="5" t="inlineStr">
        <is>
          <t>CONTROL DE VACACIONES</t>
        </is>
      </c>
      <c r="G4" s="1" t="n"/>
    </row>
    <row r="5" ht="30" customHeight="1">
      <c r="A5" s="1" t="n"/>
      <c r="G5" s="1" t="n"/>
    </row>
    <row r="6" ht="22" customHeight="1">
      <c r="A6" s="1" t="n"/>
      <c r="B6" s="6" t="inlineStr">
        <is>
          <t>Formato administrativo profesional · editable · listo para imprimir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 ht="4" customHeight="1">
      <c r="A8" s="1" t="n"/>
      <c r="B8" s="1" t="n"/>
      <c r="C8" s="1" t="n"/>
      <c r="D8" s="1" t="n"/>
      <c r="E8" s="1" t="n"/>
      <c r="F8" s="1" t="n"/>
      <c r="G8" s="1" t="n"/>
    </row>
    <row r="9" ht="24" customHeight="1">
      <c r="A9" s="1" t="n"/>
      <c r="B9" s="1" t="n"/>
      <c r="C9" s="7" t="inlineStr">
        <is>
          <t>FÓRMULAS AUTOMÁTICAS</t>
        </is>
      </c>
      <c r="D9" s="7" t="inlineStr">
        <is>
          <t>LISTAS DESPLEGABLES</t>
        </is>
      </c>
      <c r="E9" s="7" t="inlineStr">
        <is>
          <t>HOJAS PROTEGIDAS</t>
        </is>
      </c>
      <c r="F9" s="7" t="inlineStr">
        <is>
          <t>LISTO PARA IMPRIMIR</t>
        </is>
      </c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  <row r="13" ht="6" customHeight="1">
      <c r="A13" s="8" t="n"/>
      <c r="B13" s="8" t="n"/>
      <c r="C13" s="8" t="n"/>
      <c r="D13" s="8" t="n"/>
      <c r="E13" s="8" t="n"/>
      <c r="F13" s="8" t="n"/>
      <c r="G13" s="8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 ht="24" customHeight="1">
      <c r="A15" s="4" t="n"/>
      <c r="B15" s="9" t="inlineStr">
        <is>
          <t>¿QUÉ INCLUYE ESTE ARCHIVO?</t>
        </is>
      </c>
      <c r="C15" s="10" t="n"/>
      <c r="D15" s="10" t="n"/>
      <c r="E15" s="10" t="n"/>
      <c r="F15" s="10" t="n"/>
      <c r="G15" s="4" t="n"/>
    </row>
    <row r="16" ht="36" customHeight="1">
      <c r="A16" s="4" t="n"/>
      <c r="B16" s="11" t="inlineStr">
        <is>
          <t>▸</t>
        </is>
      </c>
      <c r="C16" s="12" t="inlineStr">
        <is>
          <t>FORMATO</t>
        </is>
      </c>
      <c r="D16" s="13" t="inlineStr">
        <is>
          <t>Hoja principal de captura. Aquí registras tu información; las celdas grises calculan solas.</t>
        </is>
      </c>
      <c r="G16" s="4" t="n"/>
    </row>
    <row r="17" ht="21" customHeight="1">
      <c r="A17" s="4" t="n"/>
      <c r="B17" s="11" t="inlineStr">
        <is>
          <t>▸</t>
        </is>
      </c>
      <c r="C17" s="12" t="inlineStr">
        <is>
          <t>TABLA LFT</t>
        </is>
      </c>
      <c r="D17" s="13" t="inlineStr">
        <is>
          <t>Días de vacaciones por antigüedad conforme a la Ley Federal del Trabajo.</t>
        </is>
      </c>
      <c r="G17" s="4" t="n"/>
    </row>
    <row r="18" ht="36" customHeight="1">
      <c r="A18" s="4" t="n"/>
      <c r="B18" s="11" t="inlineStr">
        <is>
          <t>▸</t>
        </is>
      </c>
      <c r="C18" s="12" t="inlineStr">
        <is>
          <t>RESUMEN</t>
        </is>
      </c>
      <c r="D18" s="13" t="inlineStr">
        <is>
          <t>Tablero con indicadores y gráficas que se actualizan automáticamente con tus datos.</t>
        </is>
      </c>
      <c r="G18" s="4" t="n"/>
    </row>
    <row r="19" ht="21" customHeight="1">
      <c r="A19" s="4" t="n"/>
      <c r="B19" s="11" t="inlineStr">
        <is>
          <t>▸</t>
        </is>
      </c>
      <c r="C19" s="14" t="inlineStr">
        <is>
          <t>AYUDA</t>
        </is>
      </c>
      <c r="D19" s="13" t="inlineStr">
        <is>
          <t>Preguntas frecuentes, glosario y lista de verificación para cerrar tu periodo.</t>
        </is>
      </c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 ht="24" customHeight="1">
      <c r="A21" s="4" t="n"/>
      <c r="B21" s="9" t="inlineStr">
        <is>
          <t>CÓMO USARLO</t>
        </is>
      </c>
      <c r="C21" s="10" t="n"/>
      <c r="D21" s="10" t="n"/>
      <c r="E21" s="10" t="n"/>
      <c r="F21" s="10" t="n"/>
      <c r="G21" s="4" t="n"/>
    </row>
    <row r="22" ht="21" customHeight="1">
      <c r="A22" s="4" t="n"/>
      <c r="B22" s="15" t="n">
        <v>1</v>
      </c>
      <c r="C22" s="13" t="inlineStr">
        <is>
          <t>Captura fecha de ingreso, días tomados y sueldo diario de cada empleado.</t>
        </is>
      </c>
      <c r="G22" s="4" t="n"/>
    </row>
    <row r="23" ht="36" customHeight="1">
      <c r="A23" s="4" t="n"/>
      <c r="B23" s="15" t="n">
        <v>2</v>
      </c>
      <c r="C23" s="13" t="inlineStr">
        <is>
          <t>Los años de servicio y los días que corresponden se calculan con la tabla de la Ley Federal del Trabajo (hoja 'Tabla LFT').</t>
        </is>
      </c>
      <c r="G23" s="4" t="n"/>
    </row>
    <row r="24" ht="21" customHeight="1">
      <c r="A24" s="4" t="n"/>
      <c r="B24" s="15" t="n">
        <v>3</v>
      </c>
      <c r="C24" s="13" t="inlineStr">
        <is>
          <t>La prima vacacional (25%) se calcula sobre los días pendientes.</t>
        </is>
      </c>
      <c r="G24" s="4" t="n"/>
    </row>
    <row r="25" ht="21" customHeight="1">
      <c r="A25" s="4" t="n"/>
      <c r="B25" s="15" t="n">
        <v>4</v>
      </c>
      <c r="C25" s="13" t="inlineStr">
        <is>
          <t>Verifica siempre la tabla contra la legislación vigente y tu contrato colectivo, si aplica.</t>
        </is>
      </c>
      <c r="G25" s="4" t="n"/>
    </row>
    <row r="26" ht="36" customHeight="1">
      <c r="A26" s="4" t="n"/>
      <c r="B26" s="15" t="n">
        <v>5</v>
      </c>
      <c r="C26" s="13" t="inlineStr">
        <is>
          <t>Personaliza: inserta tu logotipo en el recuadro punteado de la esquina superior derecha (Insertar &gt; Imágenes) y captura los datos de tu empresa en las celdas de captura.</t>
        </is>
      </c>
      <c r="G26" s="4" t="n"/>
    </row>
    <row r="27">
      <c r="A27" s="4" t="n"/>
      <c r="B27" s="4" t="n"/>
      <c r="C27" s="4" t="n"/>
      <c r="D27" s="4" t="n"/>
      <c r="E27" s="4" t="n"/>
      <c r="F27" s="4" t="n"/>
      <c r="G27" s="4" t="n"/>
    </row>
    <row r="28" ht="24" customHeight="1">
      <c r="A28" s="4" t="n"/>
      <c r="B28" s="9" t="inlineStr">
        <is>
          <t>RECOMENDACIONES DE USO</t>
        </is>
      </c>
      <c r="C28" s="10" t="n"/>
      <c r="D28" s="10" t="n"/>
      <c r="E28" s="10" t="n"/>
      <c r="F28" s="10" t="n"/>
      <c r="G28" s="4" t="n"/>
    </row>
    <row r="29" ht="21" customHeight="1">
      <c r="A29" s="4" t="n"/>
      <c r="B29" s="16" t="inlineStr">
        <is>
          <t>✓</t>
        </is>
      </c>
      <c r="C29" s="13" t="inlineStr">
        <is>
          <t>Los días corresponden por años cumplidos según la LFT vigente (reforma 'Vacaciones Dignas', 2023).</t>
        </is>
      </c>
      <c r="G29" s="4" t="n"/>
    </row>
    <row r="30" ht="21" customHeight="1">
      <c r="A30" s="4" t="n"/>
      <c r="B30" s="16" t="inlineStr">
        <is>
          <t>✓</t>
        </is>
      </c>
      <c r="C30" s="13" t="inlineStr">
        <is>
          <t>La prima vacacional mínima es 25% sobre los salarios de los días de vacaciones.</t>
        </is>
      </c>
      <c r="G30" s="4" t="n"/>
    </row>
    <row r="31" ht="21" customHeight="1">
      <c r="A31" s="4" t="n"/>
      <c r="B31" s="16" t="inlineStr">
        <is>
          <t>✓</t>
        </is>
      </c>
      <c r="C31" s="13" t="inlineStr">
        <is>
          <t>Las vacaciones deben disfrutarse dentro de los 6 meses siguientes al cumplir el año de servicio.</t>
        </is>
      </c>
      <c r="G31" s="4" t="n"/>
    </row>
    <row r="32" ht="21" customHeight="1">
      <c r="A32" s="4" t="n"/>
      <c r="B32" s="16" t="inlineStr">
        <is>
          <t>✓</t>
        </is>
      </c>
      <c r="C32" s="13" t="inlineStr">
        <is>
          <t>Revisa tu contrato colectivo: puede otorgar más días que la ley.</t>
        </is>
      </c>
      <c r="G32" s="4" t="n"/>
    </row>
    <row r="33">
      <c r="A33" s="4" t="n"/>
      <c r="B33" s="4" t="n"/>
      <c r="C33" s="4" t="n"/>
      <c r="D33" s="4" t="n"/>
      <c r="E33" s="4" t="n"/>
      <c r="F33" s="4" t="n"/>
      <c r="G33" s="4" t="n"/>
    </row>
    <row r="34" ht="24" customHeight="1">
      <c r="A34" s="4" t="n"/>
      <c r="B34" s="9" t="inlineStr">
        <is>
          <t>LEYENDA DE COLORES</t>
        </is>
      </c>
      <c r="C34" s="10" t="n"/>
      <c r="D34" s="10" t="n"/>
      <c r="E34" s="10" t="n"/>
      <c r="F34" s="10" t="n"/>
      <c r="G34" s="4" t="n"/>
    </row>
    <row r="35">
      <c r="A35" s="4" t="n"/>
      <c r="B35" s="17" t="inlineStr"/>
      <c r="C35" s="18" t="inlineStr">
        <is>
          <t>CELDA DE CAPTURA: escribe aquí.</t>
        </is>
      </c>
      <c r="D35" s="4" t="n"/>
      <c r="E35" s="4" t="n"/>
      <c r="F35" s="4" t="n"/>
      <c r="G35" s="4" t="n"/>
    </row>
    <row r="36">
      <c r="A36" s="4" t="n"/>
      <c r="B36" s="19" t="inlineStr"/>
      <c r="C36" s="18" t="inlineStr">
        <is>
          <t>CÁLCULO AUTOMÁTICO: no la modifiques.</t>
        </is>
      </c>
      <c r="D36" s="4" t="n"/>
      <c r="E36" s="4" t="n"/>
      <c r="F36" s="4" t="n"/>
      <c r="G36" s="4" t="n"/>
    </row>
    <row r="37">
      <c r="A37" s="4" t="n"/>
      <c r="B37" s="20" t="inlineStr"/>
      <c r="C37" s="18" t="inlineStr">
        <is>
          <t>ENCABEZADOS Y TÍTULOS.</t>
        </is>
      </c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 ht="26" customHeight="1">
      <c r="A39" s="1" t="n"/>
      <c r="B39" s="21" t="inlineStr">
        <is>
          <t>Formatos administrativos  ·  Para uso interno de tu empresa</t>
        </is>
      </c>
      <c r="G39" s="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7">
    <mergeCell ref="C22:F22"/>
    <mergeCell ref="D19:F19"/>
    <mergeCell ref="C31:F31"/>
    <mergeCell ref="C23:F23"/>
    <mergeCell ref="B6:F6"/>
    <mergeCell ref="B39:F39"/>
    <mergeCell ref="E2:F2"/>
    <mergeCell ref="C26:F26"/>
    <mergeCell ref="D18:F18"/>
    <mergeCell ref="C29:F29"/>
    <mergeCell ref="C30:F30"/>
    <mergeCell ref="D17:F17"/>
    <mergeCell ref="D16:F16"/>
    <mergeCell ref="C25:F25"/>
    <mergeCell ref="C32:F32"/>
    <mergeCell ref="C24:F24"/>
    <mergeCell ref="B4:F5"/>
  </mergeCells>
  <printOptions horizontalCentered="1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I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.05" customWidth="1" min="1" max="1"/>
    <col width="28" customWidth="1" min="2" max="2"/>
    <col width="14" customWidth="1" min="3" max="3"/>
    <col width="12" customWidth="1" min="4" max="4"/>
    <col width="14" customWidth="1" min="5" max="5"/>
    <col width="18.1" customWidth="1" min="6" max="6"/>
    <col width="14" customWidth="1" min="7" max="7"/>
    <col width="14" customWidth="1" min="8" max="8"/>
    <col width="24" customWidth="1" min="9" max="9"/>
  </cols>
  <sheetData>
    <row r="1" ht="44" customHeight="1">
      <c r="A1" s="22" t="inlineStr">
        <is>
          <t>CONTROL DE VACACIONES</t>
        </is>
      </c>
      <c r="I1" s="56" t="inlineStr">
        <is>
          <t>INSERTE SU LOGO
(clic derecho &gt; Insertar imagen)</t>
        </is>
      </c>
    </row>
    <row r="2" ht="26" customHeight="1">
      <c r="A2" s="57" t="inlineStr">
        <is>
          <t>Días según antigüedad (Reforma Vacaciones Dignas, LFT 2023)</t>
        </is>
      </c>
      <c r="B2" s="58" t="n"/>
      <c r="C2" s="58" t="n"/>
      <c r="D2" s="58" t="n"/>
      <c r="E2" s="58" t="n"/>
      <c r="F2" s="58" t="n"/>
      <c r="G2" s="58" t="n"/>
      <c r="H2" s="58" t="n"/>
      <c r="I2" s="59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27" t="inlineStr">
        <is>
          <t>EMPRESA</t>
        </is>
      </c>
      <c r="B4" s="17" t="inlineStr">
        <is>
          <t>COMERCIALIZADORA EJEMPLO S.A. DE C.V.</t>
        </is>
      </c>
      <c r="C4" s="60" t="n"/>
      <c r="D4" s="61" t="n"/>
      <c r="E4" s="4" t="n"/>
      <c r="F4" s="27" t="inlineStr">
        <is>
          <t>FECHA DE CORTE</t>
        </is>
      </c>
      <c r="G4" s="28" t="n">
        <v>46302</v>
      </c>
      <c r="H4" s="61" t="n"/>
      <c r="I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</row>
    <row r="6" ht="32" customHeight="1">
      <c r="A6" s="29" t="inlineStr">
        <is>
          <t>NO.</t>
        </is>
      </c>
      <c r="B6" s="29" t="inlineStr">
        <is>
          <t>EMPLEADO</t>
        </is>
      </c>
      <c r="C6" s="29" t="inlineStr">
        <is>
          <t>FECHA INGRESO</t>
        </is>
      </c>
      <c r="D6" s="29" t="inlineStr">
        <is>
          <t>AÑOS CUMPLIDOS</t>
        </is>
      </c>
      <c r="E6" s="29" t="inlineStr">
        <is>
          <t>DÍAS QUE CORRESPONDEN</t>
        </is>
      </c>
      <c r="F6" s="29" t="inlineStr">
        <is>
          <t>DÍAS TOMADOS</t>
        </is>
      </c>
      <c r="G6" s="29" t="inlineStr">
        <is>
          <t>DÍAS PENDIENTES</t>
        </is>
      </c>
      <c r="H6" s="29" t="inlineStr">
        <is>
          <t>PRIMA VACACIONAL 25%</t>
        </is>
      </c>
      <c r="I6" s="29" t="inlineStr">
        <is>
          <t>SUELDO DIARIO</t>
        </is>
      </c>
    </row>
    <row r="7">
      <c r="A7" s="30" t="n">
        <v>1</v>
      </c>
      <c r="B7" s="17" t="inlineStr">
        <is>
          <t>ANA LÓPEZ RAMÍREZ</t>
        </is>
      </c>
      <c r="C7" s="28" t="n">
        <v>43528</v>
      </c>
      <c r="D7" s="19">
        <f>IF(C7="","",DATEDIF(C7,$G$4,"Y"))</f>
        <v/>
      </c>
      <c r="E7" s="19">
        <f>IF(C7="","",IF(D7&lt;1,0,LOOKUP(D7,'TABLA LFT'!$A$2:$A$12,'TABLA LFT'!$B$2:$B$12)))</f>
        <v/>
      </c>
      <c r="F7" s="31" t="n">
        <v>6</v>
      </c>
      <c r="G7" s="19">
        <f>IF(C7="","",E7-F7)</f>
        <v/>
      </c>
      <c r="H7" s="32">
        <f>IF(OR(C7="",I7=""),"",ROUND(I7*G7*0.25,2))</f>
        <v/>
      </c>
      <c r="I7" s="33" t="n">
        <v>520</v>
      </c>
    </row>
    <row r="8">
      <c r="A8" s="30" t="n">
        <v>2</v>
      </c>
      <c r="B8" s="17" t="inlineStr">
        <is>
          <t>CARLOS PÉREZ SOTO</t>
        </is>
      </c>
      <c r="C8" s="28" t="n">
        <v>45152</v>
      </c>
      <c r="D8" s="19">
        <f>IF(C8="","",DATEDIF(C8,$G$4,"Y"))</f>
        <v/>
      </c>
      <c r="E8" s="19">
        <f>IF(C8="","",IF(D8&lt;1,0,LOOKUP(D8,'TABLA LFT'!$A$2:$A$12,'TABLA LFT'!$B$2:$B$12)))</f>
        <v/>
      </c>
      <c r="F8" s="31" t="n">
        <v>0</v>
      </c>
      <c r="G8" s="19">
        <f>IF(C8="","",E8-F8)</f>
        <v/>
      </c>
      <c r="H8" s="32">
        <f>IF(OR(C8="",I8=""),"",ROUND(I8*G8*0.25,2))</f>
        <v/>
      </c>
      <c r="I8" s="33" t="n">
        <v>410</v>
      </c>
    </row>
    <row r="9">
      <c r="A9" s="30" t="n">
        <v>3</v>
      </c>
      <c r="B9" s="17" t="inlineStr">
        <is>
          <t>LAURA MÉNDEZ CRUZ</t>
        </is>
      </c>
      <c r="C9" s="28" t="n">
        <v>42380</v>
      </c>
      <c r="D9" s="19">
        <f>IF(C9="","",DATEDIF(C9,$G$4,"Y"))</f>
        <v/>
      </c>
      <c r="E9" s="19">
        <f>IF(C9="","",IF(D9&lt;1,0,LOOKUP(D9,'TABLA LFT'!$A$2:$A$12,'TABLA LFT'!$B$2:$B$12)))</f>
        <v/>
      </c>
      <c r="F9" s="31" t="n">
        <v>10</v>
      </c>
      <c r="G9" s="19">
        <f>IF(C9="","",E9-F9)</f>
        <v/>
      </c>
      <c r="H9" s="32">
        <f>IF(OR(C9="",I9=""),"",ROUND(I9*G9*0.25,2))</f>
        <v/>
      </c>
      <c r="I9" s="33" t="n">
        <v>680</v>
      </c>
    </row>
    <row r="10">
      <c r="A10" s="30" t="n">
        <v>4</v>
      </c>
      <c r="B10" s="17" t="inlineStr">
        <is>
          <t>JOSÉ HERNÁNDEZ RUIZ</t>
        </is>
      </c>
      <c r="C10" s="28" t="n">
        <v>45691</v>
      </c>
      <c r="D10" s="19">
        <f>IF(C10="","",DATEDIF(C10,$G$4,"Y"))</f>
        <v/>
      </c>
      <c r="E10" s="19">
        <f>IF(C10="","",IF(D10&lt;1,0,LOOKUP(D10,'TABLA LFT'!$A$2:$A$12,'TABLA LFT'!$B$2:$B$12)))</f>
        <v/>
      </c>
      <c r="F10" s="31" t="n">
        <v>0</v>
      </c>
      <c r="G10" s="19">
        <f>IF(C10="","",E10-F10)</f>
        <v/>
      </c>
      <c r="H10" s="32">
        <f>IF(OR(C10="",I10=""),"",ROUND(I10*G10*0.25,2))</f>
        <v/>
      </c>
      <c r="I10" s="33" t="n">
        <v>350</v>
      </c>
    </row>
    <row r="11">
      <c r="A11" s="30" t="n">
        <v>5</v>
      </c>
      <c r="B11" s="17" t="inlineStr">
        <is>
          <t>PATRICIA NÚÑEZ VEGA</t>
        </is>
      </c>
      <c r="C11" s="28" t="n">
        <v>44368</v>
      </c>
      <c r="D11" s="19">
        <f>IF(C11="","",DATEDIF(C11,$G$4,"Y"))</f>
        <v/>
      </c>
      <c r="E11" s="19">
        <f>IF(C11="","",IF(D11&lt;1,0,LOOKUP(D11,'TABLA LFT'!$A$2:$A$12,'TABLA LFT'!$B$2:$B$12)))</f>
        <v/>
      </c>
      <c r="F11" s="31" t="n">
        <v>8</v>
      </c>
      <c r="G11" s="19">
        <f>IF(C11="","",E11-F11)</f>
        <v/>
      </c>
      <c r="H11" s="32">
        <f>IF(OR(C11="",I11=""),"",ROUND(I11*G11*0.25,2))</f>
        <v/>
      </c>
      <c r="I11" s="33" t="n">
        <v>460</v>
      </c>
    </row>
    <row r="12">
      <c r="A12" s="30" t="n">
        <v>6</v>
      </c>
      <c r="B12" s="17" t="n"/>
      <c r="C12" s="28" t="n"/>
      <c r="D12" s="19">
        <f>IF(C12="","",DATEDIF(C12,$G$4,"Y"))</f>
        <v/>
      </c>
      <c r="E12" s="19">
        <f>IF(C12="","",IF(D12&lt;1,0,LOOKUP(D12,'TABLA LFT'!$A$2:$A$12,'TABLA LFT'!$B$2:$B$12)))</f>
        <v/>
      </c>
      <c r="F12" s="31" t="n"/>
      <c r="G12" s="19">
        <f>IF(C12="","",E12-F12)</f>
        <v/>
      </c>
      <c r="H12" s="32">
        <f>IF(OR(C12="",I12=""),"",ROUND(I12*G12*0.25,2))</f>
        <v/>
      </c>
      <c r="I12" s="33" t="n"/>
    </row>
    <row r="13">
      <c r="A13" s="30" t="n">
        <v>7</v>
      </c>
      <c r="B13" s="17" t="n"/>
      <c r="C13" s="28" t="n"/>
      <c r="D13" s="19">
        <f>IF(C13="","",DATEDIF(C13,$G$4,"Y"))</f>
        <v/>
      </c>
      <c r="E13" s="19">
        <f>IF(C13="","",IF(D13&lt;1,0,LOOKUP(D13,'TABLA LFT'!$A$2:$A$12,'TABLA LFT'!$B$2:$B$12)))</f>
        <v/>
      </c>
      <c r="F13" s="31" t="n"/>
      <c r="G13" s="19">
        <f>IF(C13="","",E13-F13)</f>
        <v/>
      </c>
      <c r="H13" s="32">
        <f>IF(OR(C13="",I13=""),"",ROUND(I13*G13*0.25,2))</f>
        <v/>
      </c>
      <c r="I13" s="33" t="n"/>
    </row>
    <row r="14">
      <c r="A14" s="30" t="n">
        <v>8</v>
      </c>
      <c r="B14" s="17" t="n"/>
      <c r="C14" s="28" t="n"/>
      <c r="D14" s="19">
        <f>IF(C14="","",DATEDIF(C14,$G$4,"Y"))</f>
        <v/>
      </c>
      <c r="E14" s="19">
        <f>IF(C14="","",IF(D14&lt;1,0,LOOKUP(D14,'TABLA LFT'!$A$2:$A$12,'TABLA LFT'!$B$2:$B$12)))</f>
        <v/>
      </c>
      <c r="F14" s="31" t="n"/>
      <c r="G14" s="19">
        <f>IF(C14="","",E14-F14)</f>
        <v/>
      </c>
      <c r="H14" s="32">
        <f>IF(OR(C14="",I14=""),"",ROUND(I14*G14*0.25,2))</f>
        <v/>
      </c>
      <c r="I14" s="33" t="n"/>
    </row>
    <row r="15">
      <c r="A15" s="30" t="n">
        <v>9</v>
      </c>
      <c r="B15" s="17" t="n"/>
      <c r="C15" s="28" t="n"/>
      <c r="D15" s="19">
        <f>IF(C15="","",DATEDIF(C15,$G$4,"Y"))</f>
        <v/>
      </c>
      <c r="E15" s="19">
        <f>IF(C15="","",IF(D15&lt;1,0,LOOKUP(D15,'TABLA LFT'!$A$2:$A$12,'TABLA LFT'!$B$2:$B$12)))</f>
        <v/>
      </c>
      <c r="F15" s="31" t="n"/>
      <c r="G15" s="19">
        <f>IF(C15="","",E15-F15)</f>
        <v/>
      </c>
      <c r="H15" s="32">
        <f>IF(OR(C15="",I15=""),"",ROUND(I15*G15*0.25,2))</f>
        <v/>
      </c>
      <c r="I15" s="33" t="n"/>
    </row>
    <row r="16">
      <c r="A16" s="30" t="n">
        <v>10</v>
      </c>
      <c r="B16" s="17" t="n"/>
      <c r="C16" s="28" t="n"/>
      <c r="D16" s="19">
        <f>IF(C16="","",DATEDIF(C16,$G$4,"Y"))</f>
        <v/>
      </c>
      <c r="E16" s="19">
        <f>IF(C16="","",IF(D16&lt;1,0,LOOKUP(D16,'TABLA LFT'!$A$2:$A$12,'TABLA LFT'!$B$2:$B$12)))</f>
        <v/>
      </c>
      <c r="F16" s="31" t="n"/>
      <c r="G16" s="19">
        <f>IF(C16="","",E16-F16)</f>
        <v/>
      </c>
      <c r="H16" s="32">
        <f>IF(OR(C16="",I16=""),"",ROUND(I16*G16*0.25,2))</f>
        <v/>
      </c>
      <c r="I16" s="33" t="n"/>
    </row>
    <row r="17">
      <c r="A17" s="30" t="n">
        <v>11</v>
      </c>
      <c r="B17" s="17" t="n"/>
      <c r="C17" s="28" t="n"/>
      <c r="D17" s="19">
        <f>IF(C17="","",DATEDIF(C17,$G$4,"Y"))</f>
        <v/>
      </c>
      <c r="E17" s="19">
        <f>IF(C17="","",IF(D17&lt;1,0,LOOKUP(D17,'TABLA LFT'!$A$2:$A$12,'TABLA LFT'!$B$2:$B$12)))</f>
        <v/>
      </c>
      <c r="F17" s="31" t="n"/>
      <c r="G17" s="19">
        <f>IF(C17="","",E17-F17)</f>
        <v/>
      </c>
      <c r="H17" s="32">
        <f>IF(OR(C17="",I17=""),"",ROUND(I17*G17*0.25,2))</f>
        <v/>
      </c>
      <c r="I17" s="33" t="n"/>
    </row>
    <row r="18">
      <c r="A18" s="30" t="n">
        <v>12</v>
      </c>
      <c r="B18" s="17" t="n"/>
      <c r="C18" s="28" t="n"/>
      <c r="D18" s="19">
        <f>IF(C18="","",DATEDIF(C18,$G$4,"Y"))</f>
        <v/>
      </c>
      <c r="E18" s="19">
        <f>IF(C18="","",IF(D18&lt;1,0,LOOKUP(D18,'TABLA LFT'!$A$2:$A$12,'TABLA LFT'!$B$2:$B$12)))</f>
        <v/>
      </c>
      <c r="F18" s="31" t="n"/>
      <c r="G18" s="19">
        <f>IF(C18="","",E18-F18)</f>
        <v/>
      </c>
      <c r="H18" s="32">
        <f>IF(OR(C18="",I18=""),"",ROUND(I18*G18*0.25,2))</f>
        <v/>
      </c>
      <c r="I18" s="33" t="n"/>
    </row>
    <row r="19">
      <c r="A19" s="30" t="n">
        <v>13</v>
      </c>
      <c r="B19" s="17" t="n"/>
      <c r="C19" s="28" t="n"/>
      <c r="D19" s="19">
        <f>IF(C19="","",DATEDIF(C19,$G$4,"Y"))</f>
        <v/>
      </c>
      <c r="E19" s="19">
        <f>IF(C19="","",IF(D19&lt;1,0,LOOKUP(D19,'TABLA LFT'!$A$2:$A$12,'TABLA LFT'!$B$2:$B$12)))</f>
        <v/>
      </c>
      <c r="F19" s="31" t="n"/>
      <c r="G19" s="19">
        <f>IF(C19="","",E19-F19)</f>
        <v/>
      </c>
      <c r="H19" s="32">
        <f>IF(OR(C19="",I19=""),"",ROUND(I19*G19*0.25,2))</f>
        <v/>
      </c>
      <c r="I19" s="33" t="n"/>
    </row>
    <row r="20">
      <c r="A20" s="30" t="n">
        <v>14</v>
      </c>
      <c r="B20" s="17" t="n"/>
      <c r="C20" s="28" t="n"/>
      <c r="D20" s="19">
        <f>IF(C20="","",DATEDIF(C20,$G$4,"Y"))</f>
        <v/>
      </c>
      <c r="E20" s="19">
        <f>IF(C20="","",IF(D20&lt;1,0,LOOKUP(D20,'TABLA LFT'!$A$2:$A$12,'TABLA LFT'!$B$2:$B$12)))</f>
        <v/>
      </c>
      <c r="F20" s="31" t="n"/>
      <c r="G20" s="19">
        <f>IF(C20="","",E20-F20)</f>
        <v/>
      </c>
      <c r="H20" s="32">
        <f>IF(OR(C20="",I20=""),"",ROUND(I20*G20*0.25,2))</f>
        <v/>
      </c>
      <c r="I20" s="33" t="n"/>
    </row>
    <row r="21">
      <c r="A21" s="30" t="n">
        <v>15</v>
      </c>
      <c r="B21" s="17" t="n"/>
      <c r="C21" s="28" t="n"/>
      <c r="D21" s="19">
        <f>IF(C21="","",DATEDIF(C21,$G$4,"Y"))</f>
        <v/>
      </c>
      <c r="E21" s="19">
        <f>IF(C21="","",IF(D21&lt;1,0,LOOKUP(D21,'TABLA LFT'!$A$2:$A$12,'TABLA LFT'!$B$2:$B$12)))</f>
        <v/>
      </c>
      <c r="F21" s="31" t="n"/>
      <c r="G21" s="19">
        <f>IF(C21="","",E21-F21)</f>
        <v/>
      </c>
      <c r="H21" s="32">
        <f>IF(OR(C21="",I21=""),"",ROUND(I21*G21*0.25,2))</f>
        <v/>
      </c>
      <c r="I21" s="33" t="n"/>
    </row>
    <row r="22">
      <c r="A22" s="30" t="n">
        <v>16</v>
      </c>
      <c r="B22" s="17" t="n"/>
      <c r="C22" s="28" t="n"/>
      <c r="D22" s="19">
        <f>IF(C22="","",DATEDIF(C22,$G$4,"Y"))</f>
        <v/>
      </c>
      <c r="E22" s="19">
        <f>IF(C22="","",IF(D22&lt;1,0,LOOKUP(D22,'TABLA LFT'!$A$2:$A$12,'TABLA LFT'!$B$2:$B$12)))</f>
        <v/>
      </c>
      <c r="F22" s="31" t="n"/>
      <c r="G22" s="19">
        <f>IF(C22="","",E22-F22)</f>
        <v/>
      </c>
      <c r="H22" s="32">
        <f>IF(OR(C22="",I22=""),"",ROUND(I22*G22*0.25,2))</f>
        <v/>
      </c>
      <c r="I22" s="33" t="n"/>
    </row>
    <row r="23">
      <c r="A23" s="30" t="n">
        <v>17</v>
      </c>
      <c r="B23" s="17" t="n"/>
      <c r="C23" s="28" t="n"/>
      <c r="D23" s="19">
        <f>IF(C23="","",DATEDIF(C23,$G$4,"Y"))</f>
        <v/>
      </c>
      <c r="E23" s="19">
        <f>IF(C23="","",IF(D23&lt;1,0,LOOKUP(D23,'TABLA LFT'!$A$2:$A$12,'TABLA LFT'!$B$2:$B$12)))</f>
        <v/>
      </c>
      <c r="F23" s="31" t="n"/>
      <c r="G23" s="19">
        <f>IF(C23="","",E23-F23)</f>
        <v/>
      </c>
      <c r="H23" s="32">
        <f>IF(OR(C23="",I23=""),"",ROUND(I23*G23*0.25,2))</f>
        <v/>
      </c>
      <c r="I23" s="33" t="n"/>
    </row>
    <row r="24">
      <c r="A24" s="30" t="n">
        <v>18</v>
      </c>
      <c r="B24" s="17" t="n"/>
      <c r="C24" s="28" t="n"/>
      <c r="D24" s="19">
        <f>IF(C24="","",DATEDIF(C24,$G$4,"Y"))</f>
        <v/>
      </c>
      <c r="E24" s="19">
        <f>IF(C24="","",IF(D24&lt;1,0,LOOKUP(D24,'TABLA LFT'!$A$2:$A$12,'TABLA LFT'!$B$2:$B$12)))</f>
        <v/>
      </c>
      <c r="F24" s="31" t="n"/>
      <c r="G24" s="19">
        <f>IF(C24="","",E24-F24)</f>
        <v/>
      </c>
      <c r="H24" s="32">
        <f>IF(OR(C24="",I24=""),"",ROUND(I24*G24*0.25,2))</f>
        <v/>
      </c>
      <c r="I24" s="33" t="n"/>
    </row>
    <row r="25">
      <c r="A25" s="30" t="n">
        <v>19</v>
      </c>
      <c r="B25" s="17" t="n"/>
      <c r="C25" s="28" t="n"/>
      <c r="D25" s="19">
        <f>IF(C25="","",DATEDIF(C25,$G$4,"Y"))</f>
        <v/>
      </c>
      <c r="E25" s="19">
        <f>IF(C25="","",IF(D25&lt;1,0,LOOKUP(D25,'TABLA LFT'!$A$2:$A$12,'TABLA LFT'!$B$2:$B$12)))</f>
        <v/>
      </c>
      <c r="F25" s="31" t="n"/>
      <c r="G25" s="19">
        <f>IF(C25="","",E25-F25)</f>
        <v/>
      </c>
      <c r="H25" s="32">
        <f>IF(OR(C25="",I25=""),"",ROUND(I25*G25*0.25,2))</f>
        <v/>
      </c>
      <c r="I25" s="33" t="n"/>
    </row>
    <row r="26">
      <c r="A26" s="30" t="n">
        <v>20</v>
      </c>
      <c r="B26" s="17" t="n"/>
      <c r="C26" s="28" t="n"/>
      <c r="D26" s="19">
        <f>IF(C26="","",DATEDIF(C26,$G$4,"Y"))</f>
        <v/>
      </c>
      <c r="E26" s="19">
        <f>IF(C26="","",IF(D26&lt;1,0,LOOKUP(D26,'TABLA LFT'!$A$2:$A$12,'TABLA LFT'!$B$2:$B$12)))</f>
        <v/>
      </c>
      <c r="F26" s="31" t="n"/>
      <c r="G26" s="19">
        <f>IF(C26="","",E26-F26)</f>
        <v/>
      </c>
      <c r="H26" s="32">
        <f>IF(OR(C26="",I26=""),"",ROUND(I26*G26*0.25,2))</f>
        <v/>
      </c>
      <c r="I26" s="33" t="n"/>
    </row>
    <row r="27">
      <c r="A27" s="30" t="n">
        <v>21</v>
      </c>
      <c r="B27" s="17" t="n"/>
      <c r="C27" s="28" t="n"/>
      <c r="D27" s="19">
        <f>IF(C27="","",DATEDIF(C27,$G$4,"Y"))</f>
        <v/>
      </c>
      <c r="E27" s="19">
        <f>IF(C27="","",IF(D27&lt;1,0,LOOKUP(D27,'TABLA LFT'!$A$2:$A$12,'TABLA LFT'!$B$2:$B$12)))</f>
        <v/>
      </c>
      <c r="F27" s="31" t="n"/>
      <c r="G27" s="19">
        <f>IF(C27="","",E27-F27)</f>
        <v/>
      </c>
      <c r="H27" s="32">
        <f>IF(OR(C27="",I27=""),"",ROUND(I27*G27*0.25,2))</f>
        <v/>
      </c>
      <c r="I27" s="33" t="n"/>
    </row>
    <row r="28">
      <c r="A28" s="30" t="n">
        <v>22</v>
      </c>
      <c r="B28" s="17" t="n"/>
      <c r="C28" s="28" t="n"/>
      <c r="D28" s="19">
        <f>IF(C28="","",DATEDIF(C28,$G$4,"Y"))</f>
        <v/>
      </c>
      <c r="E28" s="19">
        <f>IF(C28="","",IF(D28&lt;1,0,LOOKUP(D28,'TABLA LFT'!$A$2:$A$12,'TABLA LFT'!$B$2:$B$12)))</f>
        <v/>
      </c>
      <c r="F28" s="31" t="n"/>
      <c r="G28" s="19">
        <f>IF(C28="","",E28-F28)</f>
        <v/>
      </c>
      <c r="H28" s="32">
        <f>IF(OR(C28="",I28=""),"",ROUND(I28*G28*0.25,2))</f>
        <v/>
      </c>
      <c r="I28" s="33" t="n"/>
    </row>
    <row r="29">
      <c r="A29" s="30" t="n">
        <v>23</v>
      </c>
      <c r="B29" s="17" t="n"/>
      <c r="C29" s="28" t="n"/>
      <c r="D29" s="19">
        <f>IF(C29="","",DATEDIF(C29,$G$4,"Y"))</f>
        <v/>
      </c>
      <c r="E29" s="19">
        <f>IF(C29="","",IF(D29&lt;1,0,LOOKUP(D29,'TABLA LFT'!$A$2:$A$12,'TABLA LFT'!$B$2:$B$12)))</f>
        <v/>
      </c>
      <c r="F29" s="31" t="n"/>
      <c r="G29" s="19">
        <f>IF(C29="","",E29-F29)</f>
        <v/>
      </c>
      <c r="H29" s="32">
        <f>IF(OR(C29="",I29=""),"",ROUND(I29*G29*0.25,2))</f>
        <v/>
      </c>
      <c r="I29" s="33" t="n"/>
    </row>
    <row r="30">
      <c r="A30" s="30" t="n">
        <v>24</v>
      </c>
      <c r="B30" s="17" t="n"/>
      <c r="C30" s="28" t="n"/>
      <c r="D30" s="19">
        <f>IF(C30="","",DATEDIF(C30,$G$4,"Y"))</f>
        <v/>
      </c>
      <c r="E30" s="19">
        <f>IF(C30="","",IF(D30&lt;1,0,LOOKUP(D30,'TABLA LFT'!$A$2:$A$12,'TABLA LFT'!$B$2:$B$12)))</f>
        <v/>
      </c>
      <c r="F30" s="31" t="n"/>
      <c r="G30" s="19">
        <f>IF(C30="","",E30-F30)</f>
        <v/>
      </c>
      <c r="H30" s="32">
        <f>IF(OR(C30="",I30=""),"",ROUND(I30*G30*0.25,2))</f>
        <v/>
      </c>
      <c r="I30" s="33" t="n"/>
    </row>
    <row r="31">
      <c r="A31" s="30" t="n">
        <v>25</v>
      </c>
      <c r="B31" s="17" t="n"/>
      <c r="C31" s="28" t="n"/>
      <c r="D31" s="19">
        <f>IF(C31="","",DATEDIF(C31,$G$4,"Y"))</f>
        <v/>
      </c>
      <c r="E31" s="19">
        <f>IF(C31="","",IF(D31&lt;1,0,LOOKUP(D31,'TABLA LFT'!$A$2:$A$12,'TABLA LFT'!$B$2:$B$12)))</f>
        <v/>
      </c>
      <c r="F31" s="31" t="n"/>
      <c r="G31" s="19">
        <f>IF(C31="","",E31-F31)</f>
        <v/>
      </c>
      <c r="H31" s="32">
        <f>IF(OR(C31="",I31=""),"",ROUND(I31*G31*0.25,2))</f>
        <v/>
      </c>
      <c r="I31" s="33" t="n"/>
    </row>
    <row r="32">
      <c r="A32" s="30" t="n">
        <v>26</v>
      </c>
      <c r="B32" s="17" t="n"/>
      <c r="C32" s="28" t="n"/>
      <c r="D32" s="19">
        <f>IF(C32="","",DATEDIF(C32,$G$4,"Y"))</f>
        <v/>
      </c>
      <c r="E32" s="19">
        <f>IF(C32="","",IF(D32&lt;1,0,LOOKUP(D32,'TABLA LFT'!$A$2:$A$12,'TABLA LFT'!$B$2:$B$12)))</f>
        <v/>
      </c>
      <c r="F32" s="31" t="n"/>
      <c r="G32" s="19">
        <f>IF(C32="","",E32-F32)</f>
        <v/>
      </c>
      <c r="H32" s="32">
        <f>IF(OR(C32="",I32=""),"",ROUND(I32*G32*0.25,2))</f>
        <v/>
      </c>
      <c r="I32" s="33" t="n"/>
    </row>
    <row r="33">
      <c r="A33" s="30" t="n">
        <v>27</v>
      </c>
      <c r="B33" s="17" t="n"/>
      <c r="C33" s="28" t="n"/>
      <c r="D33" s="19">
        <f>IF(C33="","",DATEDIF(C33,$G$4,"Y"))</f>
        <v/>
      </c>
      <c r="E33" s="19">
        <f>IF(C33="","",IF(D33&lt;1,0,LOOKUP(D33,'TABLA LFT'!$A$2:$A$12,'TABLA LFT'!$B$2:$B$12)))</f>
        <v/>
      </c>
      <c r="F33" s="31" t="n"/>
      <c r="G33" s="19">
        <f>IF(C33="","",E33-F33)</f>
        <v/>
      </c>
      <c r="H33" s="32">
        <f>IF(OR(C33="",I33=""),"",ROUND(I33*G33*0.25,2))</f>
        <v/>
      </c>
      <c r="I33" s="33" t="n"/>
    </row>
    <row r="34">
      <c r="A34" s="30" t="n">
        <v>28</v>
      </c>
      <c r="B34" s="17" t="n"/>
      <c r="C34" s="28" t="n"/>
      <c r="D34" s="19">
        <f>IF(C34="","",DATEDIF(C34,$G$4,"Y"))</f>
        <v/>
      </c>
      <c r="E34" s="19">
        <f>IF(C34="","",IF(D34&lt;1,0,LOOKUP(D34,'TABLA LFT'!$A$2:$A$12,'TABLA LFT'!$B$2:$B$12)))</f>
        <v/>
      </c>
      <c r="F34" s="31" t="n"/>
      <c r="G34" s="19">
        <f>IF(C34="","",E34-F34)</f>
        <v/>
      </c>
      <c r="H34" s="32">
        <f>IF(OR(C34="",I34=""),"",ROUND(I34*G34*0.25,2))</f>
        <v/>
      </c>
      <c r="I34" s="33" t="n"/>
    </row>
    <row r="35">
      <c r="A35" s="30" t="n">
        <v>29</v>
      </c>
      <c r="B35" s="17" t="n"/>
      <c r="C35" s="28" t="n"/>
      <c r="D35" s="19">
        <f>IF(C35="","",DATEDIF(C35,$G$4,"Y"))</f>
        <v/>
      </c>
      <c r="E35" s="19">
        <f>IF(C35="","",IF(D35&lt;1,0,LOOKUP(D35,'TABLA LFT'!$A$2:$A$12,'TABLA LFT'!$B$2:$B$12)))</f>
        <v/>
      </c>
      <c r="F35" s="31" t="n"/>
      <c r="G35" s="19">
        <f>IF(C35="","",E35-F35)</f>
        <v/>
      </c>
      <c r="H35" s="32">
        <f>IF(OR(C35="",I35=""),"",ROUND(I35*G35*0.25,2))</f>
        <v/>
      </c>
      <c r="I35" s="33" t="n"/>
    </row>
    <row r="36">
      <c r="A36" s="30" t="n">
        <v>30</v>
      </c>
      <c r="B36" s="17" t="n"/>
      <c r="C36" s="28" t="n"/>
      <c r="D36" s="19">
        <f>IF(C36="","",DATEDIF(C36,$G$4,"Y"))</f>
        <v/>
      </c>
      <c r="E36" s="19">
        <f>IF(C36="","",IF(D36&lt;1,0,LOOKUP(D36,'TABLA LFT'!$A$2:$A$12,'TABLA LFT'!$B$2:$B$12)))</f>
        <v/>
      </c>
      <c r="F36" s="31" t="n"/>
      <c r="G36" s="19">
        <f>IF(C36="","",E36-F36)</f>
        <v/>
      </c>
      <c r="H36" s="32">
        <f>IF(OR(C36="",I36=""),"",ROUND(I36*G36*0.25,2))</f>
        <v/>
      </c>
      <c r="I36" s="33" t="n"/>
    </row>
    <row r="37">
      <c r="A37" s="30" t="n">
        <v>31</v>
      </c>
      <c r="B37" s="17" t="n"/>
      <c r="C37" s="28" t="n"/>
      <c r="D37" s="19">
        <f>IF(C37="","",DATEDIF(C37,$G$4,"Y"))</f>
        <v/>
      </c>
      <c r="E37" s="19">
        <f>IF(C37="","",IF(D37&lt;1,0,LOOKUP(D37,'TABLA LFT'!$A$2:$A$12,'TABLA LFT'!$B$2:$B$12)))</f>
        <v/>
      </c>
      <c r="F37" s="31" t="n"/>
      <c r="G37" s="19">
        <f>IF(C37="","",E37-F37)</f>
        <v/>
      </c>
      <c r="H37" s="32">
        <f>IF(OR(C37="",I37=""),"",ROUND(I37*G37*0.25,2))</f>
        <v/>
      </c>
      <c r="I37" s="33" t="n"/>
    </row>
    <row r="38">
      <c r="A38" s="30" t="n">
        <v>32</v>
      </c>
      <c r="B38" s="17" t="n"/>
      <c r="C38" s="28" t="n"/>
      <c r="D38" s="19">
        <f>IF(C38="","",DATEDIF(C38,$G$4,"Y"))</f>
        <v/>
      </c>
      <c r="E38" s="19">
        <f>IF(C38="","",IF(D38&lt;1,0,LOOKUP(D38,'TABLA LFT'!$A$2:$A$12,'TABLA LFT'!$B$2:$B$12)))</f>
        <v/>
      </c>
      <c r="F38" s="31" t="n"/>
      <c r="G38" s="19">
        <f>IF(C38="","",E38-F38)</f>
        <v/>
      </c>
      <c r="H38" s="32">
        <f>IF(OR(C38="",I38=""),"",ROUND(I38*G38*0.25,2))</f>
        <v/>
      </c>
      <c r="I38" s="33" t="n"/>
    </row>
    <row r="39">
      <c r="A39" s="30" t="n">
        <v>33</v>
      </c>
      <c r="B39" s="17" t="n"/>
      <c r="C39" s="28" t="n"/>
      <c r="D39" s="19">
        <f>IF(C39="","",DATEDIF(C39,$G$4,"Y"))</f>
        <v/>
      </c>
      <c r="E39" s="19">
        <f>IF(C39="","",IF(D39&lt;1,0,LOOKUP(D39,'TABLA LFT'!$A$2:$A$12,'TABLA LFT'!$B$2:$B$12)))</f>
        <v/>
      </c>
      <c r="F39" s="31" t="n"/>
      <c r="G39" s="19">
        <f>IF(C39="","",E39-F39)</f>
        <v/>
      </c>
      <c r="H39" s="32">
        <f>IF(OR(C39="",I39=""),"",ROUND(I39*G39*0.25,2))</f>
        <v/>
      </c>
      <c r="I39" s="33" t="n"/>
    </row>
    <row r="40">
      <c r="A40" s="30" t="n">
        <v>34</v>
      </c>
      <c r="B40" s="17" t="n"/>
      <c r="C40" s="28" t="n"/>
      <c r="D40" s="19">
        <f>IF(C40="","",DATEDIF(C40,$G$4,"Y"))</f>
        <v/>
      </c>
      <c r="E40" s="19">
        <f>IF(C40="","",IF(D40&lt;1,0,LOOKUP(D40,'TABLA LFT'!$A$2:$A$12,'TABLA LFT'!$B$2:$B$12)))</f>
        <v/>
      </c>
      <c r="F40" s="31" t="n"/>
      <c r="G40" s="19">
        <f>IF(C40="","",E40-F40)</f>
        <v/>
      </c>
      <c r="H40" s="32">
        <f>IF(OR(C40="",I40=""),"",ROUND(I40*G40*0.25,2))</f>
        <v/>
      </c>
      <c r="I40" s="33" t="n"/>
    </row>
    <row r="41">
      <c r="A41" s="30" t="n">
        <v>35</v>
      </c>
      <c r="B41" s="17" t="n"/>
      <c r="C41" s="28" t="n"/>
      <c r="D41" s="19">
        <f>IF(C41="","",DATEDIF(C41,$G$4,"Y"))</f>
        <v/>
      </c>
      <c r="E41" s="19">
        <f>IF(C41="","",IF(D41&lt;1,0,LOOKUP(D41,'TABLA LFT'!$A$2:$A$12,'TABLA LFT'!$B$2:$B$12)))</f>
        <v/>
      </c>
      <c r="F41" s="31" t="n"/>
      <c r="G41" s="19">
        <f>IF(C41="","",E41-F41)</f>
        <v/>
      </c>
      <c r="H41" s="32">
        <f>IF(OR(C41="",I41=""),"",ROUND(I41*G41*0.25,2))</f>
        <v/>
      </c>
      <c r="I41" s="33" t="n"/>
    </row>
    <row r="42">
      <c r="A42" s="30" t="n">
        <v>36</v>
      </c>
      <c r="B42" s="17" t="n"/>
      <c r="C42" s="28" t="n"/>
      <c r="D42" s="19">
        <f>IF(C42="","",DATEDIF(C42,$G$4,"Y"))</f>
        <v/>
      </c>
      <c r="E42" s="19">
        <f>IF(C42="","",IF(D42&lt;1,0,LOOKUP(D42,'TABLA LFT'!$A$2:$A$12,'TABLA LFT'!$B$2:$B$12)))</f>
        <v/>
      </c>
      <c r="F42" s="31" t="n"/>
      <c r="G42" s="19">
        <f>IF(C42="","",E42-F42)</f>
        <v/>
      </c>
      <c r="H42" s="32">
        <f>IF(OR(C42="",I42=""),"",ROUND(I42*G42*0.25,2))</f>
        <v/>
      </c>
      <c r="I42" s="33" t="n"/>
    </row>
    <row r="43">
      <c r="A43" s="30" t="n">
        <v>37</v>
      </c>
      <c r="B43" s="17" t="n"/>
      <c r="C43" s="28" t="n"/>
      <c r="D43" s="19">
        <f>IF(C43="","",DATEDIF(C43,$G$4,"Y"))</f>
        <v/>
      </c>
      <c r="E43" s="19">
        <f>IF(C43="","",IF(D43&lt;1,0,LOOKUP(D43,'TABLA LFT'!$A$2:$A$12,'TABLA LFT'!$B$2:$B$12)))</f>
        <v/>
      </c>
      <c r="F43" s="31" t="n"/>
      <c r="G43" s="19">
        <f>IF(C43="","",E43-F43)</f>
        <v/>
      </c>
      <c r="H43" s="32">
        <f>IF(OR(C43="",I43=""),"",ROUND(I43*G43*0.25,2))</f>
        <v/>
      </c>
      <c r="I43" s="33" t="n"/>
    </row>
    <row r="44">
      <c r="A44" s="30" t="n">
        <v>38</v>
      </c>
      <c r="B44" s="17" t="n"/>
      <c r="C44" s="28" t="n"/>
      <c r="D44" s="19">
        <f>IF(C44="","",DATEDIF(C44,$G$4,"Y"))</f>
        <v/>
      </c>
      <c r="E44" s="19">
        <f>IF(C44="","",IF(D44&lt;1,0,LOOKUP(D44,'TABLA LFT'!$A$2:$A$12,'TABLA LFT'!$B$2:$B$12)))</f>
        <v/>
      </c>
      <c r="F44" s="31" t="n"/>
      <c r="G44" s="19">
        <f>IF(C44="","",E44-F44)</f>
        <v/>
      </c>
      <c r="H44" s="32">
        <f>IF(OR(C44="",I44=""),"",ROUND(I44*G44*0.25,2))</f>
        <v/>
      </c>
      <c r="I44" s="33" t="n"/>
    </row>
    <row r="45">
      <c r="A45" s="30" t="n">
        <v>39</v>
      </c>
      <c r="B45" s="17" t="n"/>
      <c r="C45" s="28" t="n"/>
      <c r="D45" s="19">
        <f>IF(C45="","",DATEDIF(C45,$G$4,"Y"))</f>
        <v/>
      </c>
      <c r="E45" s="19">
        <f>IF(C45="","",IF(D45&lt;1,0,LOOKUP(D45,'TABLA LFT'!$A$2:$A$12,'TABLA LFT'!$B$2:$B$12)))</f>
        <v/>
      </c>
      <c r="F45" s="31" t="n"/>
      <c r="G45" s="19">
        <f>IF(C45="","",E45-F45)</f>
        <v/>
      </c>
      <c r="H45" s="32">
        <f>IF(OR(C45="",I45=""),"",ROUND(I45*G45*0.25,2))</f>
        <v/>
      </c>
      <c r="I45" s="33" t="n"/>
    </row>
    <row r="46">
      <c r="A46" s="30" t="n">
        <v>40</v>
      </c>
      <c r="B46" s="17" t="n"/>
      <c r="C46" s="28" t="n"/>
      <c r="D46" s="19">
        <f>IF(C46="","",DATEDIF(C46,$G$4,"Y"))</f>
        <v/>
      </c>
      <c r="E46" s="19">
        <f>IF(C46="","",IF(D46&lt;1,0,LOOKUP(D46,'TABLA LFT'!$A$2:$A$12,'TABLA LFT'!$B$2:$B$12)))</f>
        <v/>
      </c>
      <c r="F46" s="31" t="n"/>
      <c r="G46" s="19">
        <f>IF(C46="","",E46-F46)</f>
        <v/>
      </c>
      <c r="H46" s="32">
        <f>IF(OR(C46="",I46=""),"",ROUND(I46*G46*0.25,2))</f>
        <v/>
      </c>
      <c r="I46" s="33" t="n"/>
    </row>
    <row r="47">
      <c r="A47" s="30" t="n">
        <v>41</v>
      </c>
      <c r="B47" s="17" t="n"/>
      <c r="C47" s="28" t="n"/>
      <c r="D47" s="19">
        <f>IF(C47="","",DATEDIF(C47,$G$4,"Y"))</f>
        <v/>
      </c>
      <c r="E47" s="19">
        <f>IF(C47="","",IF(D47&lt;1,0,LOOKUP(D47,'TABLA LFT'!$A$2:$A$12,'TABLA LFT'!$B$2:$B$12)))</f>
        <v/>
      </c>
      <c r="F47" s="31" t="n"/>
      <c r="G47" s="19">
        <f>IF(C47="","",E47-F47)</f>
        <v/>
      </c>
      <c r="H47" s="32">
        <f>IF(OR(C47="",I47=""),"",ROUND(I47*G47*0.25,2))</f>
        <v/>
      </c>
      <c r="I47" s="33" t="n"/>
    </row>
    <row r="48">
      <c r="A48" s="30" t="n">
        <v>42</v>
      </c>
      <c r="B48" s="17" t="n"/>
      <c r="C48" s="28" t="n"/>
      <c r="D48" s="19">
        <f>IF(C48="","",DATEDIF(C48,$G$4,"Y"))</f>
        <v/>
      </c>
      <c r="E48" s="19">
        <f>IF(C48="","",IF(D48&lt;1,0,LOOKUP(D48,'TABLA LFT'!$A$2:$A$12,'TABLA LFT'!$B$2:$B$12)))</f>
        <v/>
      </c>
      <c r="F48" s="31" t="n"/>
      <c r="G48" s="19">
        <f>IF(C48="","",E48-F48)</f>
        <v/>
      </c>
      <c r="H48" s="32">
        <f>IF(OR(C48="",I48=""),"",ROUND(I48*G48*0.25,2))</f>
        <v/>
      </c>
      <c r="I48" s="33" t="n"/>
    </row>
    <row r="49">
      <c r="A49" s="30" t="n">
        <v>43</v>
      </c>
      <c r="B49" s="17" t="n"/>
      <c r="C49" s="28" t="n"/>
      <c r="D49" s="19">
        <f>IF(C49="","",DATEDIF(C49,$G$4,"Y"))</f>
        <v/>
      </c>
      <c r="E49" s="19">
        <f>IF(C49="","",IF(D49&lt;1,0,LOOKUP(D49,'TABLA LFT'!$A$2:$A$12,'TABLA LFT'!$B$2:$B$12)))</f>
        <v/>
      </c>
      <c r="F49" s="31" t="n"/>
      <c r="G49" s="19">
        <f>IF(C49="","",E49-F49)</f>
        <v/>
      </c>
      <c r="H49" s="32">
        <f>IF(OR(C49="",I49=""),"",ROUND(I49*G49*0.25,2))</f>
        <v/>
      </c>
      <c r="I49" s="33" t="n"/>
    </row>
    <row r="50">
      <c r="A50" s="30" t="n">
        <v>44</v>
      </c>
      <c r="B50" s="17" t="n"/>
      <c r="C50" s="28" t="n"/>
      <c r="D50" s="19">
        <f>IF(C50="","",DATEDIF(C50,$G$4,"Y"))</f>
        <v/>
      </c>
      <c r="E50" s="19">
        <f>IF(C50="","",IF(D50&lt;1,0,LOOKUP(D50,'TABLA LFT'!$A$2:$A$12,'TABLA LFT'!$B$2:$B$12)))</f>
        <v/>
      </c>
      <c r="F50" s="31" t="n"/>
      <c r="G50" s="19">
        <f>IF(C50="","",E50-F50)</f>
        <v/>
      </c>
      <c r="H50" s="32">
        <f>IF(OR(C50="",I50=""),"",ROUND(I50*G50*0.25,2))</f>
        <v/>
      </c>
      <c r="I50" s="33" t="n"/>
    </row>
    <row r="51">
      <c r="A51" s="30" t="n">
        <v>45</v>
      </c>
      <c r="B51" s="17" t="n"/>
      <c r="C51" s="28" t="n"/>
      <c r="D51" s="19">
        <f>IF(C51="","",DATEDIF(C51,$G$4,"Y"))</f>
        <v/>
      </c>
      <c r="E51" s="19">
        <f>IF(C51="","",IF(D51&lt;1,0,LOOKUP(D51,'TABLA LFT'!$A$2:$A$12,'TABLA LFT'!$B$2:$B$12)))</f>
        <v/>
      </c>
      <c r="F51" s="31" t="n"/>
      <c r="G51" s="19">
        <f>IF(C51="","",E51-F51)</f>
        <v/>
      </c>
      <c r="H51" s="32">
        <f>IF(OR(C51="",I51=""),"",ROUND(I51*G51*0.25,2))</f>
        <v/>
      </c>
      <c r="I51" s="33" t="n"/>
    </row>
    <row r="52">
      <c r="A52" s="30" t="n">
        <v>46</v>
      </c>
      <c r="B52" s="17" t="n"/>
      <c r="C52" s="28" t="n"/>
      <c r="D52" s="19">
        <f>IF(C52="","",DATEDIF(C52,$G$4,"Y"))</f>
        <v/>
      </c>
      <c r="E52" s="19">
        <f>IF(C52="","",IF(D52&lt;1,0,LOOKUP(D52,'TABLA LFT'!$A$2:$A$12,'TABLA LFT'!$B$2:$B$12)))</f>
        <v/>
      </c>
      <c r="F52" s="31" t="n"/>
      <c r="G52" s="19">
        <f>IF(C52="","",E52-F52)</f>
        <v/>
      </c>
      <c r="H52" s="32">
        <f>IF(OR(C52="",I52=""),"",ROUND(I52*G52*0.25,2))</f>
        <v/>
      </c>
      <c r="I52" s="33" t="n"/>
    </row>
    <row r="53">
      <c r="A53" s="30" t="n">
        <v>47</v>
      </c>
      <c r="B53" s="17" t="n"/>
      <c r="C53" s="28" t="n"/>
      <c r="D53" s="19">
        <f>IF(C53="","",DATEDIF(C53,$G$4,"Y"))</f>
        <v/>
      </c>
      <c r="E53" s="19">
        <f>IF(C53="","",IF(D53&lt;1,0,LOOKUP(D53,'TABLA LFT'!$A$2:$A$12,'TABLA LFT'!$B$2:$B$12)))</f>
        <v/>
      </c>
      <c r="F53" s="31" t="n"/>
      <c r="G53" s="19">
        <f>IF(C53="","",E53-F53)</f>
        <v/>
      </c>
      <c r="H53" s="32">
        <f>IF(OR(C53="",I53=""),"",ROUND(I53*G53*0.25,2))</f>
        <v/>
      </c>
      <c r="I53" s="33" t="n"/>
    </row>
    <row r="54">
      <c r="A54" s="30" t="n">
        <v>48</v>
      </c>
      <c r="B54" s="17" t="n"/>
      <c r="C54" s="28" t="n"/>
      <c r="D54" s="19">
        <f>IF(C54="","",DATEDIF(C54,$G$4,"Y"))</f>
        <v/>
      </c>
      <c r="E54" s="19">
        <f>IF(C54="","",IF(D54&lt;1,0,LOOKUP(D54,'TABLA LFT'!$A$2:$A$12,'TABLA LFT'!$B$2:$B$12)))</f>
        <v/>
      </c>
      <c r="F54" s="31" t="n"/>
      <c r="G54" s="19">
        <f>IF(C54="","",E54-F54)</f>
        <v/>
      </c>
      <c r="H54" s="32">
        <f>IF(OR(C54="",I54=""),"",ROUND(I54*G54*0.25,2))</f>
        <v/>
      </c>
      <c r="I54" s="33" t="n"/>
    </row>
    <row r="55">
      <c r="A55" s="30" t="n">
        <v>49</v>
      </c>
      <c r="B55" s="17" t="n"/>
      <c r="C55" s="28" t="n"/>
      <c r="D55" s="19">
        <f>IF(C55="","",DATEDIF(C55,$G$4,"Y"))</f>
        <v/>
      </c>
      <c r="E55" s="19">
        <f>IF(C55="","",IF(D55&lt;1,0,LOOKUP(D55,'TABLA LFT'!$A$2:$A$12,'TABLA LFT'!$B$2:$B$12)))</f>
        <v/>
      </c>
      <c r="F55" s="31" t="n"/>
      <c r="G55" s="19">
        <f>IF(C55="","",E55-F55)</f>
        <v/>
      </c>
      <c r="H55" s="32">
        <f>IF(OR(C55="",I55=""),"",ROUND(I55*G55*0.25,2))</f>
        <v/>
      </c>
      <c r="I55" s="33" t="n"/>
    </row>
    <row r="56">
      <c r="A56" s="30" t="n">
        <v>50</v>
      </c>
      <c r="B56" s="17" t="n"/>
      <c r="C56" s="28" t="n"/>
      <c r="D56" s="19">
        <f>IF(C56="","",DATEDIF(C56,$G$4,"Y"))</f>
        <v/>
      </c>
      <c r="E56" s="19">
        <f>IF(C56="","",IF(D56&lt;1,0,LOOKUP(D56,'TABLA LFT'!$A$2:$A$12,'TABLA LFT'!$B$2:$B$12)))</f>
        <v/>
      </c>
      <c r="F56" s="31" t="n"/>
      <c r="G56" s="19">
        <f>IF(C56="","",E56-F56)</f>
        <v/>
      </c>
      <c r="H56" s="32">
        <f>IF(OR(C56="",I56=""),"",ROUND(I56*G56*0.25,2))</f>
        <v/>
      </c>
      <c r="I56" s="33" t="n"/>
    </row>
    <row r="57">
      <c r="A57" s="30" t="n">
        <v>51</v>
      </c>
      <c r="B57" s="17" t="n"/>
      <c r="C57" s="28" t="n"/>
      <c r="D57" s="19">
        <f>IF(C57="","",DATEDIF(C57,$G$4,"Y"))</f>
        <v/>
      </c>
      <c r="E57" s="19">
        <f>IF(C57="","",IF(D57&lt;1,0,LOOKUP(D57,'TABLA LFT'!$A$2:$A$12,'TABLA LFT'!$B$2:$B$12)))</f>
        <v/>
      </c>
      <c r="F57" s="31" t="n"/>
      <c r="G57" s="19">
        <f>IF(C57="","",E57-F57)</f>
        <v/>
      </c>
      <c r="H57" s="32">
        <f>IF(OR(C57="",I57=""),"",ROUND(I57*G57*0.25,2))</f>
        <v/>
      </c>
      <c r="I57" s="33" t="n"/>
    </row>
    <row r="58">
      <c r="A58" s="30" t="n">
        <v>52</v>
      </c>
      <c r="B58" s="17" t="n"/>
      <c r="C58" s="28" t="n"/>
      <c r="D58" s="19">
        <f>IF(C58="","",DATEDIF(C58,$G$4,"Y"))</f>
        <v/>
      </c>
      <c r="E58" s="19">
        <f>IF(C58="","",IF(D58&lt;1,0,LOOKUP(D58,'TABLA LFT'!$A$2:$A$12,'TABLA LFT'!$B$2:$B$12)))</f>
        <v/>
      </c>
      <c r="F58" s="31" t="n"/>
      <c r="G58" s="19">
        <f>IF(C58="","",E58-F58)</f>
        <v/>
      </c>
      <c r="H58" s="32">
        <f>IF(OR(C58="",I58=""),"",ROUND(I58*G58*0.25,2))</f>
        <v/>
      </c>
      <c r="I58" s="33" t="n"/>
    </row>
    <row r="59">
      <c r="A59" s="30" t="n">
        <v>53</v>
      </c>
      <c r="B59" s="17" t="n"/>
      <c r="C59" s="28" t="n"/>
      <c r="D59" s="19">
        <f>IF(C59="","",DATEDIF(C59,$G$4,"Y"))</f>
        <v/>
      </c>
      <c r="E59" s="19">
        <f>IF(C59="","",IF(D59&lt;1,0,LOOKUP(D59,'TABLA LFT'!$A$2:$A$12,'TABLA LFT'!$B$2:$B$12)))</f>
        <v/>
      </c>
      <c r="F59" s="31" t="n"/>
      <c r="G59" s="19">
        <f>IF(C59="","",E59-F59)</f>
        <v/>
      </c>
      <c r="H59" s="32">
        <f>IF(OR(C59="",I59=""),"",ROUND(I59*G59*0.25,2))</f>
        <v/>
      </c>
      <c r="I59" s="33" t="n"/>
    </row>
    <row r="60">
      <c r="A60" s="30" t="n">
        <v>54</v>
      </c>
      <c r="B60" s="17" t="n"/>
      <c r="C60" s="28" t="n"/>
      <c r="D60" s="19">
        <f>IF(C60="","",DATEDIF(C60,$G$4,"Y"))</f>
        <v/>
      </c>
      <c r="E60" s="19">
        <f>IF(C60="","",IF(D60&lt;1,0,LOOKUP(D60,'TABLA LFT'!$A$2:$A$12,'TABLA LFT'!$B$2:$B$12)))</f>
        <v/>
      </c>
      <c r="F60" s="31" t="n"/>
      <c r="G60" s="19">
        <f>IF(C60="","",E60-F60)</f>
        <v/>
      </c>
      <c r="H60" s="32">
        <f>IF(OR(C60="",I60=""),"",ROUND(I60*G60*0.25,2))</f>
        <v/>
      </c>
      <c r="I60" s="33" t="n"/>
    </row>
    <row r="61">
      <c r="A61" s="30" t="n">
        <v>55</v>
      </c>
      <c r="B61" s="17" t="n"/>
      <c r="C61" s="28" t="n"/>
      <c r="D61" s="19">
        <f>IF(C61="","",DATEDIF(C61,$G$4,"Y"))</f>
        <v/>
      </c>
      <c r="E61" s="19">
        <f>IF(C61="","",IF(D61&lt;1,0,LOOKUP(D61,'TABLA LFT'!$A$2:$A$12,'TABLA LFT'!$B$2:$B$12)))</f>
        <v/>
      </c>
      <c r="F61" s="31" t="n"/>
      <c r="G61" s="19">
        <f>IF(C61="","",E61-F61)</f>
        <v/>
      </c>
      <c r="H61" s="32">
        <f>IF(OR(C61="",I61=""),"",ROUND(I61*G61*0.25,2))</f>
        <v/>
      </c>
      <c r="I61" s="33" t="n"/>
    </row>
    <row r="62">
      <c r="A62" s="30" t="n">
        <v>56</v>
      </c>
      <c r="B62" s="17" t="n"/>
      <c r="C62" s="28" t="n"/>
      <c r="D62" s="19">
        <f>IF(C62="","",DATEDIF(C62,$G$4,"Y"))</f>
        <v/>
      </c>
      <c r="E62" s="19">
        <f>IF(C62="","",IF(D62&lt;1,0,LOOKUP(D62,'TABLA LFT'!$A$2:$A$12,'TABLA LFT'!$B$2:$B$12)))</f>
        <v/>
      </c>
      <c r="F62" s="31" t="n"/>
      <c r="G62" s="19">
        <f>IF(C62="","",E62-F62)</f>
        <v/>
      </c>
      <c r="H62" s="32">
        <f>IF(OR(C62="",I62=""),"",ROUND(I62*G62*0.25,2))</f>
        <v/>
      </c>
      <c r="I62" s="33" t="n"/>
    </row>
    <row r="63">
      <c r="A63" s="30" t="n">
        <v>57</v>
      </c>
      <c r="B63" s="17" t="n"/>
      <c r="C63" s="28" t="n"/>
      <c r="D63" s="19">
        <f>IF(C63="","",DATEDIF(C63,$G$4,"Y"))</f>
        <v/>
      </c>
      <c r="E63" s="19">
        <f>IF(C63="","",IF(D63&lt;1,0,LOOKUP(D63,'TABLA LFT'!$A$2:$A$12,'TABLA LFT'!$B$2:$B$12)))</f>
        <v/>
      </c>
      <c r="F63" s="31" t="n"/>
      <c r="G63" s="19">
        <f>IF(C63="","",E63-F63)</f>
        <v/>
      </c>
      <c r="H63" s="32">
        <f>IF(OR(C63="",I63=""),"",ROUND(I63*G63*0.25,2))</f>
        <v/>
      </c>
      <c r="I63" s="33" t="n"/>
    </row>
    <row r="64">
      <c r="A64" s="30" t="n">
        <v>58</v>
      </c>
      <c r="B64" s="17" t="n"/>
      <c r="C64" s="28" t="n"/>
      <c r="D64" s="19">
        <f>IF(C64="","",DATEDIF(C64,$G$4,"Y"))</f>
        <v/>
      </c>
      <c r="E64" s="19">
        <f>IF(C64="","",IF(D64&lt;1,0,LOOKUP(D64,'TABLA LFT'!$A$2:$A$12,'TABLA LFT'!$B$2:$B$12)))</f>
        <v/>
      </c>
      <c r="F64" s="31" t="n"/>
      <c r="G64" s="19">
        <f>IF(C64="","",E64-F64)</f>
        <v/>
      </c>
      <c r="H64" s="32">
        <f>IF(OR(C64="",I64=""),"",ROUND(I64*G64*0.25,2))</f>
        <v/>
      </c>
      <c r="I64" s="33" t="n"/>
    </row>
    <row r="65">
      <c r="A65" s="30" t="n">
        <v>59</v>
      </c>
      <c r="B65" s="17" t="n"/>
      <c r="C65" s="28" t="n"/>
      <c r="D65" s="19">
        <f>IF(C65="","",DATEDIF(C65,$G$4,"Y"))</f>
        <v/>
      </c>
      <c r="E65" s="19">
        <f>IF(C65="","",IF(D65&lt;1,0,LOOKUP(D65,'TABLA LFT'!$A$2:$A$12,'TABLA LFT'!$B$2:$B$12)))</f>
        <v/>
      </c>
      <c r="F65" s="31" t="n"/>
      <c r="G65" s="19">
        <f>IF(C65="","",E65-F65)</f>
        <v/>
      </c>
      <c r="H65" s="32">
        <f>IF(OR(C65="",I65=""),"",ROUND(I65*G65*0.25,2))</f>
        <v/>
      </c>
      <c r="I65" s="33" t="n"/>
    </row>
    <row r="66">
      <c r="A66" s="30" t="n">
        <v>60</v>
      </c>
      <c r="B66" s="17" t="n"/>
      <c r="C66" s="28" t="n"/>
      <c r="D66" s="19">
        <f>IF(C66="","",DATEDIF(C66,$G$4,"Y"))</f>
        <v/>
      </c>
      <c r="E66" s="19">
        <f>IF(C66="","",IF(D66&lt;1,0,LOOKUP(D66,'TABLA LFT'!$A$2:$A$12,'TABLA LFT'!$B$2:$B$12)))</f>
        <v/>
      </c>
      <c r="F66" s="31" t="n"/>
      <c r="G66" s="19">
        <f>IF(C66="","",E66-F66)</f>
        <v/>
      </c>
      <c r="H66" s="32">
        <f>IF(OR(C66="",I66=""),"",ROUND(I66*G66*0.25,2))</f>
        <v/>
      </c>
      <c r="I66" s="33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5">
    <mergeCell ref="G4:H4"/>
    <mergeCell ref="A2:H2"/>
    <mergeCell ref="B4:D4"/>
    <mergeCell ref="A1:H1"/>
    <mergeCell ref="I1:I2"/>
  </mergeCell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</cols>
  <sheetData>
    <row r="1">
      <c r="A1" s="34" t="inlineStr">
        <is>
          <t>AÑOS DE SERVICIO</t>
        </is>
      </c>
      <c r="B1" s="34" t="inlineStr">
        <is>
          <t>DÍAS DE VACACIONES</t>
        </is>
      </c>
    </row>
    <row r="2">
      <c r="A2" s="4" t="n">
        <v>1</v>
      </c>
      <c r="B2" s="4" t="n">
        <v>12</v>
      </c>
    </row>
    <row r="3">
      <c r="A3" s="4" t="n">
        <v>2</v>
      </c>
      <c r="B3" s="4" t="n">
        <v>14</v>
      </c>
    </row>
    <row r="4">
      <c r="A4" s="4" t="n">
        <v>3</v>
      </c>
      <c r="B4" s="4" t="n">
        <v>16</v>
      </c>
    </row>
    <row r="5">
      <c r="A5" s="4" t="n">
        <v>4</v>
      </c>
      <c r="B5" s="4" t="n">
        <v>18</v>
      </c>
    </row>
    <row r="6">
      <c r="A6" s="4" t="n">
        <v>5</v>
      </c>
      <c r="B6" s="4" t="n">
        <v>20</v>
      </c>
    </row>
    <row r="7">
      <c r="A7" s="4" t="n">
        <v>6</v>
      </c>
      <c r="B7" s="4" t="n">
        <v>22</v>
      </c>
    </row>
    <row r="8">
      <c r="A8" s="4" t="n">
        <v>11</v>
      </c>
      <c r="B8" s="4" t="n">
        <v>24</v>
      </c>
    </row>
    <row r="9">
      <c r="A9" s="4" t="n">
        <v>16</v>
      </c>
      <c r="B9" s="4" t="n">
        <v>26</v>
      </c>
    </row>
    <row r="10">
      <c r="A10" s="4" t="n">
        <v>21</v>
      </c>
      <c r="B10" s="4" t="n">
        <v>28</v>
      </c>
    </row>
    <row r="11">
      <c r="A11" s="4" t="n">
        <v>26</v>
      </c>
      <c r="B11" s="4" t="n">
        <v>30</v>
      </c>
    </row>
    <row r="12">
      <c r="A12" s="4" t="n">
        <v>31</v>
      </c>
      <c r="B12" s="4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22" t="inlineStr">
        <is>
          <t>RESUMEN DE VACACIONES</t>
        </is>
      </c>
      <c r="H1" s="56" t="inlineStr">
        <is>
          <t>INSERTE SU LOGO
(clic derecho &gt; Insertar imagen)</t>
        </is>
      </c>
      <c r="I1" s="62" t="n"/>
      <c r="J1" s="63" t="n"/>
    </row>
    <row r="2" ht="26" customHeight="1">
      <c r="A2" s="57" t="inlineStr">
        <is>
          <t>Días pendientes y prima vacacional por pagar</t>
        </is>
      </c>
      <c r="B2" s="58" t="n"/>
      <c r="C2" s="58" t="n"/>
      <c r="D2" s="58" t="n"/>
      <c r="E2" s="58" t="n"/>
      <c r="F2" s="58" t="n"/>
      <c r="G2" s="58" t="n"/>
      <c r="H2" s="64" t="n"/>
      <c r="I2" s="65" t="n"/>
      <c r="J2" s="66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0" customHeight="1">
      <c r="A4" s="4" t="n"/>
      <c r="B4" s="67" t="inlineStr">
        <is>
          <t>EMPLEADOS</t>
        </is>
      </c>
      <c r="C4" s="68" t="n"/>
      <c r="D4" s="67" t="inlineStr">
        <is>
          <t>DÍAS PENDIENTES</t>
        </is>
      </c>
      <c r="E4" s="68" t="n"/>
      <c r="F4" s="67" t="inlineStr">
        <is>
          <t>PRIMA VACACIONAL</t>
        </is>
      </c>
      <c r="G4" s="68" t="n"/>
      <c r="H4" s="67" t="inlineStr">
        <is>
          <t>CON MÁS DE 10 DÍAS</t>
        </is>
      </c>
      <c r="I4" s="68" t="n"/>
      <c r="J4" s="4" t="n"/>
    </row>
    <row r="5" ht="36" customHeight="1">
      <c r="A5" s="4" t="n"/>
      <c r="B5" s="69">
        <f>COUNT(FORMATO!C7:C66)</f>
        <v/>
      </c>
      <c r="C5" s="70" t="n"/>
      <c r="D5" s="69">
        <f>SUM(FORMATO!G7:G66)</f>
        <v/>
      </c>
      <c r="E5" s="70" t="n"/>
      <c r="F5" s="71">
        <f>SUM(FORMATO!H7:H66)</f>
        <v/>
      </c>
      <c r="G5" s="70" t="n"/>
      <c r="H5" s="69">
        <f>COUNTIF(FORMATO!G7:G66,"&gt;10")</f>
        <v/>
      </c>
      <c r="I5" s="70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32" customHeight="1">
      <c r="A25" s="4" t="n"/>
      <c r="B25" s="29" t="inlineStr">
        <is>
          <t>EMPLEADO</t>
        </is>
      </c>
      <c r="C25" s="29" t="inlineStr">
        <is>
          <t>DÍAS PENDIENTES</t>
        </is>
      </c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6">
        <f>IF(FORMATO!B7="","",FORMATO!B7)</f>
        <v/>
      </c>
      <c r="C26" s="47">
        <f>IF(FORMATO!G7="",0,FORMATO!G7)</f>
        <v/>
      </c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6">
        <f>IF(FORMATO!B8="","",FORMATO!B8)</f>
        <v/>
      </c>
      <c r="C27" s="47">
        <f>IF(FORMATO!G8="",0,FORMATO!G8)</f>
        <v/>
      </c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6">
        <f>IF(FORMATO!B9="","",FORMATO!B9)</f>
        <v/>
      </c>
      <c r="C28" s="47">
        <f>IF(FORMATO!G9="",0,FORMATO!G9)</f>
        <v/>
      </c>
      <c r="D28" s="4" t="n"/>
      <c r="E28" s="4" t="n"/>
      <c r="F28" s="4" t="n"/>
      <c r="G28" s="4" t="n"/>
      <c r="H28" s="4" t="n"/>
      <c r="I28" s="4" t="n"/>
      <c r="J28" s="4" t="n"/>
    </row>
    <row r="29">
      <c r="A29" s="4" t="n"/>
      <c r="B29" s="46">
        <f>IF(FORMATO!B10="","",FORMATO!B10)</f>
        <v/>
      </c>
      <c r="C29" s="47">
        <f>IF(FORMATO!G10="",0,FORMATO!G10)</f>
        <v/>
      </c>
      <c r="D29" s="4" t="n"/>
      <c r="E29" s="4" t="n"/>
      <c r="F29" s="4" t="n"/>
      <c r="G29" s="4" t="n"/>
      <c r="H29" s="4" t="n"/>
      <c r="I29" s="4" t="n"/>
      <c r="J29" s="4" t="n"/>
    </row>
    <row r="30">
      <c r="A30" s="4" t="n"/>
      <c r="B30" s="46">
        <f>IF(FORMATO!B11="","",FORMATO!B11)</f>
        <v/>
      </c>
      <c r="C30" s="47">
        <f>IF(FORMATO!G11="",0,FORMATO!G11)</f>
        <v/>
      </c>
      <c r="D30" s="4" t="n"/>
      <c r="E30" s="4" t="n"/>
      <c r="F30" s="4" t="n"/>
      <c r="G30" s="4" t="n"/>
      <c r="H30" s="4" t="n"/>
      <c r="I30" s="4" t="n"/>
      <c r="J30" s="4" t="n"/>
    </row>
    <row r="31">
      <c r="A31" s="4" t="n"/>
      <c r="B31" s="46">
        <f>IF(FORMATO!B12="","",FORMATO!B12)</f>
        <v/>
      </c>
      <c r="C31" s="47">
        <f>IF(FORMATO!G12="",0,FORMATO!G12)</f>
        <v/>
      </c>
      <c r="D31" s="4" t="n"/>
      <c r="E31" s="4" t="n"/>
      <c r="F31" s="4" t="n"/>
      <c r="G31" s="4" t="n"/>
      <c r="H31" s="4" t="n"/>
      <c r="I31" s="4" t="n"/>
      <c r="J31" s="4" t="n"/>
    </row>
    <row r="32">
      <c r="A32" s="4" t="n"/>
      <c r="B32" s="46">
        <f>IF(FORMATO!B13="","",FORMATO!B13)</f>
        <v/>
      </c>
      <c r="C32" s="47">
        <f>IF(FORMATO!G13="",0,FORMATO!G13)</f>
        <v/>
      </c>
      <c r="D32" s="4" t="n"/>
      <c r="E32" s="4" t="n"/>
      <c r="F32" s="4" t="n"/>
      <c r="G32" s="4" t="n"/>
      <c r="H32" s="4" t="n"/>
      <c r="I32" s="4" t="n"/>
      <c r="J32" s="4" t="n"/>
    </row>
    <row r="33">
      <c r="A33" s="4" t="n"/>
      <c r="B33" s="46">
        <f>IF(FORMATO!B14="","",FORMATO!B14)</f>
        <v/>
      </c>
      <c r="C33" s="47">
        <f>IF(FORMATO!G14="",0,FORMATO!G14)</f>
        <v/>
      </c>
      <c r="D33" s="4" t="n"/>
      <c r="E33" s="4" t="n"/>
      <c r="F33" s="4" t="n"/>
      <c r="G33" s="4" t="n"/>
      <c r="H33" s="4" t="n"/>
      <c r="I33" s="4" t="n"/>
      <c r="J33" s="4" t="n"/>
    </row>
    <row r="34">
      <c r="A34" s="4" t="n"/>
      <c r="B34" s="46">
        <f>IF(FORMATO!B15="","",FORMATO!B15)</f>
        <v/>
      </c>
      <c r="C34" s="47">
        <f>IF(FORMATO!G15="",0,FORMATO!G15)</f>
        <v/>
      </c>
      <c r="D34" s="4" t="n"/>
      <c r="E34" s="4" t="n"/>
      <c r="F34" s="4" t="n"/>
      <c r="G34" s="4" t="n"/>
      <c r="H34" s="4" t="n"/>
      <c r="I34" s="4" t="n"/>
      <c r="J34" s="4" t="n"/>
    </row>
    <row r="35">
      <c r="A35" s="4" t="n"/>
      <c r="B35" s="46">
        <f>IF(FORMATO!B16="","",FORMATO!B16)</f>
        <v/>
      </c>
      <c r="C35" s="47">
        <f>IF(FORMATO!G16="",0,FORMATO!G16)</f>
        <v/>
      </c>
      <c r="D35" s="4" t="n"/>
      <c r="E35" s="4" t="n"/>
      <c r="F35" s="4" t="n"/>
      <c r="G35" s="4" t="n"/>
      <c r="H35" s="4" t="n"/>
      <c r="I35" s="4" t="n"/>
      <c r="J35" s="4" t="n"/>
    </row>
    <row r="36">
      <c r="A36" s="4" t="n"/>
      <c r="B36" s="46">
        <f>IF(FORMATO!B17="","",FORMATO!B17)</f>
        <v/>
      </c>
      <c r="C36" s="47">
        <f>IF(FORMATO!G17="",0,FORMATO!G17)</f>
        <v/>
      </c>
      <c r="D36" s="4" t="n"/>
      <c r="E36" s="4" t="n"/>
      <c r="F36" s="4" t="n"/>
      <c r="G36" s="4" t="n"/>
      <c r="H36" s="4" t="n"/>
      <c r="I36" s="4" t="n"/>
      <c r="J36" s="4" t="n"/>
    </row>
    <row r="37">
      <c r="A37" s="4" t="n"/>
      <c r="B37" s="46">
        <f>IF(FORMATO!B18="","",FORMATO!B18)</f>
        <v/>
      </c>
      <c r="C37" s="47">
        <f>IF(FORMATO!G18="",0,FORMATO!G18)</f>
        <v/>
      </c>
      <c r="D37" s="4" t="n"/>
      <c r="E37" s="4" t="n"/>
      <c r="F37" s="4" t="n"/>
      <c r="G37" s="4" t="n"/>
      <c r="H37" s="4" t="n"/>
      <c r="I37" s="4" t="n"/>
      <c r="J37" s="4" t="n"/>
    </row>
    <row r="38">
      <c r="A38" s="4" t="n"/>
      <c r="B38" s="46">
        <f>IF(FORMATO!B19="","",FORMATO!B19)</f>
        <v/>
      </c>
      <c r="C38" s="47">
        <f>IF(FORMATO!G19="",0,FORMATO!G19)</f>
        <v/>
      </c>
      <c r="D38" s="4" t="n"/>
      <c r="E38" s="4" t="n"/>
      <c r="F38" s="4" t="n"/>
      <c r="G38" s="4" t="n"/>
      <c r="H38" s="4" t="n"/>
      <c r="I38" s="4" t="n"/>
      <c r="J38" s="4" t="n"/>
    </row>
    <row r="39">
      <c r="A39" s="4" t="n"/>
      <c r="B39" s="46">
        <f>IF(FORMATO!B20="","",FORMATO!B20)</f>
        <v/>
      </c>
      <c r="C39" s="47">
        <f>IF(FORMATO!G20="",0,FORMATO!G20)</f>
        <v/>
      </c>
      <c r="D39" s="4" t="n"/>
      <c r="E39" s="4" t="n"/>
      <c r="F39" s="4" t="n"/>
      <c r="G39" s="4" t="n"/>
      <c r="H39" s="4" t="n"/>
      <c r="I39" s="4" t="n"/>
      <c r="J39" s="4" t="n"/>
    </row>
    <row r="40">
      <c r="A40" s="4" t="n"/>
      <c r="B40" s="46">
        <f>IF(FORMATO!B21="","",FORMATO!B21)</f>
        <v/>
      </c>
      <c r="C40" s="47">
        <f>IF(FORMATO!G21="",0,FORMATO!G21)</f>
        <v/>
      </c>
      <c r="D40" s="4" t="n"/>
      <c r="E40" s="4" t="n"/>
      <c r="F40" s="4" t="n"/>
      <c r="G40" s="4" t="n"/>
      <c r="H40" s="4" t="n"/>
      <c r="I40" s="4" t="n"/>
      <c r="J40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E7C8B"/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80" customWidth="1" min="4" max="4"/>
    <col width="3" customWidth="1" min="5" max="5"/>
  </cols>
  <sheetData>
    <row r="1" ht="30" customHeight="1">
      <c r="A1" s="1" t="n"/>
      <c r="B1" s="48" t="inlineStr">
        <is>
          <t>AYUDA Y PREGUNTAS FRECUENTES</t>
        </is>
      </c>
      <c r="E1" s="1" t="n"/>
    </row>
    <row r="2">
      <c r="A2" s="1" t="n"/>
      <c r="B2" s="49" t="inlineStr">
        <is>
          <t>CONTROL DE VACACIONES</t>
        </is>
      </c>
      <c r="E2" s="1" t="n"/>
    </row>
    <row r="3">
      <c r="A3" s="8" t="n"/>
      <c r="B3" s="8" t="n"/>
      <c r="C3" s="8" t="n"/>
      <c r="D3" s="8" t="n"/>
      <c r="E3" s="8" t="n"/>
    </row>
    <row r="4">
      <c r="A4" s="4" t="n"/>
      <c r="B4" s="4" t="n"/>
      <c r="C4" s="4" t="n"/>
      <c r="D4" s="4" t="n"/>
      <c r="E4" s="4" t="n"/>
    </row>
    <row r="5" ht="24" customHeight="1">
      <c r="A5" s="4" t="n"/>
      <c r="B5" s="9" t="inlineStr">
        <is>
          <t>PREGUNTAS FRECUENTES</t>
        </is>
      </c>
      <c r="C5" s="10" t="n"/>
      <c r="D5" s="10" t="n"/>
      <c r="E5" s="4" t="n"/>
    </row>
    <row r="6" ht="38" customHeight="1">
      <c r="A6" s="4" t="n"/>
      <c r="B6" s="4" t="n"/>
      <c r="C6" s="50" t="inlineStr">
        <is>
          <t>¿Cuántos días me corresponden al primer año?</t>
        </is>
      </c>
      <c r="D6" s="51" t="inlineStr">
        <is>
          <t>12 días laborables. Cada año aumentan 2 días hasta el cuarto año; después, 2 días cada 5 años.</t>
        </is>
      </c>
      <c r="E6" s="4" t="n"/>
    </row>
    <row r="7" ht="38" customHeight="1">
      <c r="A7" s="4" t="n"/>
      <c r="B7" s="4" t="n"/>
      <c r="C7" s="50" t="inlineStr">
        <is>
          <t>¿Se pagan los días no gozados?</t>
        </is>
      </c>
      <c r="D7" s="51" t="inlineStr">
        <is>
          <t>No se pueden cambiar por dinero mientras continúe la relación laboral; solo se pagan en el finiquito.</t>
        </is>
      </c>
      <c r="E7" s="4" t="n"/>
    </row>
    <row r="8" ht="53" customHeight="1">
      <c r="A8" s="4" t="n"/>
      <c r="B8" s="4" t="n"/>
      <c r="C8" s="50" t="inlineStr">
        <is>
          <t>¿Por qué no puedo escribir en algunas celdas?</t>
        </is>
      </c>
      <c r="D8" s="51" t="inlineStr">
        <is>
          <t>La hoja está protegida para que no se borren fórmulas por accidente. Solo se editan las celdas de captura (color crema). Si necesitas modificar algo más: pestaña Revisar &gt; Desproteger hoja (no tiene contraseña).</t>
        </is>
      </c>
      <c r="E8" s="4" t="n"/>
    </row>
    <row r="9" ht="38" customHeight="1">
      <c r="A9" s="4" t="n"/>
      <c r="B9" s="4" t="n"/>
      <c r="C9" s="50" t="inlineStr">
        <is>
          <t>¿Cómo agrego mi logotipo?</t>
        </is>
      </c>
      <c r="D9" s="51" t="inlineStr">
        <is>
          <t>Haz clic en el recuadro punteado de la esquina superior derecha del formato y usa Insertar &gt; Imágenes. Ajusta el tamaño sin salirte del recuadro.</t>
        </is>
      </c>
      <c r="E9" s="4" t="n"/>
    </row>
    <row r="10" ht="38" customHeight="1">
      <c r="A10" s="4" t="n"/>
      <c r="B10" s="4" t="n"/>
      <c r="C10" s="50" t="inlineStr">
        <is>
          <t>¿Cómo lo imprimo o lo convierto a PDF?</t>
        </is>
      </c>
      <c r="D10" s="51" t="inlineStr">
        <is>
          <t>Archivo &gt; Imprimir (ya está ajustado a una hoja de ancho). Para PDF elige 'Microsoft Print to PDF' o Archivo &gt; Exportar &gt; PDF.</t>
        </is>
      </c>
      <c r="E10" s="4" t="n"/>
    </row>
    <row r="11" ht="38" customHeight="1">
      <c r="A11" s="4" t="n"/>
      <c r="B11" s="4" t="n"/>
      <c r="C11" s="50" t="inlineStr">
        <is>
          <t>¿Con qué versiones de Excel funciona?</t>
        </is>
      </c>
      <c r="D11" s="51" t="inlineStr">
        <is>
          <t>Excel 2016, 2019, 2021 y Microsoft 365 (Windows y Mac). Funciona en LibreOffice y Google Sheets, aunque algunas gráficas y formatos pueden verse distintos.</t>
        </is>
      </c>
      <c r="E11" s="4" t="n"/>
    </row>
    <row r="12" ht="38" customHeight="1">
      <c r="A12" s="4" t="n"/>
      <c r="B12" s="4" t="n"/>
      <c r="C12" s="50" t="inlineStr">
        <is>
          <t>¿Por qué la letra se ve diferente?</t>
        </is>
      </c>
      <c r="D12" s="51" t="inlineStr">
        <is>
          <t>El diseño usa la fuente Abadi, incluida en Microsoft 365. Si tu versión no la tiene, Excel la sustituye por otra; no afecta el funcionamiento.</t>
        </is>
      </c>
      <c r="E12" s="4" t="n"/>
    </row>
    <row r="13" ht="38" customHeight="1">
      <c r="A13" s="4" t="n"/>
      <c r="B13" s="4" t="n"/>
      <c r="C13" s="50" t="inlineStr">
        <is>
          <t>¿Puedo usarlo en varias empresas o por varios años?</t>
        </is>
      </c>
      <c r="D13" s="51" t="inlineStr">
        <is>
          <t>Sí. Guarda una copia del archivo por empresa o por periodo (Archivo &gt; Guardar como) y deja el original en blanco como plantilla maestra.</t>
        </is>
      </c>
      <c r="E13" s="4" t="n"/>
    </row>
    <row r="14">
      <c r="A14" s="4" t="n"/>
      <c r="B14" s="4" t="n"/>
      <c r="C14" s="4" t="n"/>
      <c r="D14" s="4" t="n"/>
      <c r="E14" s="4" t="n"/>
    </row>
    <row r="15" ht="24" customHeight="1">
      <c r="A15" s="4" t="n"/>
      <c r="B15" s="9" t="inlineStr">
        <is>
          <t>GLOSARIO</t>
        </is>
      </c>
      <c r="C15" s="10" t="n"/>
      <c r="D15" s="10" t="n"/>
      <c r="E15" s="4" t="n"/>
    </row>
    <row r="16" ht="21" customHeight="1">
      <c r="A16" s="4" t="n"/>
      <c r="B16" s="4" t="n"/>
      <c r="C16" s="52" t="inlineStr">
        <is>
          <t>ANTIGÜEDAD</t>
        </is>
      </c>
      <c r="D16" s="53" t="inlineStr">
        <is>
          <t>Años completos de servicio.</t>
        </is>
      </c>
      <c r="E16" s="4" t="n"/>
    </row>
    <row r="17" ht="21" customHeight="1">
      <c r="A17" s="4" t="n"/>
      <c r="B17" s="4" t="n"/>
      <c r="C17" s="52" t="inlineStr">
        <is>
          <t>PRIMA VACACIONAL</t>
        </is>
      </c>
      <c r="D17" s="53" t="inlineStr">
        <is>
          <t>Pago adicional del 25% sobre los días de vacaciones.</t>
        </is>
      </c>
      <c r="E17" s="4" t="n"/>
    </row>
    <row r="18" ht="21" customHeight="1">
      <c r="A18" s="4" t="n"/>
      <c r="B18" s="4" t="n"/>
      <c r="C18" s="52" t="inlineStr">
        <is>
          <t>DÍAS PENDIENTES</t>
        </is>
      </c>
      <c r="D18" s="53" t="inlineStr">
        <is>
          <t>Días correspondientes - días tomados.</t>
        </is>
      </c>
      <c r="E18" s="4" t="n"/>
    </row>
    <row r="19">
      <c r="A19" s="4" t="n"/>
      <c r="B19" s="4" t="n"/>
      <c r="C19" s="4" t="n"/>
      <c r="D19" s="4" t="n"/>
      <c r="E19" s="4" t="n"/>
    </row>
    <row r="20" ht="24" customHeight="1">
      <c r="A20" s="4" t="n"/>
      <c r="B20" s="9" t="inlineStr">
        <is>
          <t>LISTA DE VERIFICACIÓN (marca ☑ al completar)</t>
        </is>
      </c>
      <c r="C20" s="10" t="n"/>
      <c r="D20" s="10" t="n"/>
      <c r="E20" s="4" t="n"/>
    </row>
    <row r="21" ht="20" customHeight="1">
      <c r="A21" s="4" t="n"/>
      <c r="B21" s="54" t="inlineStr">
        <is>
          <t>☐</t>
        </is>
      </c>
      <c r="C21" s="55" t="inlineStr">
        <is>
          <t>Fechas de ingreso verificadas</t>
        </is>
      </c>
      <c r="E21" s="4" t="n"/>
    </row>
    <row r="22" ht="20" customHeight="1">
      <c r="A22" s="4" t="n"/>
      <c r="B22" s="54" t="inlineStr">
        <is>
          <t>☐</t>
        </is>
      </c>
      <c r="C22" s="55" t="inlineStr">
        <is>
          <t>Días tomados actualizados</t>
        </is>
      </c>
      <c r="E22" s="4" t="n"/>
    </row>
    <row r="23" ht="20" customHeight="1">
      <c r="A23" s="4" t="n"/>
      <c r="B23" s="54" t="inlineStr">
        <is>
          <t>☐</t>
        </is>
      </c>
      <c r="C23" s="55" t="inlineStr">
        <is>
          <t>Solicitudes firmadas archivadas</t>
        </is>
      </c>
      <c r="E23" s="4" t="n"/>
    </row>
    <row r="24" ht="20" customHeight="1">
      <c r="A24" s="4" t="n"/>
      <c r="B24" s="54" t="inlineStr">
        <is>
          <t>☐</t>
        </is>
      </c>
      <c r="C24" s="55" t="inlineStr">
        <is>
          <t>Prima vacacional programada en nómina</t>
        </is>
      </c>
      <c r="E24" s="4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C21:D21"/>
    <mergeCell ref="C24:D24"/>
    <mergeCell ref="B1:D1"/>
    <mergeCell ref="C22:D22"/>
    <mergeCell ref="C23:D23"/>
    <mergeCell ref="B2:D2"/>
  </mergeCells>
  <dataValidations count="1">
    <dataValidation sqref="B21 B22 B23 B24" showDropDown="0" showInputMessage="0" showErrorMessage="0" allowBlank="0" type="list">
      <formula1>"☐,☑"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2026-10-07T22:13:44Z</dcterms:created>
  <dcterms:modified xmlns:dcterms="http://purl.org/dc/terms/" xmlns:xsi="http://www.w3.org/2001/XMLSchema-instance" xsi:type="dcterms:W3CDTF">2026-10-07T22:13:47Z</dcterms:modified>
</cp:coreProperties>
</file>