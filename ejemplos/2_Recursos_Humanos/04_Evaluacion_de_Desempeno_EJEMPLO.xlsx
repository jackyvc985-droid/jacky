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sz val="12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2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thick">
        <color rgb="00C9A227"/>
      </top>
    </border>
    <border>
      <top style="thin">
        <color rgb="00C9A227"/>
      </top>
    </border>
    <border>
      <left/>
      <right/>
      <top style="thin">
        <color rgb="00C9D3DB"/>
      </top>
      <bottom/>
      <diagonal/>
    </border>
    <border>
      <left style="thin">
        <color rgb="00C9D3DB"/>
      </left>
      <right/>
      <top/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/>
      <bottom/>
      <diagonal/>
    </border>
    <border>
      <left style="thin">
        <color rgb="00C9D3DB"/>
      </left>
      <right/>
      <top/>
      <bottom style="thin">
        <color rgb="00C9D3DB"/>
      </bottom>
      <diagonal/>
    </border>
    <border>
      <left/>
      <right/>
      <top/>
      <bottom style="thin">
        <color rgb="00C9D3DB"/>
      </bottom>
      <diagonal/>
    </border>
    <border>
      <left/>
      <right style="thin">
        <color rgb="00C9D3DB"/>
      </right>
      <top/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11" fillId="2" borderId="0" pivotButton="0" quotePrefix="0" xfId="0"/>
    <xf numFmtId="0" fontId="0" fillId="0" borderId="7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top"/>
    </xf>
    <xf numFmtId="0" fontId="14" fillId="0" borderId="0" applyAlignment="1" pivotButton="0" quotePrefix="0" xfId="0">
      <alignment vertical="top" wrapText="1"/>
    </xf>
    <xf numFmtId="0" fontId="0" fillId="4" borderId="5" applyProtection="1" pivotButton="0" quotePrefix="0" xfId="0">
      <protection locked="0" hidden="0"/>
    </xf>
    <xf numFmtId="0" fontId="15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8" pivotButton="0" quotePrefix="0" xfId="0"/>
    <xf numFmtId="0" fontId="1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pivotButton="0" quotePrefix="0" xfId="0"/>
    <xf numFmtId="164" fontId="0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/>
    </xf>
    <xf numFmtId="0" fontId="0" fillId="6" borderId="5" pivotButton="0" quotePrefix="0" xfId="0"/>
    <xf numFmtId="9" fontId="0" fillId="4" borderId="5" applyProtection="1" pivotButton="0" quotePrefix="0" xfId="0">
      <protection locked="0" hidden="0"/>
    </xf>
    <xf numFmtId="2" fontId="0" fillId="5" borderId="5" pivotButton="0" quotePrefix="0" xfId="0"/>
    <xf numFmtId="0" fontId="6" fillId="0" borderId="0" applyAlignment="1" pivotButton="0" quotePrefix="0" xfId="0">
      <alignment horizontal="right"/>
    </xf>
    <xf numFmtId="9" fontId="7" fillId="3" borderId="5" pivotButton="0" quotePrefix="0" xfId="0"/>
    <xf numFmtId="2" fontId="7" fillId="3" borderId="5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6" pivotButton="0" quotePrefix="0" xfId="0"/>
    <xf numFmtId="0" fontId="6" fillId="0" borderId="0" applyAlignment="1" pivotButton="0" quotePrefix="0" xfId="0">
      <alignment horizontal="center"/>
    </xf>
    <xf numFmtId="0" fontId="3" fillId="0" borderId="18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6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Evaluación de desempeño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Llena los datos del empleado y califica cada criterio de 1 a 5.</t>
        </is>
      </c>
    </row>
    <row r="12" ht="21" customHeight="1">
      <c r="B12" s="7" t="n">
        <v>2</v>
      </c>
      <c r="C12" s="8" t="inlineStr">
        <is>
          <t>Los pesos suman 100% y pueden modificarse; cuida que el total siga siendo 100%.</t>
        </is>
      </c>
    </row>
    <row r="13" ht="21" customHeight="1">
      <c r="B13" s="7" t="n">
        <v>3</v>
      </c>
      <c r="C13" s="8" t="inlineStr">
        <is>
          <t>El resultado ponderado y la categoría se calculan automáticamente.</t>
        </is>
      </c>
    </row>
    <row r="14" ht="21" customHeight="1">
      <c r="B14" s="7" t="n">
        <v>4</v>
      </c>
      <c r="C14" s="8" t="inlineStr">
        <is>
          <t>Documenta fortalezas y plan de acción antes de recabar firmas.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33"/>
  <sheetViews>
    <sheetView showGridLines="0" workbookViewId="0">
      <selection activeCell="A1" sqref="A1"/>
    </sheetView>
  </sheetViews>
  <sheetFormatPr baseColWidth="8" defaultRowHeight="15"/>
  <cols>
    <col width="12.35" customWidth="1" min="1" max="1"/>
    <col width="46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44" customHeight="1">
      <c r="A1" s="15" t="inlineStr">
        <is>
          <t>EVALUACIÓN DE DESEMPEÑO</t>
        </is>
      </c>
      <c r="F1" s="34" t="inlineStr">
        <is>
          <t>INSERTE SU LOGO
(clic derecho &gt; Insertar imagen)</t>
        </is>
      </c>
    </row>
    <row r="2" ht="26" customHeight="1">
      <c r="A2" s="35" t="inlineStr">
        <is>
          <t>Califica de 1 (deficiente) a 5 (sobresaliente)</t>
        </is>
      </c>
      <c r="B2" s="18" t="n"/>
      <c r="C2" s="18" t="n"/>
      <c r="D2" s="18" t="n"/>
      <c r="E2" s="18" t="n"/>
      <c r="F2" s="36" t="n"/>
    </row>
    <row r="4">
      <c r="A4" s="20" t="inlineStr">
        <is>
          <t>Empleado</t>
        </is>
      </c>
      <c r="B4" s="9" t="inlineStr">
        <is>
          <t>Ana López Ramírez</t>
        </is>
      </c>
      <c r="C4" s="37" t="n"/>
      <c r="D4" s="20" t="inlineStr">
        <is>
          <t>Puesto</t>
        </is>
      </c>
      <c r="E4" s="9" t="inlineStr">
        <is>
          <t>Coordinadora administrativa</t>
        </is>
      </c>
      <c r="F4" s="37" t="n"/>
    </row>
    <row r="5">
      <c r="A5" s="20" t="inlineStr">
        <is>
          <t>Área</t>
        </is>
      </c>
      <c r="B5" s="9" t="inlineStr">
        <is>
          <t>Administración</t>
        </is>
      </c>
      <c r="C5" s="37" t="n"/>
      <c r="D5" s="20" t="inlineStr">
        <is>
          <t>Periodo</t>
        </is>
      </c>
      <c r="E5" s="9" t="inlineStr">
        <is>
          <t>Enero - Junio 2026</t>
        </is>
      </c>
      <c r="F5" s="37" t="n"/>
    </row>
    <row r="6">
      <c r="A6" s="20" t="inlineStr">
        <is>
          <t>Evaluador</t>
        </is>
      </c>
      <c r="B6" s="9" t="inlineStr">
        <is>
          <t>Lic. Jorge Medina</t>
        </is>
      </c>
      <c r="C6" s="37" t="n"/>
      <c r="D6" s="20" t="inlineStr">
        <is>
          <t>Fecha</t>
        </is>
      </c>
      <c r="E6" s="21" t="n">
        <v>46206</v>
      </c>
      <c r="F6" s="37" t="n"/>
    </row>
    <row r="8" ht="32" customHeight="1">
      <c r="A8" s="22" t="inlineStr">
        <is>
          <t>No.</t>
        </is>
      </c>
      <c r="B8" s="22" t="inlineStr">
        <is>
          <t>Criterio</t>
        </is>
      </c>
      <c r="C8" s="22" t="inlineStr">
        <is>
          <t>Calificación (1-5)</t>
        </is>
      </c>
      <c r="D8" s="22" t="inlineStr">
        <is>
          <t>Peso %</t>
        </is>
      </c>
      <c r="E8" s="22" t="inlineStr">
        <is>
          <t>Ponderado</t>
        </is>
      </c>
      <c r="F8" s="22" t="inlineStr">
        <is>
          <t>Comentarios</t>
        </is>
      </c>
    </row>
    <row r="9">
      <c r="A9" s="23" t="n">
        <v>1</v>
      </c>
      <c r="B9" s="24" t="inlineStr">
        <is>
          <t>Calidad del trabajo</t>
        </is>
      </c>
      <c r="C9" s="9" t="n">
        <v>5</v>
      </c>
      <c r="D9" s="25" t="n">
        <v>0.2</v>
      </c>
      <c r="E9" s="26">
        <f>IF(C9="","",C9*D9)</f>
        <v/>
      </c>
      <c r="F9" s="9" t="inlineStr">
        <is>
          <t>Cero errores en cierres mensuales.</t>
        </is>
      </c>
    </row>
    <row r="10">
      <c r="A10" s="23" t="n">
        <v>2</v>
      </c>
      <c r="B10" s="24" t="inlineStr">
        <is>
          <t>Cumplimiento de objetivos</t>
        </is>
      </c>
      <c r="C10" s="9" t="n">
        <v>4</v>
      </c>
      <c r="D10" s="25" t="n">
        <v>0.2</v>
      </c>
      <c r="E10" s="26">
        <f>IF(C10="","",C10*D10)</f>
        <v/>
      </c>
      <c r="F10" s="9" t="inlineStr">
        <is>
          <t>Cumplió 96% de objetivos.</t>
        </is>
      </c>
    </row>
    <row r="11">
      <c r="A11" s="23" t="n">
        <v>3</v>
      </c>
      <c r="B11" s="24" t="inlineStr">
        <is>
          <t>Productividad y orden</t>
        </is>
      </c>
      <c r="C11" s="9" t="n">
        <v>4</v>
      </c>
      <c r="D11" s="25" t="n">
        <v>0.1</v>
      </c>
      <c r="E11" s="26">
        <f>IF(C11="","",C11*D11)</f>
        <v/>
      </c>
      <c r="F11" s="9" t="n"/>
    </row>
    <row r="12">
      <c r="A12" s="23" t="n">
        <v>4</v>
      </c>
      <c r="B12" s="24" t="inlineStr">
        <is>
          <t>Trabajo en equipo</t>
        </is>
      </c>
      <c r="C12" s="9" t="n">
        <v>5</v>
      </c>
      <c r="D12" s="25" t="n">
        <v>0.1</v>
      </c>
      <c r="E12" s="26">
        <f>IF(C12="","",C12*D12)</f>
        <v/>
      </c>
      <c r="F12" s="9" t="n"/>
    </row>
    <row r="13">
      <c r="A13" s="23" t="n">
        <v>5</v>
      </c>
      <c r="B13" s="24" t="inlineStr">
        <is>
          <t>Comunicación</t>
        </is>
      </c>
      <c r="C13" s="9" t="n">
        <v>4</v>
      </c>
      <c r="D13" s="25" t="n">
        <v>0.1</v>
      </c>
      <c r="E13" s="26">
        <f>IF(C13="","",C13*D13)</f>
        <v/>
      </c>
      <c r="F13" s="9" t="n"/>
    </row>
    <row r="14">
      <c r="A14" s="23" t="n">
        <v>6</v>
      </c>
      <c r="B14" s="24" t="inlineStr">
        <is>
          <t>Iniciativa y proactividad</t>
        </is>
      </c>
      <c r="C14" s="9" t="n">
        <v>4</v>
      </c>
      <c r="D14" s="25" t="n">
        <v>0.1</v>
      </c>
      <c r="E14" s="26">
        <f>IF(C14="","",C14*D14)</f>
        <v/>
      </c>
      <c r="F14" s="9" t="n"/>
    </row>
    <row r="15">
      <c r="A15" s="23" t="n">
        <v>7</v>
      </c>
      <c r="B15" s="24" t="inlineStr">
        <is>
          <t>Puntualidad y asistencia</t>
        </is>
      </c>
      <c r="C15" s="9" t="n">
        <v>5</v>
      </c>
      <c r="D15" s="25" t="n">
        <v>0.1</v>
      </c>
      <c r="E15" s="26">
        <f>IF(C15="","",C15*D15)</f>
        <v/>
      </c>
      <c r="F15" s="9" t="n"/>
    </row>
    <row r="16">
      <c r="A16" s="23" t="n">
        <v>8</v>
      </c>
      <c r="B16" s="24" t="inlineStr">
        <is>
          <t>Apego a políticas y valores</t>
        </is>
      </c>
      <c r="C16" s="9" t="n">
        <v>5</v>
      </c>
      <c r="D16" s="25" t="n">
        <v>0.1</v>
      </c>
      <c r="E16" s="26">
        <f>IF(C16="","",C16*D16)</f>
        <v/>
      </c>
      <c r="F16" s="9" t="n"/>
    </row>
    <row r="17">
      <c r="C17" s="27" t="inlineStr">
        <is>
          <t>RESULTADO</t>
        </is>
      </c>
      <c r="D17" s="28">
        <f>SUM(D9:D16)</f>
        <v/>
      </c>
      <c r="E17" s="29">
        <f>SUM(E9:E16)</f>
        <v/>
      </c>
    </row>
    <row r="18">
      <c r="B18" s="30">
        <f>IF(COUNT(C9:C16)=0,"",IF(E17&gt;=4.5,"Sobresaliente",IF(E17&gt;=3.5,"Satisfactorio",IF(E17&gt;=2.5,"Requiere mejora","Deficiente"))))</f>
        <v/>
      </c>
    </row>
    <row r="20">
      <c r="B20" s="31" t="inlineStr">
        <is>
          <t>Fortalezas</t>
        </is>
      </c>
    </row>
    <row r="21">
      <c r="B21" s="9" t="inlineStr">
        <is>
          <t>Excelente organización, cumple fechas límite y apoya a su equipo.</t>
        </is>
      </c>
      <c r="C21" s="38" t="n"/>
      <c r="D21" s="38" t="n"/>
      <c r="E21" s="38" t="n"/>
      <c r="F21" s="39" t="n"/>
    </row>
    <row r="22">
      <c r="B22" s="40" t="n"/>
      <c r="C22" s="41" t="n"/>
      <c r="D22" s="41" t="n"/>
      <c r="E22" s="41" t="n"/>
      <c r="F22" s="42" t="n"/>
    </row>
    <row r="23">
      <c r="B23" s="43" t="n"/>
      <c r="C23" s="44" t="n"/>
      <c r="D23" s="44" t="n"/>
      <c r="E23" s="44" t="n"/>
      <c r="F23" s="45" t="n"/>
    </row>
    <row r="25">
      <c r="B25" s="31" t="inlineStr">
        <is>
          <t>Áreas de oportunidad / plan de acción</t>
        </is>
      </c>
    </row>
    <row r="26">
      <c r="B26" s="9" t="inlineStr">
        <is>
          <t>Fortalecer delegación de tareas; curso de liderazgo en el segundo semestre.</t>
        </is>
      </c>
      <c r="C26" s="38" t="n"/>
      <c r="D26" s="38" t="n"/>
      <c r="E26" s="38" t="n"/>
      <c r="F26" s="39" t="n"/>
    </row>
    <row r="27">
      <c r="B27" s="40" t="n"/>
      <c r="C27" s="41" t="n"/>
      <c r="D27" s="41" t="n"/>
      <c r="E27" s="41" t="n"/>
      <c r="F27" s="42" t="n"/>
    </row>
    <row r="28">
      <c r="B28" s="43" t="n"/>
      <c r="C28" s="44" t="n"/>
      <c r="D28" s="44" t="n"/>
      <c r="E28" s="44" t="n"/>
      <c r="F28" s="45" t="n"/>
    </row>
    <row r="32">
      <c r="A32" s="32" t="n"/>
      <c r="C32" s="32" t="n"/>
      <c r="E32" s="32" t="n"/>
    </row>
    <row r="33">
      <c r="A33" s="33" t="inlineStr">
        <is>
          <t>Evaluado</t>
        </is>
      </c>
      <c r="C33" s="33" t="inlineStr">
        <is>
          <t>Evaluador</t>
        </is>
      </c>
      <c r="E33" s="33" t="inlineStr">
        <is>
          <t>RH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B26:F28"/>
    <mergeCell ref="E4:F4"/>
    <mergeCell ref="B6:C6"/>
    <mergeCell ref="E6:F6"/>
    <mergeCell ref="B21:F23"/>
    <mergeCell ref="A2:E2"/>
    <mergeCell ref="B5:C5"/>
    <mergeCell ref="E5:F5"/>
    <mergeCell ref="C33"/>
    <mergeCell ref="A1:E1"/>
    <mergeCell ref="C32"/>
    <mergeCell ref="E33"/>
    <mergeCell ref="F1:F2"/>
    <mergeCell ref="E32"/>
    <mergeCell ref="A33"/>
    <mergeCell ref="B4:C4"/>
    <mergeCell ref="A32"/>
  </mergeCells>
  <dataValidations count="1">
    <dataValidation sqref="C9:C16" showDropDown="0" showInputMessage="0" showErrorMessage="0" allowBlank="1" type="list">
      <formula1>"1,2,3,4,5"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2026-10-07T18:10:58Z</dcterms:modified>
</cp:coreProperties>
</file>