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;;"/>
    <numFmt numFmtId="165" formatCode="0.0%"/>
  </numFmts>
  <fonts count="25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6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/>
      <top style="thin">
        <color rgb="00C9D3DB"/>
      </top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right/>
      <bottom style="medium">
        <color rgb="00C9A227"/>
      </bottom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4" fillId="2" borderId="0" pivotButton="0" quotePrefix="0" xfId="0"/>
    <xf numFmtId="0" fontId="8" fillId="2" borderId="0" pivotButton="0" quotePrefix="0" xfId="0"/>
    <xf numFmtId="0" fontId="9" fillId="2" borderId="0" applyAlignment="1" pivotButton="0" quotePrefix="0" xfId="0">
      <alignment horizontal="right" vertical="center"/>
    </xf>
    <xf numFmtId="0" fontId="24" fillId="0" borderId="0" pivotButton="0" quotePrefix="0" xfId="0"/>
    <xf numFmtId="0" fontId="10" fillId="2" borderId="0" applyAlignment="1" pivotButton="0" quotePrefix="0" xfId="0">
      <alignment vertical="center" wrapText="1"/>
    </xf>
    <xf numFmtId="0" fontId="11" fillId="2" borderId="0" pivotButton="0" quotePrefix="0" xfId="0"/>
    <xf numFmtId="0" fontId="12" fillId="2" borderId="14" applyAlignment="1" pivotButton="0" quotePrefix="0" xfId="0">
      <alignment horizontal="center" vertical="center"/>
    </xf>
    <xf numFmtId="0" fontId="24" fillId="0" borderId="15" pivotButton="0" quotePrefix="0" xfId="0"/>
    <xf numFmtId="0" fontId="13" fillId="0" borderId="1" pivotButton="0" quotePrefix="0" xfId="0"/>
    <xf numFmtId="0" fontId="24" fillId="0" borderId="1" pivotButton="0" quotePrefix="0" xfId="0"/>
    <xf numFmtId="0" fontId="8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  <xf numFmtId="0" fontId="14" fillId="0" borderId="0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4" fillId="4" borderId="9" applyProtection="1" pivotButton="0" quotePrefix="0" xfId="0">
      <protection locked="0" hidden="0"/>
    </xf>
    <xf numFmtId="0" fontId="18" fillId="0" borderId="0" pivotButton="0" quotePrefix="0" xfId="0"/>
    <xf numFmtId="0" fontId="24" fillId="5" borderId="9" pivotButton="0" quotePrefix="0" xfId="0"/>
    <xf numFmtId="0" fontId="24" fillId="2" borderId="9" pivotButton="0" quotePrefix="0" xfId="0"/>
    <xf numFmtId="0" fontId="19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4" fillId="0" borderId="4" pivotButton="0" quotePrefix="0" xfId="0"/>
    <xf numFmtId="0" fontId="24" fillId="0" borderId="5" pivotButton="0" quotePrefix="0" xfId="0"/>
    <xf numFmtId="0" fontId="2" fillId="0" borderId="1" applyAlignment="1" pivotButton="0" quotePrefix="0" xfId="0">
      <alignment horizontal="center" vertical="center"/>
    </xf>
    <xf numFmtId="0" fontId="24" fillId="0" borderId="2" pivotButton="0" quotePrefix="0" xfId="0"/>
    <xf numFmtId="0" fontId="24" fillId="0" borderId="6" pivotButton="0" quotePrefix="0" xfId="0"/>
    <xf numFmtId="0" fontId="24" fillId="0" borderId="7" pivotButton="0" quotePrefix="0" xfId="0"/>
    <xf numFmtId="0" fontId="24" fillId="0" borderId="8" pivotButton="0" quotePrefix="0" xfId="0"/>
    <xf numFmtId="0" fontId="4" fillId="3" borderId="9" pivotButton="0" quotePrefix="0" xfId="0"/>
    <xf numFmtId="0" fontId="5" fillId="2" borderId="9" applyAlignment="1" pivotButton="0" quotePrefix="0" xfId="0">
      <alignment horizontal="center" vertical="center" wrapText="1"/>
    </xf>
    <xf numFmtId="0" fontId="24" fillId="5" borderId="9" applyAlignment="1" pivotButton="0" quotePrefix="0" xfId="0">
      <alignment horizontal="center"/>
    </xf>
    <xf numFmtId="0" fontId="24" fillId="4" borderId="9" applyAlignment="1" applyProtection="1" pivotButton="0" quotePrefix="0" xfId="0">
      <alignment horizontal="center"/>
      <protection locked="0" hidden="0"/>
    </xf>
    <xf numFmtId="164" fontId="24" fillId="5" borderId="9" pivotButton="0" quotePrefix="0" xfId="0"/>
    <xf numFmtId="0" fontId="6" fillId="3" borderId="10" applyAlignment="1" pivotButton="0" quotePrefix="0" xfId="0">
      <alignment horizontal="center" vertical="center"/>
    </xf>
    <xf numFmtId="0" fontId="24" fillId="3" borderId="11" pivotButton="0" quotePrefix="0" xfId="0"/>
    <xf numFmtId="1" fontId="7" fillId="6" borderId="12" applyAlignment="1" pivotButton="0" quotePrefix="0" xfId="0">
      <alignment horizontal="center" vertical="center"/>
    </xf>
    <xf numFmtId="0" fontId="24" fillId="6" borderId="13" pivotButton="0" quotePrefix="0" xfId="0"/>
    <xf numFmtId="165" fontId="7" fillId="6" borderId="12" applyAlignment="1" pivotButton="0" quotePrefix="0" xfId="0">
      <alignment horizontal="center" vertical="center"/>
    </xf>
    <xf numFmtId="0" fontId="24" fillId="0" borderId="9" pivotButton="0" quotePrefix="0" xfId="0"/>
    <xf numFmtId="0" fontId="20" fillId="2" borderId="0" applyAlignment="1" pivotButton="0" quotePrefix="0" xfId="0">
      <alignment vertical="center"/>
    </xf>
    <xf numFmtId="0" fontId="21" fillId="2" borderId="0" pivotButton="0" quotePrefix="0" xfId="0"/>
    <xf numFmtId="0" fontId="14" fillId="0" borderId="16" applyAlignment="1" pivotButton="0" quotePrefix="0" xfId="0">
      <alignment vertical="top" wrapText="1"/>
    </xf>
    <xf numFmtId="0" fontId="15" fillId="0" borderId="16" applyAlignment="1" pivotButton="0" quotePrefix="0" xfId="0">
      <alignment vertical="top" wrapText="1"/>
    </xf>
    <xf numFmtId="0" fontId="22" fillId="0" borderId="16" pivotButton="0" quotePrefix="0" xfId="0"/>
    <xf numFmtId="0" fontId="15" fillId="0" borderId="16" applyAlignment="1" pivotButton="0" quotePrefix="0" xfId="0">
      <alignment vertical="center" wrapText="1"/>
    </xf>
    <xf numFmtId="0" fontId="23" fillId="4" borderId="9" applyAlignment="1" applyProtection="1" pivotButton="0" quotePrefix="0" xfId="0">
      <alignment horizontal="center"/>
      <protection locked="0" hidden="0"/>
    </xf>
    <xf numFmtId="0" fontId="15" fillId="0" borderId="0" pivotButton="0" quotePrefix="0" xfId="0"/>
    <xf numFmtId="0" fontId="3" fillId="0" borderId="22" applyAlignment="1" pivotButton="0" quotePrefix="0" xfId="0">
      <alignment horizontal="center" vertical="center" wrapText="1"/>
    </xf>
    <xf numFmtId="0" fontId="0" fillId="0" borderId="23" pivotButton="0" quotePrefix="0" xfId="0"/>
    <xf numFmtId="0" fontId="0" fillId="0" borderId="25" pivotButton="0" quotePrefix="0" xfId="0"/>
    <xf numFmtId="0" fontId="2" fillId="0" borderId="2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19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6" fillId="3" borderId="30" applyAlignment="1" pivotButton="0" quotePrefix="0" xfId="0">
      <alignment horizontal="center" vertical="center"/>
    </xf>
    <xf numFmtId="0" fontId="0" fillId="0" borderId="32" pivotButton="0" quotePrefix="0" xfId="0"/>
    <xf numFmtId="1" fontId="7" fillId="6" borderId="33" applyAlignment="1" pivotButton="0" quotePrefix="0" xfId="0">
      <alignment horizontal="center" vertical="center"/>
    </xf>
    <xf numFmtId="0" fontId="0" fillId="0" borderId="35" pivotButton="0" quotePrefix="0" xfId="0"/>
    <xf numFmtId="165" fontId="7" fillId="6" borderId="3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Faltas y retardos por empleado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'RESUMEN'!$B$26:$B$40</f>
            </numRef>
          </cat>
          <val>
            <numRef>
              <f>'RESUMEN'!$C$26:$C$40</f>
            </numRef>
          </val>
        </ser>
        <ser>
          <idx val="1"/>
          <order val="1"/>
          <tx>
            <strRef>
              <f>'RESUMEN'!D25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'RESUMEN'!$B$26:$B$40</f>
            </numRef>
          </cat>
          <val>
            <numRef>
              <f>'RESUMEN'!$D$26:$D$40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ASISTENCIA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Escribe el mes y los nombres de tus empleados (hasta 50).</t>
        </is>
      </c>
      <c r="G21" s="4" t="n"/>
    </row>
    <row r="22" ht="21" customHeight="1">
      <c r="A22" s="4" t="n"/>
      <c r="B22" s="15" t="n">
        <v>2</v>
      </c>
      <c r="C22" s="13" t="inlineStr">
        <is>
          <t>Cada día selecciona la clave en la lista: A, F, R, V, I, D o P.</t>
        </is>
      </c>
      <c r="G22" s="4" t="n"/>
    </row>
    <row r="23" ht="21" customHeight="1">
      <c r="A23" s="4" t="n"/>
      <c r="B23" s="15" t="n">
        <v>3</v>
      </c>
      <c r="C23" s="13" t="inlineStr">
        <is>
          <t>Las columnas finales suman automáticamente asistencias, faltas, retardos, vacaciones e incapacidades.</t>
        </is>
      </c>
      <c r="G23" s="4" t="n"/>
    </row>
    <row r="24" ht="21" customHeight="1">
      <c r="A24" s="4" t="n"/>
      <c r="B24" s="15" t="n">
        <v>4</v>
      </c>
      <c r="C24" s="13" t="inlineStr">
        <is>
          <t>Imprime en horizontal; cabe en una sola hoja.</t>
        </is>
      </c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Llena el control a diario; los registros hechos al final del mes pierden precisión.</t>
        </is>
      </c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Usa las claves A, F, R, V, I, D y P de forma uniforme para que los conteos sean correctos.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Tres retardos pueden equivaler a una falta según tu reglamento interior; defínelo por escrito.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Conserva los controles firmados por al menos 2 años.</t>
        </is>
      </c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Formatos administrativos  ·  Para uso interno de tu empresa</t>
        </is>
      </c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AL56"/>
  <sheetViews>
    <sheetView showGridLines="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</cols>
  <sheetData>
    <row r="1" ht="44" customHeight="1">
      <c r="A1" s="22" t="inlineStr">
        <is>
          <t>CONTROL DE ASISTENCIA MENSUAL</t>
        </is>
      </c>
      <c r="AJ1" s="50" t="inlineStr">
        <is>
          <t>INSERTE SU LOGO
(clic derecho &gt; Insertar imagen)</t>
        </is>
      </c>
      <c r="AK1" s="51" t="n"/>
      <c r="AL1" s="52" t="n"/>
    </row>
    <row r="2" ht="26" customHeight="1">
      <c r="A2" s="53" t="inlineStr">
        <is>
          <t>A=Asistencia · F=Falta · R=Retardo · V=Vacaciones · I=Incapacidad · D=Descanso · P=Permiso</t>
        </is>
      </c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54" t="n"/>
      <c r="L2" s="54" t="n"/>
      <c r="M2" s="54" t="n"/>
      <c r="N2" s="54" t="n"/>
      <c r="O2" s="54" t="n"/>
      <c r="P2" s="54" t="n"/>
      <c r="Q2" s="54" t="n"/>
      <c r="R2" s="54" t="n"/>
      <c r="S2" s="54" t="n"/>
      <c r="T2" s="54" t="n"/>
      <c r="U2" s="54" t="n"/>
      <c r="V2" s="54" t="n"/>
      <c r="W2" s="54" t="n"/>
      <c r="X2" s="54" t="n"/>
      <c r="Y2" s="54" t="n"/>
      <c r="Z2" s="54" t="n"/>
      <c r="AA2" s="54" t="n"/>
      <c r="AB2" s="54" t="n"/>
      <c r="AC2" s="54" t="n"/>
      <c r="AD2" s="54" t="n"/>
      <c r="AE2" s="54" t="n"/>
      <c r="AF2" s="54" t="n"/>
      <c r="AG2" s="54" t="n"/>
      <c r="AH2" s="54" t="n"/>
      <c r="AI2" s="54" t="n"/>
      <c r="AJ2" s="55" t="n"/>
      <c r="AK2" s="56" t="n"/>
      <c r="AL2" s="57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</row>
    <row r="4">
      <c r="A4" s="4" t="n"/>
      <c r="B4" s="31" t="inlineStr">
        <is>
          <t>EMPRESA</t>
        </is>
      </c>
      <c r="C4" s="17" t="inlineStr">
        <is>
          <t>COMERCIALIZADORA EJEMPLO S.A. DE C.V.</t>
        </is>
      </c>
      <c r="D4" s="58" t="n"/>
      <c r="E4" s="58" t="n"/>
      <c r="F4" s="58" t="n"/>
      <c r="G4" s="58" t="n"/>
      <c r="H4" s="58" t="n"/>
      <c r="I4" s="58" t="n"/>
      <c r="J4" s="59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  <c r="AL4" s="4" t="n"/>
    </row>
    <row r="5">
      <c r="A5" s="4" t="n"/>
      <c r="B5" s="31" t="inlineStr">
        <is>
          <t>MES/AÑO</t>
        </is>
      </c>
      <c r="C5" s="17" t="inlineStr">
        <is>
          <t>SEPTIEMBRE 2026</t>
        </is>
      </c>
      <c r="D5" s="58" t="n"/>
      <c r="E5" s="58" t="n"/>
      <c r="F5" s="58" t="n"/>
      <c r="G5" s="58" t="n"/>
      <c r="H5" s="58" t="n"/>
      <c r="I5" s="58" t="n"/>
      <c r="J5" s="59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</row>
    <row r="6" ht="32" customHeight="1">
      <c r="A6" s="32" t="inlineStr">
        <is>
          <t>NO.</t>
        </is>
      </c>
      <c r="B6" s="32" t="inlineStr">
        <is>
          <t>EMPLEADO</t>
        </is>
      </c>
      <c r="C6" s="32" t="inlineStr">
        <is>
          <t>1</t>
        </is>
      </c>
      <c r="D6" s="32" t="inlineStr">
        <is>
          <t>2</t>
        </is>
      </c>
      <c r="E6" s="32" t="inlineStr">
        <is>
          <t>3</t>
        </is>
      </c>
      <c r="F6" s="32" t="inlineStr">
        <is>
          <t>4</t>
        </is>
      </c>
      <c r="G6" s="32" t="inlineStr">
        <is>
          <t>5</t>
        </is>
      </c>
      <c r="H6" s="32" t="inlineStr">
        <is>
          <t>6</t>
        </is>
      </c>
      <c r="I6" s="32" t="inlineStr">
        <is>
          <t>7</t>
        </is>
      </c>
      <c r="J6" s="32" t="inlineStr">
        <is>
          <t>8</t>
        </is>
      </c>
      <c r="K6" s="32" t="inlineStr">
        <is>
          <t>9</t>
        </is>
      </c>
      <c r="L6" s="32" t="inlineStr">
        <is>
          <t>10</t>
        </is>
      </c>
      <c r="M6" s="32" t="inlineStr">
        <is>
          <t>11</t>
        </is>
      </c>
      <c r="N6" s="32" t="inlineStr">
        <is>
          <t>12</t>
        </is>
      </c>
      <c r="O6" s="32" t="inlineStr">
        <is>
          <t>13</t>
        </is>
      </c>
      <c r="P6" s="32" t="inlineStr">
        <is>
          <t>14</t>
        </is>
      </c>
      <c r="Q6" s="32" t="inlineStr">
        <is>
          <t>15</t>
        </is>
      </c>
      <c r="R6" s="32" t="inlineStr">
        <is>
          <t>16</t>
        </is>
      </c>
      <c r="S6" s="32" t="inlineStr">
        <is>
          <t>17</t>
        </is>
      </c>
      <c r="T6" s="32" t="inlineStr">
        <is>
          <t>18</t>
        </is>
      </c>
      <c r="U6" s="32" t="inlineStr">
        <is>
          <t>19</t>
        </is>
      </c>
      <c r="V6" s="32" t="inlineStr">
        <is>
          <t>20</t>
        </is>
      </c>
      <c r="W6" s="32" t="inlineStr">
        <is>
          <t>21</t>
        </is>
      </c>
      <c r="X6" s="32" t="inlineStr">
        <is>
          <t>22</t>
        </is>
      </c>
      <c r="Y6" s="32" t="inlineStr">
        <is>
          <t>23</t>
        </is>
      </c>
      <c r="Z6" s="32" t="inlineStr">
        <is>
          <t>24</t>
        </is>
      </c>
      <c r="AA6" s="32" t="inlineStr">
        <is>
          <t>25</t>
        </is>
      </c>
      <c r="AB6" s="32" t="inlineStr">
        <is>
          <t>26</t>
        </is>
      </c>
      <c r="AC6" s="32" t="inlineStr">
        <is>
          <t>27</t>
        </is>
      </c>
      <c r="AD6" s="32" t="inlineStr">
        <is>
          <t>28</t>
        </is>
      </c>
      <c r="AE6" s="32" t="inlineStr">
        <is>
          <t>29</t>
        </is>
      </c>
      <c r="AF6" s="32" t="inlineStr">
        <is>
          <t>30</t>
        </is>
      </c>
      <c r="AG6" s="32" t="inlineStr">
        <is>
          <t>31</t>
        </is>
      </c>
      <c r="AH6" s="32" t="inlineStr">
        <is>
          <t>A</t>
        </is>
      </c>
      <c r="AI6" s="32" t="inlineStr">
        <is>
          <t>F</t>
        </is>
      </c>
      <c r="AJ6" s="32" t="inlineStr">
        <is>
          <t>R</t>
        </is>
      </c>
      <c r="AK6" s="32" t="inlineStr">
        <is>
          <t>V</t>
        </is>
      </c>
      <c r="AL6" s="32" t="inlineStr">
        <is>
          <t>I</t>
        </is>
      </c>
    </row>
    <row r="7">
      <c r="A7" s="33" t="n">
        <v>1</v>
      </c>
      <c r="B7" s="17" t="inlineStr">
        <is>
          <t>ANA LÓPEZ RAMÍREZ</t>
        </is>
      </c>
      <c r="C7" s="34" t="inlineStr">
        <is>
          <t>A</t>
        </is>
      </c>
      <c r="D7" s="34" t="inlineStr">
        <is>
          <t>A</t>
        </is>
      </c>
      <c r="E7" s="34" t="inlineStr">
        <is>
          <t>A</t>
        </is>
      </c>
      <c r="F7" s="34" t="inlineStr">
        <is>
          <t>A</t>
        </is>
      </c>
      <c r="G7" s="34" t="inlineStr">
        <is>
          <t>D</t>
        </is>
      </c>
      <c r="H7" s="34" t="inlineStr">
        <is>
          <t>D</t>
        </is>
      </c>
      <c r="I7" s="34" t="inlineStr">
        <is>
          <t>A</t>
        </is>
      </c>
      <c r="J7" s="34" t="inlineStr">
        <is>
          <t>A</t>
        </is>
      </c>
      <c r="K7" s="34" t="inlineStr">
        <is>
          <t>A</t>
        </is>
      </c>
      <c r="L7" s="34" t="inlineStr">
        <is>
          <t>A</t>
        </is>
      </c>
      <c r="M7" s="34" t="inlineStr">
        <is>
          <t>A</t>
        </is>
      </c>
      <c r="N7" s="34" t="inlineStr">
        <is>
          <t>D</t>
        </is>
      </c>
      <c r="O7" s="34" t="inlineStr">
        <is>
          <t>D</t>
        </is>
      </c>
      <c r="P7" s="34" t="inlineStr">
        <is>
          <t>A</t>
        </is>
      </c>
      <c r="Q7" s="34" t="inlineStr">
        <is>
          <t>A</t>
        </is>
      </c>
      <c r="R7" s="34" t="inlineStr">
        <is>
          <t>A</t>
        </is>
      </c>
      <c r="S7" s="34" t="inlineStr">
        <is>
          <t>A</t>
        </is>
      </c>
      <c r="T7" s="34" t="inlineStr">
        <is>
          <t>A</t>
        </is>
      </c>
      <c r="U7" s="34" t="inlineStr">
        <is>
          <t>D</t>
        </is>
      </c>
      <c r="V7" s="34" t="inlineStr">
        <is>
          <t>D</t>
        </is>
      </c>
      <c r="W7" s="34" t="inlineStr">
        <is>
          <t>A</t>
        </is>
      </c>
      <c r="X7" s="34" t="inlineStr">
        <is>
          <t>A</t>
        </is>
      </c>
      <c r="Y7" s="34" t="inlineStr">
        <is>
          <t>R</t>
        </is>
      </c>
      <c r="Z7" s="34" t="inlineStr">
        <is>
          <t>A</t>
        </is>
      </c>
      <c r="AA7" s="34" t="inlineStr">
        <is>
          <t>A</t>
        </is>
      </c>
      <c r="AB7" s="34" t="inlineStr">
        <is>
          <t>D</t>
        </is>
      </c>
      <c r="AC7" s="34" t="inlineStr">
        <is>
          <t>D</t>
        </is>
      </c>
      <c r="AD7" s="34" t="inlineStr">
        <is>
          <t>A</t>
        </is>
      </c>
      <c r="AE7" s="34" t="inlineStr">
        <is>
          <t>F</t>
        </is>
      </c>
      <c r="AF7" s="34" t="inlineStr">
        <is>
          <t>A</t>
        </is>
      </c>
      <c r="AG7" s="34" t="n"/>
      <c r="AH7" s="35">
        <f>COUNTIF(C7:AG7,"A")</f>
        <v/>
      </c>
      <c r="AI7" s="35">
        <f>COUNTIF(C7:AG7,"F")</f>
        <v/>
      </c>
      <c r="AJ7" s="35">
        <f>COUNTIF(C7:AG7,"R")</f>
        <v/>
      </c>
      <c r="AK7" s="35">
        <f>COUNTIF(C7:AG7,"V")</f>
        <v/>
      </c>
      <c r="AL7" s="35">
        <f>COUNTIF(C7:AG7,"I")</f>
        <v/>
      </c>
    </row>
    <row r="8">
      <c r="A8" s="33" t="n">
        <v>2</v>
      </c>
      <c r="B8" s="17" t="inlineStr">
        <is>
          <t>CARLOS PÉREZ SOTO</t>
        </is>
      </c>
      <c r="C8" s="34" t="inlineStr">
        <is>
          <t>A</t>
        </is>
      </c>
      <c r="D8" s="34" t="inlineStr">
        <is>
          <t>A</t>
        </is>
      </c>
      <c r="E8" s="34" t="inlineStr">
        <is>
          <t>A</t>
        </is>
      </c>
      <c r="F8" s="34" t="inlineStr">
        <is>
          <t>A</t>
        </is>
      </c>
      <c r="G8" s="34" t="inlineStr">
        <is>
          <t>D</t>
        </is>
      </c>
      <c r="H8" s="34" t="inlineStr">
        <is>
          <t>D</t>
        </is>
      </c>
      <c r="I8" s="34" t="inlineStr">
        <is>
          <t>A</t>
        </is>
      </c>
      <c r="J8" s="34" t="inlineStr">
        <is>
          <t>A</t>
        </is>
      </c>
      <c r="K8" s="34" t="inlineStr">
        <is>
          <t>A</t>
        </is>
      </c>
      <c r="L8" s="34" t="inlineStr">
        <is>
          <t>A</t>
        </is>
      </c>
      <c r="M8" s="34" t="inlineStr">
        <is>
          <t>A</t>
        </is>
      </c>
      <c r="N8" s="34" t="inlineStr">
        <is>
          <t>D</t>
        </is>
      </c>
      <c r="O8" s="34" t="inlineStr">
        <is>
          <t>D</t>
        </is>
      </c>
      <c r="P8" s="34" t="inlineStr">
        <is>
          <t>A</t>
        </is>
      </c>
      <c r="Q8" s="34" t="inlineStr">
        <is>
          <t>A</t>
        </is>
      </c>
      <c r="R8" s="34" t="inlineStr">
        <is>
          <t>R</t>
        </is>
      </c>
      <c r="S8" s="34" t="inlineStr">
        <is>
          <t>A</t>
        </is>
      </c>
      <c r="T8" s="34" t="inlineStr">
        <is>
          <t>A</t>
        </is>
      </c>
      <c r="U8" s="34" t="inlineStr">
        <is>
          <t>D</t>
        </is>
      </c>
      <c r="V8" s="34" t="inlineStr">
        <is>
          <t>D</t>
        </is>
      </c>
      <c r="W8" s="34" t="inlineStr">
        <is>
          <t>A</t>
        </is>
      </c>
      <c r="X8" s="34" t="inlineStr">
        <is>
          <t>A</t>
        </is>
      </c>
      <c r="Y8" s="34" t="inlineStr">
        <is>
          <t>A</t>
        </is>
      </c>
      <c r="Z8" s="34" t="inlineStr">
        <is>
          <t>F</t>
        </is>
      </c>
      <c r="AA8" s="34" t="inlineStr">
        <is>
          <t>A</t>
        </is>
      </c>
      <c r="AB8" s="34" t="inlineStr">
        <is>
          <t>D</t>
        </is>
      </c>
      <c r="AC8" s="34" t="inlineStr">
        <is>
          <t>D</t>
        </is>
      </c>
      <c r="AD8" s="34" t="inlineStr">
        <is>
          <t>A</t>
        </is>
      </c>
      <c r="AE8" s="34" t="inlineStr">
        <is>
          <t>A</t>
        </is>
      </c>
      <c r="AF8" s="34" t="inlineStr">
        <is>
          <t>A</t>
        </is>
      </c>
      <c r="AG8" s="34" t="n"/>
      <c r="AH8" s="35">
        <f>COUNTIF(C8:AG8,"A")</f>
        <v/>
      </c>
      <c r="AI8" s="35">
        <f>COUNTIF(C8:AG8,"F")</f>
        <v/>
      </c>
      <c r="AJ8" s="35">
        <f>COUNTIF(C8:AG8,"R")</f>
        <v/>
      </c>
      <c r="AK8" s="35">
        <f>COUNTIF(C8:AG8,"V")</f>
        <v/>
      </c>
      <c r="AL8" s="35">
        <f>COUNTIF(C8:AG8,"I")</f>
        <v/>
      </c>
    </row>
    <row r="9">
      <c r="A9" s="33" t="n">
        <v>3</v>
      </c>
      <c r="B9" s="17" t="inlineStr">
        <is>
          <t>LAURA MÉNDEZ CRUZ</t>
        </is>
      </c>
      <c r="C9" s="34" t="inlineStr">
        <is>
          <t>A</t>
        </is>
      </c>
      <c r="D9" s="34" t="inlineStr">
        <is>
          <t>A</t>
        </is>
      </c>
      <c r="E9" s="34" t="inlineStr">
        <is>
          <t>A</t>
        </is>
      </c>
      <c r="F9" s="34" t="inlineStr">
        <is>
          <t>A</t>
        </is>
      </c>
      <c r="G9" s="34" t="inlineStr">
        <is>
          <t>D</t>
        </is>
      </c>
      <c r="H9" s="34" t="inlineStr">
        <is>
          <t>D</t>
        </is>
      </c>
      <c r="I9" s="34" t="inlineStr">
        <is>
          <t>A</t>
        </is>
      </c>
      <c r="J9" s="34" t="inlineStr">
        <is>
          <t>A</t>
        </is>
      </c>
      <c r="K9" s="34" t="inlineStr">
        <is>
          <t>R</t>
        </is>
      </c>
      <c r="L9" s="34" t="inlineStr">
        <is>
          <t>A</t>
        </is>
      </c>
      <c r="M9" s="34" t="inlineStr">
        <is>
          <t>A</t>
        </is>
      </c>
      <c r="N9" s="34" t="inlineStr">
        <is>
          <t>D</t>
        </is>
      </c>
      <c r="O9" s="34" t="inlineStr">
        <is>
          <t>D</t>
        </is>
      </c>
      <c r="P9" s="34" t="inlineStr">
        <is>
          <t>V</t>
        </is>
      </c>
      <c r="Q9" s="34" t="inlineStr">
        <is>
          <t>V</t>
        </is>
      </c>
      <c r="R9" s="34" t="inlineStr">
        <is>
          <t>V</t>
        </is>
      </c>
      <c r="S9" s="34" t="inlineStr">
        <is>
          <t>V</t>
        </is>
      </c>
      <c r="T9" s="34" t="inlineStr">
        <is>
          <t>V</t>
        </is>
      </c>
      <c r="U9" s="34" t="inlineStr">
        <is>
          <t>D</t>
        </is>
      </c>
      <c r="V9" s="34" t="inlineStr">
        <is>
          <t>D</t>
        </is>
      </c>
      <c r="W9" s="34" t="inlineStr">
        <is>
          <t>A</t>
        </is>
      </c>
      <c r="X9" s="34" t="inlineStr">
        <is>
          <t>A</t>
        </is>
      </c>
      <c r="Y9" s="34" t="inlineStr">
        <is>
          <t>A</t>
        </is>
      </c>
      <c r="Z9" s="34" t="inlineStr">
        <is>
          <t>A</t>
        </is>
      </c>
      <c r="AA9" s="34" t="inlineStr">
        <is>
          <t>A</t>
        </is>
      </c>
      <c r="AB9" s="34" t="inlineStr">
        <is>
          <t>D</t>
        </is>
      </c>
      <c r="AC9" s="34" t="inlineStr">
        <is>
          <t>D</t>
        </is>
      </c>
      <c r="AD9" s="34" t="inlineStr">
        <is>
          <t>A</t>
        </is>
      </c>
      <c r="AE9" s="34" t="inlineStr">
        <is>
          <t>A</t>
        </is>
      </c>
      <c r="AF9" s="34" t="inlineStr">
        <is>
          <t>A</t>
        </is>
      </c>
      <c r="AG9" s="34" t="n"/>
      <c r="AH9" s="35">
        <f>COUNTIF(C9:AG9,"A")</f>
        <v/>
      </c>
      <c r="AI9" s="35">
        <f>COUNTIF(C9:AG9,"F")</f>
        <v/>
      </c>
      <c r="AJ9" s="35">
        <f>COUNTIF(C9:AG9,"R")</f>
        <v/>
      </c>
      <c r="AK9" s="35">
        <f>COUNTIF(C9:AG9,"V")</f>
        <v/>
      </c>
      <c r="AL9" s="35">
        <f>COUNTIF(C9:AG9,"I")</f>
        <v/>
      </c>
    </row>
    <row r="10">
      <c r="A10" s="33" t="n">
        <v>4</v>
      </c>
      <c r="B10" s="17" t="inlineStr">
        <is>
          <t>JOSÉ HERNÁNDEZ RUIZ</t>
        </is>
      </c>
      <c r="C10" s="34" t="inlineStr">
        <is>
          <t>A</t>
        </is>
      </c>
      <c r="D10" s="34" t="inlineStr">
        <is>
          <t>R</t>
        </is>
      </c>
      <c r="E10" s="34" t="inlineStr">
        <is>
          <t>A</t>
        </is>
      </c>
      <c r="F10" s="34" t="inlineStr">
        <is>
          <t>A</t>
        </is>
      </c>
      <c r="G10" s="34" t="inlineStr">
        <is>
          <t>D</t>
        </is>
      </c>
      <c r="H10" s="34" t="inlineStr">
        <is>
          <t>D</t>
        </is>
      </c>
      <c r="I10" s="34" t="inlineStr">
        <is>
          <t>A</t>
        </is>
      </c>
      <c r="J10" s="34" t="inlineStr">
        <is>
          <t>A</t>
        </is>
      </c>
      <c r="K10" s="34" t="inlineStr">
        <is>
          <t>A</t>
        </is>
      </c>
      <c r="L10" s="34" t="inlineStr">
        <is>
          <t>A</t>
        </is>
      </c>
      <c r="M10" s="34" t="inlineStr">
        <is>
          <t>A</t>
        </is>
      </c>
      <c r="N10" s="34" t="inlineStr">
        <is>
          <t>D</t>
        </is>
      </c>
      <c r="O10" s="34" t="inlineStr">
        <is>
          <t>D</t>
        </is>
      </c>
      <c r="P10" s="34" t="inlineStr">
        <is>
          <t>F</t>
        </is>
      </c>
      <c r="Q10" s="34" t="inlineStr">
        <is>
          <t>A</t>
        </is>
      </c>
      <c r="R10" s="34" t="inlineStr">
        <is>
          <t>A</t>
        </is>
      </c>
      <c r="S10" s="34" t="inlineStr">
        <is>
          <t>A</t>
        </is>
      </c>
      <c r="T10" s="34" t="inlineStr">
        <is>
          <t>A</t>
        </is>
      </c>
      <c r="U10" s="34" t="inlineStr">
        <is>
          <t>D</t>
        </is>
      </c>
      <c r="V10" s="34" t="inlineStr">
        <is>
          <t>D</t>
        </is>
      </c>
      <c r="W10" s="34" t="inlineStr">
        <is>
          <t>A</t>
        </is>
      </c>
      <c r="X10" s="34" t="inlineStr">
        <is>
          <t>A</t>
        </is>
      </c>
      <c r="Y10" s="34" t="inlineStr">
        <is>
          <t>A</t>
        </is>
      </c>
      <c r="Z10" s="34" t="inlineStr">
        <is>
          <t>A</t>
        </is>
      </c>
      <c r="AA10" s="34" t="inlineStr">
        <is>
          <t>R</t>
        </is>
      </c>
      <c r="AB10" s="34" t="inlineStr">
        <is>
          <t>D</t>
        </is>
      </c>
      <c r="AC10" s="34" t="inlineStr">
        <is>
          <t>D</t>
        </is>
      </c>
      <c r="AD10" s="34" t="inlineStr">
        <is>
          <t>A</t>
        </is>
      </c>
      <c r="AE10" s="34" t="inlineStr">
        <is>
          <t>A</t>
        </is>
      </c>
      <c r="AF10" s="34" t="inlineStr">
        <is>
          <t>A</t>
        </is>
      </c>
      <c r="AG10" s="34" t="n"/>
      <c r="AH10" s="35">
        <f>COUNTIF(C10:AG10,"A")</f>
        <v/>
      </c>
      <c r="AI10" s="35">
        <f>COUNTIF(C10:AG10,"F")</f>
        <v/>
      </c>
      <c r="AJ10" s="35">
        <f>COUNTIF(C10:AG10,"R")</f>
        <v/>
      </c>
      <c r="AK10" s="35">
        <f>COUNTIF(C10:AG10,"V")</f>
        <v/>
      </c>
      <c r="AL10" s="35">
        <f>COUNTIF(C10:AG10,"I")</f>
        <v/>
      </c>
    </row>
    <row r="11">
      <c r="A11" s="33" t="n">
        <v>5</v>
      </c>
      <c r="B11" s="17" t="inlineStr">
        <is>
          <t>PATRICIA NÚÑEZ VEGA</t>
        </is>
      </c>
      <c r="C11" s="34" t="inlineStr">
        <is>
          <t>A</t>
        </is>
      </c>
      <c r="D11" s="34" t="inlineStr">
        <is>
          <t>A</t>
        </is>
      </c>
      <c r="E11" s="34" t="inlineStr">
        <is>
          <t>A</t>
        </is>
      </c>
      <c r="F11" s="34" t="inlineStr">
        <is>
          <t>A</t>
        </is>
      </c>
      <c r="G11" s="34" t="inlineStr">
        <is>
          <t>D</t>
        </is>
      </c>
      <c r="H11" s="34" t="inlineStr">
        <is>
          <t>D</t>
        </is>
      </c>
      <c r="I11" s="34" t="inlineStr">
        <is>
          <t>A</t>
        </is>
      </c>
      <c r="J11" s="34" t="inlineStr">
        <is>
          <t>A</t>
        </is>
      </c>
      <c r="K11" s="34" t="inlineStr">
        <is>
          <t>F</t>
        </is>
      </c>
      <c r="L11" s="34" t="inlineStr">
        <is>
          <t>A</t>
        </is>
      </c>
      <c r="M11" s="34" t="inlineStr">
        <is>
          <t>A</t>
        </is>
      </c>
      <c r="N11" s="34" t="inlineStr">
        <is>
          <t>D</t>
        </is>
      </c>
      <c r="O11" s="34" t="inlineStr">
        <is>
          <t>D</t>
        </is>
      </c>
      <c r="P11" s="34" t="inlineStr">
        <is>
          <t>A</t>
        </is>
      </c>
      <c r="Q11" s="34" t="inlineStr">
        <is>
          <t>A</t>
        </is>
      </c>
      <c r="R11" s="34" t="inlineStr">
        <is>
          <t>A</t>
        </is>
      </c>
      <c r="S11" s="34" t="inlineStr">
        <is>
          <t>A</t>
        </is>
      </c>
      <c r="T11" s="34" t="inlineStr">
        <is>
          <t>R</t>
        </is>
      </c>
      <c r="U11" s="34" t="inlineStr">
        <is>
          <t>D</t>
        </is>
      </c>
      <c r="V11" s="34" t="inlineStr">
        <is>
          <t>D</t>
        </is>
      </c>
      <c r="W11" s="34" t="inlineStr">
        <is>
          <t>A</t>
        </is>
      </c>
      <c r="X11" s="34" t="inlineStr">
        <is>
          <t>A</t>
        </is>
      </c>
      <c r="Y11" s="34" t="inlineStr">
        <is>
          <t>A</t>
        </is>
      </c>
      <c r="Z11" s="34" t="inlineStr">
        <is>
          <t>A</t>
        </is>
      </c>
      <c r="AA11" s="34" t="inlineStr">
        <is>
          <t>A</t>
        </is>
      </c>
      <c r="AB11" s="34" t="inlineStr">
        <is>
          <t>D</t>
        </is>
      </c>
      <c r="AC11" s="34" t="inlineStr">
        <is>
          <t>D</t>
        </is>
      </c>
      <c r="AD11" s="34" t="inlineStr">
        <is>
          <t>A</t>
        </is>
      </c>
      <c r="AE11" s="34" t="inlineStr">
        <is>
          <t>A</t>
        </is>
      </c>
      <c r="AF11" s="34" t="inlineStr">
        <is>
          <t>A</t>
        </is>
      </c>
      <c r="AG11" s="34" t="n"/>
      <c r="AH11" s="35">
        <f>COUNTIF(C11:AG11,"A")</f>
        <v/>
      </c>
      <c r="AI11" s="35">
        <f>COUNTIF(C11:AG11,"F")</f>
        <v/>
      </c>
      <c r="AJ11" s="35">
        <f>COUNTIF(C11:AG11,"R")</f>
        <v/>
      </c>
      <c r="AK11" s="35">
        <f>COUNTIF(C11:AG11,"V")</f>
        <v/>
      </c>
      <c r="AL11" s="35">
        <f>COUNTIF(C11:AG11,"I")</f>
        <v/>
      </c>
    </row>
    <row r="12">
      <c r="A12" s="33" t="n">
        <v>6</v>
      </c>
      <c r="B12" s="17" t="inlineStr">
        <is>
          <t>MIGUEL ÁNGEL TORRES</t>
        </is>
      </c>
      <c r="C12" s="34" t="inlineStr">
        <is>
          <t>A</t>
        </is>
      </c>
      <c r="D12" s="34" t="inlineStr">
        <is>
          <t>A</t>
        </is>
      </c>
      <c r="E12" s="34" t="inlineStr">
        <is>
          <t>A</t>
        </is>
      </c>
      <c r="F12" s="34" t="inlineStr">
        <is>
          <t>F</t>
        </is>
      </c>
      <c r="G12" s="34" t="inlineStr">
        <is>
          <t>D</t>
        </is>
      </c>
      <c r="H12" s="34" t="inlineStr">
        <is>
          <t>D</t>
        </is>
      </c>
      <c r="I12" s="34" t="inlineStr">
        <is>
          <t>A</t>
        </is>
      </c>
      <c r="J12" s="34" t="inlineStr">
        <is>
          <t>A</t>
        </is>
      </c>
      <c r="K12" s="34" t="inlineStr">
        <is>
          <t>A</t>
        </is>
      </c>
      <c r="L12" s="34" t="inlineStr">
        <is>
          <t>A</t>
        </is>
      </c>
      <c r="M12" s="34" t="inlineStr">
        <is>
          <t>R</t>
        </is>
      </c>
      <c r="N12" s="34" t="inlineStr">
        <is>
          <t>D</t>
        </is>
      </c>
      <c r="O12" s="34" t="inlineStr">
        <is>
          <t>D</t>
        </is>
      </c>
      <c r="P12" s="34" t="inlineStr">
        <is>
          <t>A</t>
        </is>
      </c>
      <c r="Q12" s="34" t="inlineStr">
        <is>
          <t>A</t>
        </is>
      </c>
      <c r="R12" s="34" t="inlineStr">
        <is>
          <t>A</t>
        </is>
      </c>
      <c r="S12" s="34" t="inlineStr">
        <is>
          <t>A</t>
        </is>
      </c>
      <c r="T12" s="34" t="inlineStr">
        <is>
          <t>A</t>
        </is>
      </c>
      <c r="U12" s="34" t="inlineStr">
        <is>
          <t>D</t>
        </is>
      </c>
      <c r="V12" s="34" t="inlineStr">
        <is>
          <t>D</t>
        </is>
      </c>
      <c r="W12" s="34" t="inlineStr">
        <is>
          <t>A</t>
        </is>
      </c>
      <c r="X12" s="34" t="inlineStr">
        <is>
          <t>A</t>
        </is>
      </c>
      <c r="Y12" s="34" t="inlineStr">
        <is>
          <t>A</t>
        </is>
      </c>
      <c r="Z12" s="34" t="inlineStr">
        <is>
          <t>A</t>
        </is>
      </c>
      <c r="AA12" s="34" t="inlineStr">
        <is>
          <t>A</t>
        </is>
      </c>
      <c r="AB12" s="34" t="inlineStr">
        <is>
          <t>D</t>
        </is>
      </c>
      <c r="AC12" s="34" t="inlineStr">
        <is>
          <t>D</t>
        </is>
      </c>
      <c r="AD12" s="34" t="inlineStr">
        <is>
          <t>A</t>
        </is>
      </c>
      <c r="AE12" s="34" t="inlineStr">
        <is>
          <t>A</t>
        </is>
      </c>
      <c r="AF12" s="34" t="inlineStr">
        <is>
          <t>A</t>
        </is>
      </c>
      <c r="AG12" s="34" t="n"/>
      <c r="AH12" s="35">
        <f>COUNTIF(C12:AG12,"A")</f>
        <v/>
      </c>
      <c r="AI12" s="35">
        <f>COUNTIF(C12:AG12,"F")</f>
        <v/>
      </c>
      <c r="AJ12" s="35">
        <f>COUNTIF(C12:AG12,"R")</f>
        <v/>
      </c>
      <c r="AK12" s="35">
        <f>COUNTIF(C12:AG12,"V")</f>
        <v/>
      </c>
      <c r="AL12" s="35">
        <f>COUNTIF(C12:AG12,"I")</f>
        <v/>
      </c>
    </row>
    <row r="13">
      <c r="A13" s="33" t="n">
        <v>7</v>
      </c>
      <c r="B13" s="17" t="inlineStr">
        <is>
          <t>SOFÍA RAMOS DÍAZ</t>
        </is>
      </c>
      <c r="C13" s="34" t="inlineStr">
        <is>
          <t>A</t>
        </is>
      </c>
      <c r="D13" s="34" t="inlineStr">
        <is>
          <t>A</t>
        </is>
      </c>
      <c r="E13" s="34" t="inlineStr">
        <is>
          <t>A</t>
        </is>
      </c>
      <c r="F13" s="34" t="inlineStr">
        <is>
          <t>R</t>
        </is>
      </c>
      <c r="G13" s="34" t="inlineStr">
        <is>
          <t>D</t>
        </is>
      </c>
      <c r="H13" s="34" t="inlineStr">
        <is>
          <t>D</t>
        </is>
      </c>
      <c r="I13" s="34" t="inlineStr">
        <is>
          <t>A</t>
        </is>
      </c>
      <c r="J13" s="34" t="inlineStr">
        <is>
          <t>A</t>
        </is>
      </c>
      <c r="K13" s="34" t="inlineStr">
        <is>
          <t>A</t>
        </is>
      </c>
      <c r="L13" s="34" t="inlineStr">
        <is>
          <t>A</t>
        </is>
      </c>
      <c r="M13" s="34" t="inlineStr">
        <is>
          <t>A</t>
        </is>
      </c>
      <c r="N13" s="34" t="inlineStr">
        <is>
          <t>D</t>
        </is>
      </c>
      <c r="O13" s="34" t="inlineStr">
        <is>
          <t>D</t>
        </is>
      </c>
      <c r="P13" s="34" t="inlineStr">
        <is>
          <t>A</t>
        </is>
      </c>
      <c r="Q13" s="34" t="inlineStr">
        <is>
          <t>A</t>
        </is>
      </c>
      <c r="R13" s="34" t="inlineStr">
        <is>
          <t>A</t>
        </is>
      </c>
      <c r="S13" s="34" t="inlineStr">
        <is>
          <t>A</t>
        </is>
      </c>
      <c r="T13" s="34" t="inlineStr">
        <is>
          <t>A</t>
        </is>
      </c>
      <c r="U13" s="34" t="inlineStr">
        <is>
          <t>D</t>
        </is>
      </c>
      <c r="V13" s="34" t="inlineStr">
        <is>
          <t>D</t>
        </is>
      </c>
      <c r="W13" s="34" t="inlineStr">
        <is>
          <t>A</t>
        </is>
      </c>
      <c r="X13" s="34" t="inlineStr">
        <is>
          <t>A</t>
        </is>
      </c>
      <c r="Y13" s="34" t="inlineStr">
        <is>
          <t>A</t>
        </is>
      </c>
      <c r="Z13" s="34" t="inlineStr">
        <is>
          <t>A</t>
        </is>
      </c>
      <c r="AA13" s="34" t="inlineStr">
        <is>
          <t>A</t>
        </is>
      </c>
      <c r="AB13" s="34" t="inlineStr">
        <is>
          <t>D</t>
        </is>
      </c>
      <c r="AC13" s="34" t="inlineStr">
        <is>
          <t>D</t>
        </is>
      </c>
      <c r="AD13" s="34" t="inlineStr">
        <is>
          <t>F</t>
        </is>
      </c>
      <c r="AE13" s="34" t="inlineStr">
        <is>
          <t>A</t>
        </is>
      </c>
      <c r="AF13" s="34" t="inlineStr">
        <is>
          <t>A</t>
        </is>
      </c>
      <c r="AG13" s="34" t="n"/>
      <c r="AH13" s="35">
        <f>COUNTIF(C13:AG13,"A")</f>
        <v/>
      </c>
      <c r="AI13" s="35">
        <f>COUNTIF(C13:AG13,"F")</f>
        <v/>
      </c>
      <c r="AJ13" s="35">
        <f>COUNTIF(C13:AG13,"R")</f>
        <v/>
      </c>
      <c r="AK13" s="35">
        <f>COUNTIF(C13:AG13,"V")</f>
        <v/>
      </c>
      <c r="AL13" s="35">
        <f>COUNTIF(C13:AG13,"I")</f>
        <v/>
      </c>
    </row>
    <row r="14">
      <c r="A14" s="33" t="n">
        <v>8</v>
      </c>
      <c r="B14" s="17" t="inlineStr">
        <is>
          <t>LUIS CASTILLO MORA</t>
        </is>
      </c>
      <c r="C14" s="34" t="inlineStr">
        <is>
          <t>A</t>
        </is>
      </c>
      <c r="D14" s="34" t="inlineStr">
        <is>
          <t>A</t>
        </is>
      </c>
      <c r="E14" s="34" t="inlineStr">
        <is>
          <t>A</t>
        </is>
      </c>
      <c r="F14" s="34" t="inlineStr">
        <is>
          <t>A</t>
        </is>
      </c>
      <c r="G14" s="34" t="inlineStr">
        <is>
          <t>D</t>
        </is>
      </c>
      <c r="H14" s="34" t="inlineStr">
        <is>
          <t>D</t>
        </is>
      </c>
      <c r="I14" s="34" t="inlineStr">
        <is>
          <t>A</t>
        </is>
      </c>
      <c r="J14" s="34" t="inlineStr">
        <is>
          <t>A</t>
        </is>
      </c>
      <c r="K14" s="34" t="inlineStr">
        <is>
          <t>A</t>
        </is>
      </c>
      <c r="L14" s="34" t="inlineStr">
        <is>
          <t>A</t>
        </is>
      </c>
      <c r="M14" s="34" t="inlineStr">
        <is>
          <t>A</t>
        </is>
      </c>
      <c r="N14" s="34" t="inlineStr">
        <is>
          <t>D</t>
        </is>
      </c>
      <c r="O14" s="34" t="inlineStr">
        <is>
          <t>D</t>
        </is>
      </c>
      <c r="P14" s="34" t="inlineStr">
        <is>
          <t>A</t>
        </is>
      </c>
      <c r="Q14" s="34" t="inlineStr">
        <is>
          <t>A</t>
        </is>
      </c>
      <c r="R14" s="34" t="inlineStr">
        <is>
          <t>A</t>
        </is>
      </c>
      <c r="S14" s="34" t="inlineStr">
        <is>
          <t>A</t>
        </is>
      </c>
      <c r="T14" s="34" t="inlineStr">
        <is>
          <t>A</t>
        </is>
      </c>
      <c r="U14" s="34" t="inlineStr">
        <is>
          <t>D</t>
        </is>
      </c>
      <c r="V14" s="34" t="inlineStr">
        <is>
          <t>D</t>
        </is>
      </c>
      <c r="W14" s="34" t="inlineStr">
        <is>
          <t>A</t>
        </is>
      </c>
      <c r="X14" s="34" t="inlineStr">
        <is>
          <t>A</t>
        </is>
      </c>
      <c r="Y14" s="34" t="inlineStr">
        <is>
          <t>F</t>
        </is>
      </c>
      <c r="Z14" s="34" t="inlineStr">
        <is>
          <t>A</t>
        </is>
      </c>
      <c r="AA14" s="34" t="inlineStr">
        <is>
          <t>A</t>
        </is>
      </c>
      <c r="AB14" s="34" t="inlineStr">
        <is>
          <t>D</t>
        </is>
      </c>
      <c r="AC14" s="34" t="inlineStr">
        <is>
          <t>D</t>
        </is>
      </c>
      <c r="AD14" s="34" t="inlineStr">
        <is>
          <t>A</t>
        </is>
      </c>
      <c r="AE14" s="34" t="inlineStr">
        <is>
          <t>A</t>
        </is>
      </c>
      <c r="AF14" s="34" t="inlineStr">
        <is>
          <t>A</t>
        </is>
      </c>
      <c r="AG14" s="34" t="n"/>
      <c r="AH14" s="35">
        <f>COUNTIF(C14:AG14,"A")</f>
        <v/>
      </c>
      <c r="AI14" s="35">
        <f>COUNTIF(C14:AG14,"F")</f>
        <v/>
      </c>
      <c r="AJ14" s="35">
        <f>COUNTIF(C14:AG14,"R")</f>
        <v/>
      </c>
      <c r="AK14" s="35">
        <f>COUNTIF(C14:AG14,"V")</f>
        <v/>
      </c>
      <c r="AL14" s="35">
        <f>COUNTIF(C14:AG14,"I")</f>
        <v/>
      </c>
    </row>
    <row r="15">
      <c r="A15" s="33" t="n">
        <v>9</v>
      </c>
      <c r="B15" s="17" t="inlineStr">
        <is>
          <t>SOFÍA RAMOS DÍAZ</t>
        </is>
      </c>
      <c r="C15" s="34" t="inlineStr">
        <is>
          <t>R</t>
        </is>
      </c>
      <c r="D15" s="34" t="inlineStr">
        <is>
          <t>A</t>
        </is>
      </c>
      <c r="E15" s="34" t="inlineStr">
        <is>
          <t>A</t>
        </is>
      </c>
      <c r="F15" s="34" t="inlineStr">
        <is>
          <t>A</t>
        </is>
      </c>
      <c r="G15" s="34" t="inlineStr">
        <is>
          <t>D</t>
        </is>
      </c>
      <c r="H15" s="34" t="inlineStr">
        <is>
          <t>D</t>
        </is>
      </c>
      <c r="I15" s="34" t="inlineStr">
        <is>
          <t>A</t>
        </is>
      </c>
      <c r="J15" s="34" t="inlineStr">
        <is>
          <t>A</t>
        </is>
      </c>
      <c r="K15" s="34" t="inlineStr">
        <is>
          <t>A</t>
        </is>
      </c>
      <c r="L15" s="34" t="inlineStr">
        <is>
          <t>A</t>
        </is>
      </c>
      <c r="M15" s="34" t="inlineStr">
        <is>
          <t>A</t>
        </is>
      </c>
      <c r="N15" s="34" t="inlineStr">
        <is>
          <t>D</t>
        </is>
      </c>
      <c r="O15" s="34" t="inlineStr">
        <is>
          <t>D</t>
        </is>
      </c>
      <c r="P15" s="34" t="inlineStr">
        <is>
          <t>A</t>
        </is>
      </c>
      <c r="Q15" s="34" t="inlineStr">
        <is>
          <t>A</t>
        </is>
      </c>
      <c r="R15" s="34" t="inlineStr">
        <is>
          <t>A</t>
        </is>
      </c>
      <c r="S15" s="34" t="inlineStr">
        <is>
          <t>A</t>
        </is>
      </c>
      <c r="T15" s="34" t="inlineStr">
        <is>
          <t>A</t>
        </is>
      </c>
      <c r="U15" s="34" t="inlineStr">
        <is>
          <t>D</t>
        </is>
      </c>
      <c r="V15" s="34" t="inlineStr">
        <is>
          <t>D</t>
        </is>
      </c>
      <c r="W15" s="34" t="inlineStr">
        <is>
          <t>A</t>
        </is>
      </c>
      <c r="X15" s="34" t="inlineStr">
        <is>
          <t>F</t>
        </is>
      </c>
      <c r="Y15" s="34" t="inlineStr">
        <is>
          <t>A</t>
        </is>
      </c>
      <c r="Z15" s="34" t="inlineStr">
        <is>
          <t>A</t>
        </is>
      </c>
      <c r="AA15" s="34" t="inlineStr">
        <is>
          <t>A</t>
        </is>
      </c>
      <c r="AB15" s="34" t="inlineStr">
        <is>
          <t>D</t>
        </is>
      </c>
      <c r="AC15" s="34" t="inlineStr">
        <is>
          <t>D</t>
        </is>
      </c>
      <c r="AD15" s="34" t="inlineStr">
        <is>
          <t>A</t>
        </is>
      </c>
      <c r="AE15" s="34" t="inlineStr">
        <is>
          <t>A</t>
        </is>
      </c>
      <c r="AF15" s="34" t="inlineStr">
        <is>
          <t>A</t>
        </is>
      </c>
      <c r="AG15" s="34" t="n"/>
      <c r="AH15" s="35">
        <f>COUNTIF(C15:AG15,"A")</f>
        <v/>
      </c>
      <c r="AI15" s="35">
        <f>COUNTIF(C15:AG15,"F")</f>
        <v/>
      </c>
      <c r="AJ15" s="35">
        <f>COUNTIF(C15:AG15,"R")</f>
        <v/>
      </c>
      <c r="AK15" s="35">
        <f>COUNTIF(C15:AG15,"V")</f>
        <v/>
      </c>
      <c r="AL15" s="35">
        <f>COUNTIF(C15:AG15,"I")</f>
        <v/>
      </c>
    </row>
    <row r="16">
      <c r="A16" s="33" t="n">
        <v>10</v>
      </c>
      <c r="B16" s="17" t="inlineStr">
        <is>
          <t>LUIS CASTILLO MORA</t>
        </is>
      </c>
      <c r="C16" s="34" t="inlineStr">
        <is>
          <t>A</t>
        </is>
      </c>
      <c r="D16" s="34" t="inlineStr">
        <is>
          <t>A</t>
        </is>
      </c>
      <c r="E16" s="34" t="inlineStr">
        <is>
          <t>A</t>
        </is>
      </c>
      <c r="F16" s="34" t="inlineStr">
        <is>
          <t>A</t>
        </is>
      </c>
      <c r="G16" s="34" t="inlineStr">
        <is>
          <t>D</t>
        </is>
      </c>
      <c r="H16" s="34" t="inlineStr">
        <is>
          <t>D</t>
        </is>
      </c>
      <c r="I16" s="34" t="inlineStr">
        <is>
          <t>A</t>
        </is>
      </c>
      <c r="J16" s="34" t="inlineStr">
        <is>
          <t>A</t>
        </is>
      </c>
      <c r="K16" s="34" t="inlineStr">
        <is>
          <t>A</t>
        </is>
      </c>
      <c r="L16" s="34" t="inlineStr">
        <is>
          <t>A</t>
        </is>
      </c>
      <c r="M16" s="34" t="inlineStr">
        <is>
          <t>A</t>
        </is>
      </c>
      <c r="N16" s="34" t="inlineStr">
        <is>
          <t>D</t>
        </is>
      </c>
      <c r="O16" s="34" t="inlineStr">
        <is>
          <t>D</t>
        </is>
      </c>
      <c r="P16" s="34" t="inlineStr">
        <is>
          <t>A</t>
        </is>
      </c>
      <c r="Q16" s="34" t="inlineStr">
        <is>
          <t>A</t>
        </is>
      </c>
      <c r="R16" s="34" t="inlineStr">
        <is>
          <t>A</t>
        </is>
      </c>
      <c r="S16" s="34" t="inlineStr">
        <is>
          <t>F</t>
        </is>
      </c>
      <c r="T16" s="34" t="inlineStr">
        <is>
          <t>A</t>
        </is>
      </c>
      <c r="U16" s="34" t="inlineStr">
        <is>
          <t>D</t>
        </is>
      </c>
      <c r="V16" s="34" t="inlineStr">
        <is>
          <t>D</t>
        </is>
      </c>
      <c r="W16" s="34" t="inlineStr">
        <is>
          <t>A</t>
        </is>
      </c>
      <c r="X16" s="34" t="inlineStr">
        <is>
          <t>A</t>
        </is>
      </c>
      <c r="Y16" s="34" t="inlineStr">
        <is>
          <t>A</t>
        </is>
      </c>
      <c r="Z16" s="34" t="inlineStr">
        <is>
          <t>A</t>
        </is>
      </c>
      <c r="AA16" s="34" t="inlineStr">
        <is>
          <t>A</t>
        </is>
      </c>
      <c r="AB16" s="34" t="inlineStr">
        <is>
          <t>D</t>
        </is>
      </c>
      <c r="AC16" s="34" t="inlineStr">
        <is>
          <t>D</t>
        </is>
      </c>
      <c r="AD16" s="34" t="inlineStr">
        <is>
          <t>A</t>
        </is>
      </c>
      <c r="AE16" s="34" t="inlineStr">
        <is>
          <t>A</t>
        </is>
      </c>
      <c r="AF16" s="34" t="inlineStr">
        <is>
          <t>A</t>
        </is>
      </c>
      <c r="AG16" s="34" t="n"/>
      <c r="AH16" s="35">
        <f>COUNTIF(C16:AG16,"A")</f>
        <v/>
      </c>
      <c r="AI16" s="35">
        <f>COUNTIF(C16:AG16,"F")</f>
        <v/>
      </c>
      <c r="AJ16" s="35">
        <f>COUNTIF(C16:AG16,"R")</f>
        <v/>
      </c>
      <c r="AK16" s="35">
        <f>COUNTIF(C16:AG16,"V")</f>
        <v/>
      </c>
      <c r="AL16" s="35">
        <f>COUNTIF(C16:AG16,"I")</f>
        <v/>
      </c>
    </row>
    <row r="17">
      <c r="A17" s="33" t="n">
        <v>11</v>
      </c>
      <c r="B17" s="17" t="inlineStr">
        <is>
          <t>DANIELA FUENTES IBARRA</t>
        </is>
      </c>
      <c r="C17" s="34" t="inlineStr">
        <is>
          <t>A</t>
        </is>
      </c>
      <c r="D17" s="34" t="inlineStr">
        <is>
          <t>A</t>
        </is>
      </c>
      <c r="E17" s="34" t="inlineStr">
        <is>
          <t>A</t>
        </is>
      </c>
      <c r="F17" s="34" t="inlineStr">
        <is>
          <t>A</t>
        </is>
      </c>
      <c r="G17" s="34" t="inlineStr">
        <is>
          <t>D</t>
        </is>
      </c>
      <c r="H17" s="34" t="inlineStr">
        <is>
          <t>D</t>
        </is>
      </c>
      <c r="I17" s="34" t="inlineStr">
        <is>
          <t>A</t>
        </is>
      </c>
      <c r="J17" s="34" t="inlineStr">
        <is>
          <t>A</t>
        </is>
      </c>
      <c r="K17" s="34" t="inlineStr">
        <is>
          <t>A</t>
        </is>
      </c>
      <c r="L17" s="34" t="inlineStr">
        <is>
          <t>A</t>
        </is>
      </c>
      <c r="M17" s="34" t="inlineStr">
        <is>
          <t>A</t>
        </is>
      </c>
      <c r="N17" s="34" t="inlineStr">
        <is>
          <t>D</t>
        </is>
      </c>
      <c r="O17" s="34" t="inlineStr">
        <is>
          <t>D</t>
        </is>
      </c>
      <c r="P17" s="34" t="inlineStr">
        <is>
          <t>A</t>
        </is>
      </c>
      <c r="Q17" s="34" t="inlineStr">
        <is>
          <t>A</t>
        </is>
      </c>
      <c r="R17" s="34" t="inlineStr">
        <is>
          <t>A</t>
        </is>
      </c>
      <c r="S17" s="34" t="inlineStr">
        <is>
          <t>A</t>
        </is>
      </c>
      <c r="T17" s="34" t="inlineStr">
        <is>
          <t>A</t>
        </is>
      </c>
      <c r="U17" s="34" t="inlineStr">
        <is>
          <t>D</t>
        </is>
      </c>
      <c r="V17" s="34" t="inlineStr">
        <is>
          <t>D</t>
        </is>
      </c>
      <c r="W17" s="34" t="inlineStr">
        <is>
          <t>A</t>
        </is>
      </c>
      <c r="X17" s="34" t="inlineStr">
        <is>
          <t>A</t>
        </is>
      </c>
      <c r="Y17" s="34" t="inlineStr">
        <is>
          <t>A</t>
        </is>
      </c>
      <c r="Z17" s="34" t="inlineStr">
        <is>
          <t>A</t>
        </is>
      </c>
      <c r="AA17" s="34" t="inlineStr">
        <is>
          <t>R</t>
        </is>
      </c>
      <c r="AB17" s="34" t="inlineStr">
        <is>
          <t>D</t>
        </is>
      </c>
      <c r="AC17" s="34" t="inlineStr">
        <is>
          <t>D</t>
        </is>
      </c>
      <c r="AD17" s="34" t="inlineStr">
        <is>
          <t>A</t>
        </is>
      </c>
      <c r="AE17" s="34" t="inlineStr">
        <is>
          <t>A</t>
        </is>
      </c>
      <c r="AF17" s="34" t="inlineStr">
        <is>
          <t>A</t>
        </is>
      </c>
      <c r="AG17" s="34" t="n"/>
      <c r="AH17" s="35">
        <f>COUNTIF(C17:AG17,"A")</f>
        <v/>
      </c>
      <c r="AI17" s="35">
        <f>COUNTIF(C17:AG17,"F")</f>
        <v/>
      </c>
      <c r="AJ17" s="35">
        <f>COUNTIF(C17:AG17,"R")</f>
        <v/>
      </c>
      <c r="AK17" s="35">
        <f>COUNTIF(C17:AG17,"V")</f>
        <v/>
      </c>
      <c r="AL17" s="35">
        <f>COUNTIF(C17:AG17,"I")</f>
        <v/>
      </c>
    </row>
    <row r="18">
      <c r="A18" s="33" t="n">
        <v>12</v>
      </c>
      <c r="B18" s="17" t="inlineStr">
        <is>
          <t>RICARDO SALINAS PAZ</t>
        </is>
      </c>
      <c r="C18" s="34" t="inlineStr">
        <is>
          <t>A</t>
        </is>
      </c>
      <c r="D18" s="34" t="inlineStr">
        <is>
          <t>A</t>
        </is>
      </c>
      <c r="E18" s="34" t="inlineStr">
        <is>
          <t>A</t>
        </is>
      </c>
      <c r="F18" s="34" t="inlineStr">
        <is>
          <t>A</t>
        </is>
      </c>
      <c r="G18" s="34" t="inlineStr">
        <is>
          <t>D</t>
        </is>
      </c>
      <c r="H18" s="34" t="inlineStr">
        <is>
          <t>D</t>
        </is>
      </c>
      <c r="I18" s="34" t="inlineStr">
        <is>
          <t>F</t>
        </is>
      </c>
      <c r="J18" s="34" t="inlineStr">
        <is>
          <t>I</t>
        </is>
      </c>
      <c r="K18" s="34" t="inlineStr">
        <is>
          <t>I</t>
        </is>
      </c>
      <c r="L18" s="34" t="inlineStr">
        <is>
          <t>I</t>
        </is>
      </c>
      <c r="M18" s="34" t="inlineStr">
        <is>
          <t>I</t>
        </is>
      </c>
      <c r="N18" s="34" t="inlineStr">
        <is>
          <t>D</t>
        </is>
      </c>
      <c r="O18" s="34" t="inlineStr">
        <is>
          <t>D</t>
        </is>
      </c>
      <c r="P18" s="34" t="inlineStr">
        <is>
          <t>A</t>
        </is>
      </c>
      <c r="Q18" s="34" t="inlineStr">
        <is>
          <t>A</t>
        </is>
      </c>
      <c r="R18" s="34" t="inlineStr">
        <is>
          <t>A</t>
        </is>
      </c>
      <c r="S18" s="34" t="inlineStr">
        <is>
          <t>A</t>
        </is>
      </c>
      <c r="T18" s="34" t="inlineStr">
        <is>
          <t>R</t>
        </is>
      </c>
      <c r="U18" s="34" t="inlineStr">
        <is>
          <t>D</t>
        </is>
      </c>
      <c r="V18" s="34" t="inlineStr">
        <is>
          <t>D</t>
        </is>
      </c>
      <c r="W18" s="34" t="inlineStr">
        <is>
          <t>A</t>
        </is>
      </c>
      <c r="X18" s="34" t="inlineStr">
        <is>
          <t>A</t>
        </is>
      </c>
      <c r="Y18" s="34" t="inlineStr">
        <is>
          <t>A</t>
        </is>
      </c>
      <c r="Z18" s="34" t="inlineStr">
        <is>
          <t>A</t>
        </is>
      </c>
      <c r="AA18" s="34" t="inlineStr">
        <is>
          <t>A</t>
        </is>
      </c>
      <c r="AB18" s="34" t="inlineStr">
        <is>
          <t>D</t>
        </is>
      </c>
      <c r="AC18" s="34" t="inlineStr">
        <is>
          <t>D</t>
        </is>
      </c>
      <c r="AD18" s="34" t="inlineStr">
        <is>
          <t>A</t>
        </is>
      </c>
      <c r="AE18" s="34" t="inlineStr">
        <is>
          <t>A</t>
        </is>
      </c>
      <c r="AF18" s="34" t="inlineStr">
        <is>
          <t>A</t>
        </is>
      </c>
      <c r="AG18" s="34" t="n"/>
      <c r="AH18" s="35">
        <f>COUNTIF(C18:AG18,"A")</f>
        <v/>
      </c>
      <c r="AI18" s="35">
        <f>COUNTIF(C18:AG18,"F")</f>
        <v/>
      </c>
      <c r="AJ18" s="35">
        <f>COUNTIF(C18:AG18,"R")</f>
        <v/>
      </c>
      <c r="AK18" s="35">
        <f>COUNTIF(C18:AG18,"V")</f>
        <v/>
      </c>
      <c r="AL18" s="35">
        <f>COUNTIF(C18:AG18,"I")</f>
        <v/>
      </c>
    </row>
    <row r="19">
      <c r="A19" s="33" t="n">
        <v>13</v>
      </c>
      <c r="B19" s="17" t="inlineStr">
        <is>
          <t>FERNANDA OCHOA LEÓN</t>
        </is>
      </c>
      <c r="C19" s="34" t="inlineStr">
        <is>
          <t>A</t>
        </is>
      </c>
      <c r="D19" s="34" t="inlineStr">
        <is>
          <t>F</t>
        </is>
      </c>
      <c r="E19" s="34" t="inlineStr">
        <is>
          <t>A</t>
        </is>
      </c>
      <c r="F19" s="34" t="inlineStr">
        <is>
          <t>A</t>
        </is>
      </c>
      <c r="G19" s="34" t="inlineStr">
        <is>
          <t>D</t>
        </is>
      </c>
      <c r="H19" s="34" t="inlineStr">
        <is>
          <t>D</t>
        </is>
      </c>
      <c r="I19" s="34" t="inlineStr">
        <is>
          <t>A</t>
        </is>
      </c>
      <c r="J19" s="34" t="inlineStr">
        <is>
          <t>A</t>
        </is>
      </c>
      <c r="K19" s="34" t="inlineStr">
        <is>
          <t>A</t>
        </is>
      </c>
      <c r="L19" s="34" t="inlineStr">
        <is>
          <t>A</t>
        </is>
      </c>
      <c r="M19" s="34" t="inlineStr">
        <is>
          <t>R</t>
        </is>
      </c>
      <c r="N19" s="34" t="inlineStr">
        <is>
          <t>D</t>
        </is>
      </c>
      <c r="O19" s="34" t="inlineStr">
        <is>
          <t>D</t>
        </is>
      </c>
      <c r="P19" s="34" t="inlineStr">
        <is>
          <t>A</t>
        </is>
      </c>
      <c r="Q19" s="34" t="inlineStr">
        <is>
          <t>A</t>
        </is>
      </c>
      <c r="R19" s="34" t="inlineStr">
        <is>
          <t>A</t>
        </is>
      </c>
      <c r="S19" s="34" t="inlineStr">
        <is>
          <t>A</t>
        </is>
      </c>
      <c r="T19" s="34" t="inlineStr">
        <is>
          <t>A</t>
        </is>
      </c>
      <c r="U19" s="34" t="inlineStr">
        <is>
          <t>D</t>
        </is>
      </c>
      <c r="V19" s="34" t="inlineStr">
        <is>
          <t>D</t>
        </is>
      </c>
      <c r="W19" s="34" t="inlineStr">
        <is>
          <t>A</t>
        </is>
      </c>
      <c r="X19" s="34" t="inlineStr">
        <is>
          <t>A</t>
        </is>
      </c>
      <c r="Y19" s="34" t="inlineStr">
        <is>
          <t>A</t>
        </is>
      </c>
      <c r="Z19" s="34" t="inlineStr">
        <is>
          <t>A</t>
        </is>
      </c>
      <c r="AA19" s="34" t="inlineStr">
        <is>
          <t>A</t>
        </is>
      </c>
      <c r="AB19" s="34" t="inlineStr">
        <is>
          <t>D</t>
        </is>
      </c>
      <c r="AC19" s="34" t="inlineStr">
        <is>
          <t>D</t>
        </is>
      </c>
      <c r="AD19" s="34" t="inlineStr">
        <is>
          <t>A</t>
        </is>
      </c>
      <c r="AE19" s="34" t="inlineStr">
        <is>
          <t>A</t>
        </is>
      </c>
      <c r="AF19" s="34" t="inlineStr">
        <is>
          <t>R</t>
        </is>
      </c>
      <c r="AG19" s="34" t="n"/>
      <c r="AH19" s="35">
        <f>COUNTIF(C19:AG19,"A")</f>
        <v/>
      </c>
      <c r="AI19" s="35">
        <f>COUNTIF(C19:AG19,"F")</f>
        <v/>
      </c>
      <c r="AJ19" s="35">
        <f>COUNTIF(C19:AG19,"R")</f>
        <v/>
      </c>
      <c r="AK19" s="35">
        <f>COUNTIF(C19:AG19,"V")</f>
        <v/>
      </c>
      <c r="AL19" s="35">
        <f>COUNTIF(C19:AG19,"I")</f>
        <v/>
      </c>
    </row>
    <row r="20">
      <c r="A20" s="33" t="n">
        <v>14</v>
      </c>
      <c r="B20" s="17" t="inlineStr">
        <is>
          <t>JORGE MEDINA RANGEL</t>
        </is>
      </c>
      <c r="C20" s="34" t="inlineStr">
        <is>
          <t>A</t>
        </is>
      </c>
      <c r="D20" s="34" t="inlineStr">
        <is>
          <t>A</t>
        </is>
      </c>
      <c r="E20" s="34" t="inlineStr">
        <is>
          <t>A</t>
        </is>
      </c>
      <c r="F20" s="34" t="inlineStr">
        <is>
          <t>R</t>
        </is>
      </c>
      <c r="G20" s="34" t="inlineStr">
        <is>
          <t>D</t>
        </is>
      </c>
      <c r="H20" s="34" t="inlineStr">
        <is>
          <t>D</t>
        </is>
      </c>
      <c r="I20" s="34" t="inlineStr">
        <is>
          <t>A</t>
        </is>
      </c>
      <c r="J20" s="34" t="inlineStr">
        <is>
          <t>A</t>
        </is>
      </c>
      <c r="K20" s="34" t="inlineStr">
        <is>
          <t>A</t>
        </is>
      </c>
      <c r="L20" s="34" t="inlineStr">
        <is>
          <t>A</t>
        </is>
      </c>
      <c r="M20" s="34" t="inlineStr">
        <is>
          <t>A</t>
        </is>
      </c>
      <c r="N20" s="34" t="inlineStr">
        <is>
          <t>D</t>
        </is>
      </c>
      <c r="O20" s="34" t="inlineStr">
        <is>
          <t>D</t>
        </is>
      </c>
      <c r="P20" s="34" t="inlineStr">
        <is>
          <t>A</t>
        </is>
      </c>
      <c r="Q20" s="34" t="inlineStr">
        <is>
          <t>A</t>
        </is>
      </c>
      <c r="R20" s="34" t="inlineStr">
        <is>
          <t>A</t>
        </is>
      </c>
      <c r="S20" s="34" t="inlineStr">
        <is>
          <t>A</t>
        </is>
      </c>
      <c r="T20" s="34" t="inlineStr">
        <is>
          <t>A</t>
        </is>
      </c>
      <c r="U20" s="34" t="inlineStr">
        <is>
          <t>D</t>
        </is>
      </c>
      <c r="V20" s="34" t="inlineStr">
        <is>
          <t>D</t>
        </is>
      </c>
      <c r="W20" s="34" t="inlineStr">
        <is>
          <t>A</t>
        </is>
      </c>
      <c r="X20" s="34" t="inlineStr">
        <is>
          <t>A</t>
        </is>
      </c>
      <c r="Y20" s="34" t="inlineStr">
        <is>
          <t>R</t>
        </is>
      </c>
      <c r="Z20" s="34" t="inlineStr">
        <is>
          <t>A</t>
        </is>
      </c>
      <c r="AA20" s="34" t="inlineStr">
        <is>
          <t>A</t>
        </is>
      </c>
      <c r="AB20" s="34" t="inlineStr">
        <is>
          <t>D</t>
        </is>
      </c>
      <c r="AC20" s="34" t="inlineStr">
        <is>
          <t>D</t>
        </is>
      </c>
      <c r="AD20" s="34" t="inlineStr">
        <is>
          <t>F</t>
        </is>
      </c>
      <c r="AE20" s="34" t="inlineStr">
        <is>
          <t>A</t>
        </is>
      </c>
      <c r="AF20" s="34" t="inlineStr">
        <is>
          <t>A</t>
        </is>
      </c>
      <c r="AG20" s="34" t="n"/>
      <c r="AH20" s="35">
        <f>COUNTIF(C20:AG20,"A")</f>
        <v/>
      </c>
      <c r="AI20" s="35">
        <f>COUNTIF(C20:AG20,"F")</f>
        <v/>
      </c>
      <c r="AJ20" s="35">
        <f>COUNTIF(C20:AG20,"R")</f>
        <v/>
      </c>
      <c r="AK20" s="35">
        <f>COUNTIF(C20:AG20,"V")</f>
        <v/>
      </c>
      <c r="AL20" s="35">
        <f>COUNTIF(C20:AG20,"I")</f>
        <v/>
      </c>
    </row>
    <row r="21">
      <c r="A21" s="33" t="n">
        <v>15</v>
      </c>
      <c r="B21" s="17" t="n"/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  <c r="Y21" s="34" t="n"/>
      <c r="Z21" s="34" t="n"/>
      <c r="AA21" s="34" t="n"/>
      <c r="AB21" s="34" t="n"/>
      <c r="AC21" s="34" t="n"/>
      <c r="AD21" s="34" t="n"/>
      <c r="AE21" s="34" t="n"/>
      <c r="AF21" s="34" t="n"/>
      <c r="AG21" s="34" t="n"/>
      <c r="AH21" s="35">
        <f>COUNTIF(C21:AG21,"A")</f>
        <v/>
      </c>
      <c r="AI21" s="35">
        <f>COUNTIF(C21:AG21,"F")</f>
        <v/>
      </c>
      <c r="AJ21" s="35">
        <f>COUNTIF(C21:AG21,"R")</f>
        <v/>
      </c>
      <c r="AK21" s="35">
        <f>COUNTIF(C21:AG21,"V")</f>
        <v/>
      </c>
      <c r="AL21" s="35">
        <f>COUNTIF(C21:AG21,"I")</f>
        <v/>
      </c>
    </row>
    <row r="22">
      <c r="A22" s="33" t="n">
        <v>16</v>
      </c>
      <c r="B22" s="17" t="n"/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  <c r="AA22" s="34" t="n"/>
      <c r="AB22" s="34" t="n"/>
      <c r="AC22" s="34" t="n"/>
      <c r="AD22" s="34" t="n"/>
      <c r="AE22" s="34" t="n"/>
      <c r="AF22" s="34" t="n"/>
      <c r="AG22" s="34" t="n"/>
      <c r="AH22" s="35">
        <f>COUNTIF(C22:AG22,"A")</f>
        <v/>
      </c>
      <c r="AI22" s="35">
        <f>COUNTIF(C22:AG22,"F")</f>
        <v/>
      </c>
      <c r="AJ22" s="35">
        <f>COUNTIF(C22:AG22,"R")</f>
        <v/>
      </c>
      <c r="AK22" s="35">
        <f>COUNTIF(C22:AG22,"V")</f>
        <v/>
      </c>
      <c r="AL22" s="35">
        <f>COUNTIF(C22:AG22,"I")</f>
        <v/>
      </c>
    </row>
    <row r="23">
      <c r="A23" s="33" t="n">
        <v>17</v>
      </c>
      <c r="B23" s="17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34" t="n"/>
      <c r="Z23" s="34" t="n"/>
      <c r="AA23" s="34" t="n"/>
      <c r="AB23" s="34" t="n"/>
      <c r="AC23" s="34" t="n"/>
      <c r="AD23" s="34" t="n"/>
      <c r="AE23" s="34" t="n"/>
      <c r="AF23" s="34" t="n"/>
      <c r="AG23" s="34" t="n"/>
      <c r="AH23" s="35">
        <f>COUNTIF(C23:AG23,"A")</f>
        <v/>
      </c>
      <c r="AI23" s="35">
        <f>COUNTIF(C23:AG23,"F")</f>
        <v/>
      </c>
      <c r="AJ23" s="35">
        <f>COUNTIF(C23:AG23,"R")</f>
        <v/>
      </c>
      <c r="AK23" s="35">
        <f>COUNTIF(C23:AG23,"V")</f>
        <v/>
      </c>
      <c r="AL23" s="35">
        <f>COUNTIF(C23:AG23,"I")</f>
        <v/>
      </c>
    </row>
    <row r="24">
      <c r="A24" s="33" t="n">
        <v>18</v>
      </c>
      <c r="B24" s="17" t="n"/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34" t="n"/>
      <c r="Z24" s="34" t="n"/>
      <c r="AA24" s="34" t="n"/>
      <c r="AB24" s="34" t="n"/>
      <c r="AC24" s="34" t="n"/>
      <c r="AD24" s="34" t="n"/>
      <c r="AE24" s="34" t="n"/>
      <c r="AF24" s="34" t="n"/>
      <c r="AG24" s="34" t="n"/>
      <c r="AH24" s="35">
        <f>COUNTIF(C24:AG24,"A")</f>
        <v/>
      </c>
      <c r="AI24" s="35">
        <f>COUNTIF(C24:AG24,"F")</f>
        <v/>
      </c>
      <c r="AJ24" s="35">
        <f>COUNTIF(C24:AG24,"R")</f>
        <v/>
      </c>
      <c r="AK24" s="35">
        <f>COUNTIF(C24:AG24,"V")</f>
        <v/>
      </c>
      <c r="AL24" s="35">
        <f>COUNTIF(C24:AG24,"I")</f>
        <v/>
      </c>
    </row>
    <row r="25">
      <c r="A25" s="33" t="n">
        <v>19</v>
      </c>
      <c r="B25" s="17" t="n"/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  <c r="AA25" s="34" t="n"/>
      <c r="AB25" s="34" t="n"/>
      <c r="AC25" s="34" t="n"/>
      <c r="AD25" s="34" t="n"/>
      <c r="AE25" s="34" t="n"/>
      <c r="AF25" s="34" t="n"/>
      <c r="AG25" s="34" t="n"/>
      <c r="AH25" s="35">
        <f>COUNTIF(C25:AG25,"A")</f>
        <v/>
      </c>
      <c r="AI25" s="35">
        <f>COUNTIF(C25:AG25,"F")</f>
        <v/>
      </c>
      <c r="AJ25" s="35">
        <f>COUNTIF(C25:AG25,"R")</f>
        <v/>
      </c>
      <c r="AK25" s="35">
        <f>COUNTIF(C25:AG25,"V")</f>
        <v/>
      </c>
      <c r="AL25" s="35">
        <f>COUNTIF(C25:AG25,"I")</f>
        <v/>
      </c>
    </row>
    <row r="26">
      <c r="A26" s="33" t="n">
        <v>20</v>
      </c>
      <c r="B26" s="17" t="n"/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34" t="n"/>
      <c r="Z26" s="34" t="n"/>
      <c r="AA26" s="34" t="n"/>
      <c r="AB26" s="34" t="n"/>
      <c r="AC26" s="34" t="n"/>
      <c r="AD26" s="34" t="n"/>
      <c r="AE26" s="34" t="n"/>
      <c r="AF26" s="34" t="n"/>
      <c r="AG26" s="34" t="n"/>
      <c r="AH26" s="35">
        <f>COUNTIF(C26:AG26,"A")</f>
        <v/>
      </c>
      <c r="AI26" s="35">
        <f>COUNTIF(C26:AG26,"F")</f>
        <v/>
      </c>
      <c r="AJ26" s="35">
        <f>COUNTIF(C26:AG26,"R")</f>
        <v/>
      </c>
      <c r="AK26" s="35">
        <f>COUNTIF(C26:AG26,"V")</f>
        <v/>
      </c>
      <c r="AL26" s="35">
        <f>COUNTIF(C26:AG26,"I")</f>
        <v/>
      </c>
    </row>
    <row r="27">
      <c r="A27" s="33" t="n">
        <v>21</v>
      </c>
      <c r="B27" s="17" t="n"/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  <c r="AA27" s="34" t="n"/>
      <c r="AB27" s="34" t="n"/>
      <c r="AC27" s="34" t="n"/>
      <c r="AD27" s="34" t="n"/>
      <c r="AE27" s="34" t="n"/>
      <c r="AF27" s="34" t="n"/>
      <c r="AG27" s="34" t="n"/>
      <c r="AH27" s="35">
        <f>COUNTIF(C27:AG27,"A")</f>
        <v/>
      </c>
      <c r="AI27" s="35">
        <f>COUNTIF(C27:AG27,"F")</f>
        <v/>
      </c>
      <c r="AJ27" s="35">
        <f>COUNTIF(C27:AG27,"R")</f>
        <v/>
      </c>
      <c r="AK27" s="35">
        <f>COUNTIF(C27:AG27,"V")</f>
        <v/>
      </c>
      <c r="AL27" s="35">
        <f>COUNTIF(C27:AG27,"I")</f>
        <v/>
      </c>
    </row>
    <row r="28">
      <c r="A28" s="33" t="n">
        <v>22</v>
      </c>
      <c r="B28" s="17" t="n"/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34" t="n"/>
      <c r="Z28" s="34" t="n"/>
      <c r="AA28" s="34" t="n"/>
      <c r="AB28" s="34" t="n"/>
      <c r="AC28" s="34" t="n"/>
      <c r="AD28" s="34" t="n"/>
      <c r="AE28" s="34" t="n"/>
      <c r="AF28" s="34" t="n"/>
      <c r="AG28" s="34" t="n"/>
      <c r="AH28" s="35">
        <f>COUNTIF(C28:AG28,"A")</f>
        <v/>
      </c>
      <c r="AI28" s="35">
        <f>COUNTIF(C28:AG28,"F")</f>
        <v/>
      </c>
      <c r="AJ28" s="35">
        <f>COUNTIF(C28:AG28,"R")</f>
        <v/>
      </c>
      <c r="AK28" s="35">
        <f>COUNTIF(C28:AG28,"V")</f>
        <v/>
      </c>
      <c r="AL28" s="35">
        <f>COUNTIF(C28:AG28,"I")</f>
        <v/>
      </c>
    </row>
    <row r="29">
      <c r="A29" s="33" t="n">
        <v>23</v>
      </c>
      <c r="B29" s="17" t="n"/>
      <c r="C29" s="34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  <c r="AA29" s="34" t="n"/>
      <c r="AB29" s="34" t="n"/>
      <c r="AC29" s="34" t="n"/>
      <c r="AD29" s="34" t="n"/>
      <c r="AE29" s="34" t="n"/>
      <c r="AF29" s="34" t="n"/>
      <c r="AG29" s="34" t="n"/>
      <c r="AH29" s="35">
        <f>COUNTIF(C29:AG29,"A")</f>
        <v/>
      </c>
      <c r="AI29" s="35">
        <f>COUNTIF(C29:AG29,"F")</f>
        <v/>
      </c>
      <c r="AJ29" s="35">
        <f>COUNTIF(C29:AG29,"R")</f>
        <v/>
      </c>
      <c r="AK29" s="35">
        <f>COUNTIF(C29:AG29,"V")</f>
        <v/>
      </c>
      <c r="AL29" s="35">
        <f>COUNTIF(C29:AG29,"I")</f>
        <v/>
      </c>
    </row>
    <row r="30">
      <c r="A30" s="33" t="n">
        <v>24</v>
      </c>
      <c r="B30" s="17" t="n"/>
      <c r="C30" s="34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  <c r="Y30" s="34" t="n"/>
      <c r="Z30" s="34" t="n"/>
      <c r="AA30" s="34" t="n"/>
      <c r="AB30" s="34" t="n"/>
      <c r="AC30" s="34" t="n"/>
      <c r="AD30" s="34" t="n"/>
      <c r="AE30" s="34" t="n"/>
      <c r="AF30" s="34" t="n"/>
      <c r="AG30" s="34" t="n"/>
      <c r="AH30" s="35">
        <f>COUNTIF(C30:AG30,"A")</f>
        <v/>
      </c>
      <c r="AI30" s="35">
        <f>COUNTIF(C30:AG30,"F")</f>
        <v/>
      </c>
      <c r="AJ30" s="35">
        <f>COUNTIF(C30:AG30,"R")</f>
        <v/>
      </c>
      <c r="AK30" s="35">
        <f>COUNTIF(C30:AG30,"V")</f>
        <v/>
      </c>
      <c r="AL30" s="35">
        <f>COUNTIF(C30:AG30,"I")</f>
        <v/>
      </c>
    </row>
    <row r="31">
      <c r="A31" s="33" t="n">
        <v>25</v>
      </c>
      <c r="B31" s="17" t="n"/>
      <c r="C31" s="34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  <c r="O31" s="34" t="n"/>
      <c r="P31" s="34" t="n"/>
      <c r="Q31" s="34" t="n"/>
      <c r="R31" s="34" t="n"/>
      <c r="S31" s="34" t="n"/>
      <c r="T31" s="34" t="n"/>
      <c r="U31" s="34" t="n"/>
      <c r="V31" s="34" t="n"/>
      <c r="W31" s="34" t="n"/>
      <c r="X31" s="34" t="n"/>
      <c r="Y31" s="34" t="n"/>
      <c r="Z31" s="34" t="n"/>
      <c r="AA31" s="34" t="n"/>
      <c r="AB31" s="34" t="n"/>
      <c r="AC31" s="34" t="n"/>
      <c r="AD31" s="34" t="n"/>
      <c r="AE31" s="34" t="n"/>
      <c r="AF31" s="34" t="n"/>
      <c r="AG31" s="34" t="n"/>
      <c r="AH31" s="35">
        <f>COUNTIF(C31:AG31,"A")</f>
        <v/>
      </c>
      <c r="AI31" s="35">
        <f>COUNTIF(C31:AG31,"F")</f>
        <v/>
      </c>
      <c r="AJ31" s="35">
        <f>COUNTIF(C31:AG31,"R")</f>
        <v/>
      </c>
      <c r="AK31" s="35">
        <f>COUNTIF(C31:AG31,"V")</f>
        <v/>
      </c>
      <c r="AL31" s="35">
        <f>COUNTIF(C31:AG31,"I")</f>
        <v/>
      </c>
    </row>
    <row r="32">
      <c r="A32" s="33" t="n">
        <v>26</v>
      </c>
      <c r="B32" s="17" t="n"/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  <c r="Y32" s="34" t="n"/>
      <c r="Z32" s="34" t="n"/>
      <c r="AA32" s="34" t="n"/>
      <c r="AB32" s="34" t="n"/>
      <c r="AC32" s="34" t="n"/>
      <c r="AD32" s="34" t="n"/>
      <c r="AE32" s="34" t="n"/>
      <c r="AF32" s="34" t="n"/>
      <c r="AG32" s="34" t="n"/>
      <c r="AH32" s="35">
        <f>COUNTIF(C32:AG32,"A")</f>
        <v/>
      </c>
      <c r="AI32" s="35">
        <f>COUNTIF(C32:AG32,"F")</f>
        <v/>
      </c>
      <c r="AJ32" s="35">
        <f>COUNTIF(C32:AG32,"R")</f>
        <v/>
      </c>
      <c r="AK32" s="35">
        <f>COUNTIF(C32:AG32,"V")</f>
        <v/>
      </c>
      <c r="AL32" s="35">
        <f>COUNTIF(C32:AG32,"I")</f>
        <v/>
      </c>
    </row>
    <row r="33">
      <c r="A33" s="33" t="n">
        <v>27</v>
      </c>
      <c r="B33" s="17" t="n"/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W33" s="34" t="n"/>
      <c r="X33" s="34" t="n"/>
      <c r="Y33" s="34" t="n"/>
      <c r="Z33" s="34" t="n"/>
      <c r="AA33" s="34" t="n"/>
      <c r="AB33" s="34" t="n"/>
      <c r="AC33" s="34" t="n"/>
      <c r="AD33" s="34" t="n"/>
      <c r="AE33" s="34" t="n"/>
      <c r="AF33" s="34" t="n"/>
      <c r="AG33" s="34" t="n"/>
      <c r="AH33" s="35">
        <f>COUNTIF(C33:AG33,"A")</f>
        <v/>
      </c>
      <c r="AI33" s="35">
        <f>COUNTIF(C33:AG33,"F")</f>
        <v/>
      </c>
      <c r="AJ33" s="35">
        <f>COUNTIF(C33:AG33,"R")</f>
        <v/>
      </c>
      <c r="AK33" s="35">
        <f>COUNTIF(C33:AG33,"V")</f>
        <v/>
      </c>
      <c r="AL33" s="35">
        <f>COUNTIF(C33:AG33,"I")</f>
        <v/>
      </c>
    </row>
    <row r="34">
      <c r="A34" s="33" t="n">
        <v>28</v>
      </c>
      <c r="B34" s="17" t="n"/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  <c r="AA34" s="34" t="n"/>
      <c r="AB34" s="34" t="n"/>
      <c r="AC34" s="34" t="n"/>
      <c r="AD34" s="34" t="n"/>
      <c r="AE34" s="34" t="n"/>
      <c r="AF34" s="34" t="n"/>
      <c r="AG34" s="34" t="n"/>
      <c r="AH34" s="35">
        <f>COUNTIF(C34:AG34,"A")</f>
        <v/>
      </c>
      <c r="AI34" s="35">
        <f>COUNTIF(C34:AG34,"F")</f>
        <v/>
      </c>
      <c r="AJ34" s="35">
        <f>COUNTIF(C34:AG34,"R")</f>
        <v/>
      </c>
      <c r="AK34" s="35">
        <f>COUNTIF(C34:AG34,"V")</f>
        <v/>
      </c>
      <c r="AL34" s="35">
        <f>COUNTIF(C34:AG34,"I")</f>
        <v/>
      </c>
    </row>
    <row r="35">
      <c r="A35" s="33" t="n">
        <v>29</v>
      </c>
      <c r="B35" s="17" t="n"/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  <c r="Y35" s="34" t="n"/>
      <c r="Z35" s="34" t="n"/>
      <c r="AA35" s="34" t="n"/>
      <c r="AB35" s="34" t="n"/>
      <c r="AC35" s="34" t="n"/>
      <c r="AD35" s="34" t="n"/>
      <c r="AE35" s="34" t="n"/>
      <c r="AF35" s="34" t="n"/>
      <c r="AG35" s="34" t="n"/>
      <c r="AH35" s="35">
        <f>COUNTIF(C35:AG35,"A")</f>
        <v/>
      </c>
      <c r="AI35" s="35">
        <f>COUNTIF(C35:AG35,"F")</f>
        <v/>
      </c>
      <c r="AJ35" s="35">
        <f>COUNTIF(C35:AG35,"R")</f>
        <v/>
      </c>
      <c r="AK35" s="35">
        <f>COUNTIF(C35:AG35,"V")</f>
        <v/>
      </c>
      <c r="AL35" s="35">
        <f>COUNTIF(C35:AG35,"I")</f>
        <v/>
      </c>
    </row>
    <row r="36">
      <c r="A36" s="33" t="n">
        <v>30</v>
      </c>
      <c r="B36" s="17" t="n"/>
      <c r="C36" s="34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  <c r="AA36" s="34" t="n"/>
      <c r="AB36" s="34" t="n"/>
      <c r="AC36" s="34" t="n"/>
      <c r="AD36" s="34" t="n"/>
      <c r="AE36" s="34" t="n"/>
      <c r="AF36" s="34" t="n"/>
      <c r="AG36" s="34" t="n"/>
      <c r="AH36" s="35">
        <f>COUNTIF(C36:AG36,"A")</f>
        <v/>
      </c>
      <c r="AI36" s="35">
        <f>COUNTIF(C36:AG36,"F")</f>
        <v/>
      </c>
      <c r="AJ36" s="35">
        <f>COUNTIF(C36:AG36,"R")</f>
        <v/>
      </c>
      <c r="AK36" s="35">
        <f>COUNTIF(C36:AG36,"V")</f>
        <v/>
      </c>
      <c r="AL36" s="35">
        <f>COUNTIF(C36:AG36,"I")</f>
        <v/>
      </c>
    </row>
    <row r="37">
      <c r="A37" s="33" t="n">
        <v>31</v>
      </c>
      <c r="B37" s="17" t="n"/>
      <c r="C37" s="34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  <c r="AA37" s="34" t="n"/>
      <c r="AB37" s="34" t="n"/>
      <c r="AC37" s="34" t="n"/>
      <c r="AD37" s="34" t="n"/>
      <c r="AE37" s="34" t="n"/>
      <c r="AF37" s="34" t="n"/>
      <c r="AG37" s="34" t="n"/>
      <c r="AH37" s="35">
        <f>COUNTIF(C37:AG37,"A")</f>
        <v/>
      </c>
      <c r="AI37" s="35">
        <f>COUNTIF(C37:AG37,"F")</f>
        <v/>
      </c>
      <c r="AJ37" s="35">
        <f>COUNTIF(C37:AG37,"R")</f>
        <v/>
      </c>
      <c r="AK37" s="35">
        <f>COUNTIF(C37:AG37,"V")</f>
        <v/>
      </c>
      <c r="AL37" s="35">
        <f>COUNTIF(C37:AG37,"I")</f>
        <v/>
      </c>
    </row>
    <row r="38">
      <c r="A38" s="33" t="n">
        <v>32</v>
      </c>
      <c r="B38" s="17" t="n"/>
      <c r="C38" s="34" t="n"/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  <c r="O38" s="34" t="n"/>
      <c r="P38" s="34" t="n"/>
      <c r="Q38" s="34" t="n"/>
      <c r="R38" s="34" t="n"/>
      <c r="S38" s="34" t="n"/>
      <c r="T38" s="34" t="n"/>
      <c r="U38" s="34" t="n"/>
      <c r="V38" s="34" t="n"/>
      <c r="W38" s="34" t="n"/>
      <c r="X38" s="34" t="n"/>
      <c r="Y38" s="34" t="n"/>
      <c r="Z38" s="34" t="n"/>
      <c r="AA38" s="34" t="n"/>
      <c r="AB38" s="34" t="n"/>
      <c r="AC38" s="34" t="n"/>
      <c r="AD38" s="34" t="n"/>
      <c r="AE38" s="34" t="n"/>
      <c r="AF38" s="34" t="n"/>
      <c r="AG38" s="34" t="n"/>
      <c r="AH38" s="35">
        <f>COUNTIF(C38:AG38,"A")</f>
        <v/>
      </c>
      <c r="AI38" s="35">
        <f>COUNTIF(C38:AG38,"F")</f>
        <v/>
      </c>
      <c r="AJ38" s="35">
        <f>COUNTIF(C38:AG38,"R")</f>
        <v/>
      </c>
      <c r="AK38" s="35">
        <f>COUNTIF(C38:AG38,"V")</f>
        <v/>
      </c>
      <c r="AL38" s="35">
        <f>COUNTIF(C38:AG38,"I")</f>
        <v/>
      </c>
    </row>
    <row r="39">
      <c r="A39" s="33" t="n">
        <v>33</v>
      </c>
      <c r="B39" s="17" t="n"/>
      <c r="C39" s="34" t="n"/>
      <c r="D39" s="34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4" t="n"/>
      <c r="N39" s="34" t="n"/>
      <c r="O39" s="34" t="n"/>
      <c r="P39" s="34" t="n"/>
      <c r="Q39" s="34" t="n"/>
      <c r="R39" s="34" t="n"/>
      <c r="S39" s="34" t="n"/>
      <c r="T39" s="34" t="n"/>
      <c r="U39" s="34" t="n"/>
      <c r="V39" s="34" t="n"/>
      <c r="W39" s="34" t="n"/>
      <c r="X39" s="34" t="n"/>
      <c r="Y39" s="34" t="n"/>
      <c r="Z39" s="34" t="n"/>
      <c r="AA39" s="34" t="n"/>
      <c r="AB39" s="34" t="n"/>
      <c r="AC39" s="34" t="n"/>
      <c r="AD39" s="34" t="n"/>
      <c r="AE39" s="34" t="n"/>
      <c r="AF39" s="34" t="n"/>
      <c r="AG39" s="34" t="n"/>
      <c r="AH39" s="35">
        <f>COUNTIF(C39:AG39,"A")</f>
        <v/>
      </c>
      <c r="AI39" s="35">
        <f>COUNTIF(C39:AG39,"F")</f>
        <v/>
      </c>
      <c r="AJ39" s="35">
        <f>COUNTIF(C39:AG39,"R")</f>
        <v/>
      </c>
      <c r="AK39" s="35">
        <f>COUNTIF(C39:AG39,"V")</f>
        <v/>
      </c>
      <c r="AL39" s="35">
        <f>COUNTIF(C39:AG39,"I")</f>
        <v/>
      </c>
    </row>
    <row r="40">
      <c r="A40" s="33" t="n">
        <v>34</v>
      </c>
      <c r="B40" s="17" t="n"/>
      <c r="C40" s="34" t="n"/>
      <c r="D40" s="34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4" t="n"/>
      <c r="N40" s="34" t="n"/>
      <c r="O40" s="34" t="n"/>
      <c r="P40" s="34" t="n"/>
      <c r="Q40" s="34" t="n"/>
      <c r="R40" s="34" t="n"/>
      <c r="S40" s="34" t="n"/>
      <c r="T40" s="34" t="n"/>
      <c r="U40" s="34" t="n"/>
      <c r="V40" s="34" t="n"/>
      <c r="W40" s="34" t="n"/>
      <c r="X40" s="34" t="n"/>
      <c r="Y40" s="34" t="n"/>
      <c r="Z40" s="34" t="n"/>
      <c r="AA40" s="34" t="n"/>
      <c r="AB40" s="34" t="n"/>
      <c r="AC40" s="34" t="n"/>
      <c r="AD40" s="34" t="n"/>
      <c r="AE40" s="34" t="n"/>
      <c r="AF40" s="34" t="n"/>
      <c r="AG40" s="34" t="n"/>
      <c r="AH40" s="35">
        <f>COUNTIF(C40:AG40,"A")</f>
        <v/>
      </c>
      <c r="AI40" s="35">
        <f>COUNTIF(C40:AG40,"F")</f>
        <v/>
      </c>
      <c r="AJ40" s="35">
        <f>COUNTIF(C40:AG40,"R")</f>
        <v/>
      </c>
      <c r="AK40" s="35">
        <f>COUNTIF(C40:AG40,"V")</f>
        <v/>
      </c>
      <c r="AL40" s="35">
        <f>COUNTIF(C40:AG40,"I")</f>
        <v/>
      </c>
    </row>
    <row r="41">
      <c r="A41" s="33" t="n">
        <v>35</v>
      </c>
      <c r="B41" s="17" t="n"/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  <c r="O41" s="34" t="n"/>
      <c r="P41" s="34" t="n"/>
      <c r="Q41" s="34" t="n"/>
      <c r="R41" s="34" t="n"/>
      <c r="S41" s="34" t="n"/>
      <c r="T41" s="34" t="n"/>
      <c r="U41" s="34" t="n"/>
      <c r="V41" s="34" t="n"/>
      <c r="W41" s="34" t="n"/>
      <c r="X41" s="34" t="n"/>
      <c r="Y41" s="34" t="n"/>
      <c r="Z41" s="34" t="n"/>
      <c r="AA41" s="34" t="n"/>
      <c r="AB41" s="34" t="n"/>
      <c r="AC41" s="34" t="n"/>
      <c r="AD41" s="34" t="n"/>
      <c r="AE41" s="34" t="n"/>
      <c r="AF41" s="34" t="n"/>
      <c r="AG41" s="34" t="n"/>
      <c r="AH41" s="35">
        <f>COUNTIF(C41:AG41,"A")</f>
        <v/>
      </c>
      <c r="AI41" s="35">
        <f>COUNTIF(C41:AG41,"F")</f>
        <v/>
      </c>
      <c r="AJ41" s="35">
        <f>COUNTIF(C41:AG41,"R")</f>
        <v/>
      </c>
      <c r="AK41" s="35">
        <f>COUNTIF(C41:AG41,"V")</f>
        <v/>
      </c>
      <c r="AL41" s="35">
        <f>COUNTIF(C41:AG41,"I")</f>
        <v/>
      </c>
    </row>
    <row r="42">
      <c r="A42" s="33" t="n">
        <v>36</v>
      </c>
      <c r="B42" s="17" t="n"/>
      <c r="C42" s="3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  <c r="Z42" s="34" t="n"/>
      <c r="AA42" s="34" t="n"/>
      <c r="AB42" s="34" t="n"/>
      <c r="AC42" s="34" t="n"/>
      <c r="AD42" s="34" t="n"/>
      <c r="AE42" s="34" t="n"/>
      <c r="AF42" s="34" t="n"/>
      <c r="AG42" s="34" t="n"/>
      <c r="AH42" s="35">
        <f>COUNTIF(C42:AG42,"A")</f>
        <v/>
      </c>
      <c r="AI42" s="35">
        <f>COUNTIF(C42:AG42,"F")</f>
        <v/>
      </c>
      <c r="AJ42" s="35">
        <f>COUNTIF(C42:AG42,"R")</f>
        <v/>
      </c>
      <c r="AK42" s="35">
        <f>COUNTIF(C42:AG42,"V")</f>
        <v/>
      </c>
      <c r="AL42" s="35">
        <f>COUNTIF(C42:AG42,"I")</f>
        <v/>
      </c>
    </row>
    <row r="43">
      <c r="A43" s="33" t="n">
        <v>37</v>
      </c>
      <c r="B43" s="17" t="n"/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34" t="n"/>
      <c r="Z43" s="34" t="n"/>
      <c r="AA43" s="34" t="n"/>
      <c r="AB43" s="34" t="n"/>
      <c r="AC43" s="34" t="n"/>
      <c r="AD43" s="34" t="n"/>
      <c r="AE43" s="34" t="n"/>
      <c r="AF43" s="34" t="n"/>
      <c r="AG43" s="34" t="n"/>
      <c r="AH43" s="35">
        <f>COUNTIF(C43:AG43,"A")</f>
        <v/>
      </c>
      <c r="AI43" s="35">
        <f>COUNTIF(C43:AG43,"F")</f>
        <v/>
      </c>
      <c r="AJ43" s="35">
        <f>COUNTIF(C43:AG43,"R")</f>
        <v/>
      </c>
      <c r="AK43" s="35">
        <f>COUNTIF(C43:AG43,"V")</f>
        <v/>
      </c>
      <c r="AL43" s="35">
        <f>COUNTIF(C43:AG43,"I")</f>
        <v/>
      </c>
    </row>
    <row r="44">
      <c r="A44" s="33" t="n">
        <v>38</v>
      </c>
      <c r="B44" s="17" t="n"/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34" t="n"/>
      <c r="Z44" s="34" t="n"/>
      <c r="AA44" s="34" t="n"/>
      <c r="AB44" s="34" t="n"/>
      <c r="AC44" s="34" t="n"/>
      <c r="AD44" s="34" t="n"/>
      <c r="AE44" s="34" t="n"/>
      <c r="AF44" s="34" t="n"/>
      <c r="AG44" s="34" t="n"/>
      <c r="AH44" s="35">
        <f>COUNTIF(C44:AG44,"A")</f>
        <v/>
      </c>
      <c r="AI44" s="35">
        <f>COUNTIF(C44:AG44,"F")</f>
        <v/>
      </c>
      <c r="AJ44" s="35">
        <f>COUNTIF(C44:AG44,"R")</f>
        <v/>
      </c>
      <c r="AK44" s="35">
        <f>COUNTIF(C44:AG44,"V")</f>
        <v/>
      </c>
      <c r="AL44" s="35">
        <f>COUNTIF(C44:AG44,"I")</f>
        <v/>
      </c>
    </row>
    <row r="45">
      <c r="A45" s="33" t="n">
        <v>39</v>
      </c>
      <c r="B45" s="17" t="n"/>
      <c r="C45" s="34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34" t="n"/>
      <c r="Z45" s="34" t="n"/>
      <c r="AA45" s="34" t="n"/>
      <c r="AB45" s="34" t="n"/>
      <c r="AC45" s="34" t="n"/>
      <c r="AD45" s="34" t="n"/>
      <c r="AE45" s="34" t="n"/>
      <c r="AF45" s="34" t="n"/>
      <c r="AG45" s="34" t="n"/>
      <c r="AH45" s="35">
        <f>COUNTIF(C45:AG45,"A")</f>
        <v/>
      </c>
      <c r="AI45" s="35">
        <f>COUNTIF(C45:AG45,"F")</f>
        <v/>
      </c>
      <c r="AJ45" s="35">
        <f>COUNTIF(C45:AG45,"R")</f>
        <v/>
      </c>
      <c r="AK45" s="35">
        <f>COUNTIF(C45:AG45,"V")</f>
        <v/>
      </c>
      <c r="AL45" s="35">
        <f>COUNTIF(C45:AG45,"I")</f>
        <v/>
      </c>
    </row>
    <row r="46">
      <c r="A46" s="33" t="n">
        <v>40</v>
      </c>
      <c r="B46" s="17" t="n"/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  <c r="AA46" s="34" t="n"/>
      <c r="AB46" s="34" t="n"/>
      <c r="AC46" s="34" t="n"/>
      <c r="AD46" s="34" t="n"/>
      <c r="AE46" s="34" t="n"/>
      <c r="AF46" s="34" t="n"/>
      <c r="AG46" s="34" t="n"/>
      <c r="AH46" s="35">
        <f>COUNTIF(C46:AG46,"A")</f>
        <v/>
      </c>
      <c r="AI46" s="35">
        <f>COUNTIF(C46:AG46,"F")</f>
        <v/>
      </c>
      <c r="AJ46" s="35">
        <f>COUNTIF(C46:AG46,"R")</f>
        <v/>
      </c>
      <c r="AK46" s="35">
        <f>COUNTIF(C46:AG46,"V")</f>
        <v/>
      </c>
      <c r="AL46" s="35">
        <f>COUNTIF(C46:AG46,"I")</f>
        <v/>
      </c>
    </row>
    <row r="47">
      <c r="A47" s="33" t="n">
        <v>41</v>
      </c>
      <c r="B47" s="17" t="n"/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  <c r="AA47" s="34" t="n"/>
      <c r="AB47" s="34" t="n"/>
      <c r="AC47" s="34" t="n"/>
      <c r="AD47" s="34" t="n"/>
      <c r="AE47" s="34" t="n"/>
      <c r="AF47" s="34" t="n"/>
      <c r="AG47" s="34" t="n"/>
      <c r="AH47" s="35">
        <f>COUNTIF(C47:AG47,"A")</f>
        <v/>
      </c>
      <c r="AI47" s="35">
        <f>COUNTIF(C47:AG47,"F")</f>
        <v/>
      </c>
      <c r="AJ47" s="35">
        <f>COUNTIF(C47:AG47,"R")</f>
        <v/>
      </c>
      <c r="AK47" s="35">
        <f>COUNTIF(C47:AG47,"V")</f>
        <v/>
      </c>
      <c r="AL47" s="35">
        <f>COUNTIF(C47:AG47,"I")</f>
        <v/>
      </c>
    </row>
    <row r="48">
      <c r="A48" s="33" t="n">
        <v>42</v>
      </c>
      <c r="B48" s="17" t="n"/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34" t="n"/>
      <c r="Z48" s="34" t="n"/>
      <c r="AA48" s="34" t="n"/>
      <c r="AB48" s="34" t="n"/>
      <c r="AC48" s="34" t="n"/>
      <c r="AD48" s="34" t="n"/>
      <c r="AE48" s="34" t="n"/>
      <c r="AF48" s="34" t="n"/>
      <c r="AG48" s="34" t="n"/>
      <c r="AH48" s="35">
        <f>COUNTIF(C48:AG48,"A")</f>
        <v/>
      </c>
      <c r="AI48" s="35">
        <f>COUNTIF(C48:AG48,"F")</f>
        <v/>
      </c>
      <c r="AJ48" s="35">
        <f>COUNTIF(C48:AG48,"R")</f>
        <v/>
      </c>
      <c r="AK48" s="35">
        <f>COUNTIF(C48:AG48,"V")</f>
        <v/>
      </c>
      <c r="AL48" s="35">
        <f>COUNTIF(C48:AG48,"I")</f>
        <v/>
      </c>
    </row>
    <row r="49">
      <c r="A49" s="33" t="n">
        <v>43</v>
      </c>
      <c r="B49" s="17" t="n"/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5">
        <f>COUNTIF(C49:AG49,"A")</f>
        <v/>
      </c>
      <c r="AI49" s="35">
        <f>COUNTIF(C49:AG49,"F")</f>
        <v/>
      </c>
      <c r="AJ49" s="35">
        <f>COUNTIF(C49:AG49,"R")</f>
        <v/>
      </c>
      <c r="AK49" s="35">
        <f>COUNTIF(C49:AG49,"V")</f>
        <v/>
      </c>
      <c r="AL49" s="35">
        <f>COUNTIF(C49:AG49,"I")</f>
        <v/>
      </c>
    </row>
    <row r="50">
      <c r="A50" s="33" t="n">
        <v>44</v>
      </c>
      <c r="B50" s="17" t="n"/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  <c r="AA50" s="34" t="n"/>
      <c r="AB50" s="34" t="n"/>
      <c r="AC50" s="34" t="n"/>
      <c r="AD50" s="34" t="n"/>
      <c r="AE50" s="34" t="n"/>
      <c r="AF50" s="34" t="n"/>
      <c r="AG50" s="34" t="n"/>
      <c r="AH50" s="35">
        <f>COUNTIF(C50:AG50,"A")</f>
        <v/>
      </c>
      <c r="AI50" s="35">
        <f>COUNTIF(C50:AG50,"F")</f>
        <v/>
      </c>
      <c r="AJ50" s="35">
        <f>COUNTIF(C50:AG50,"R")</f>
        <v/>
      </c>
      <c r="AK50" s="35">
        <f>COUNTIF(C50:AG50,"V")</f>
        <v/>
      </c>
      <c r="AL50" s="35">
        <f>COUNTIF(C50:AG50,"I")</f>
        <v/>
      </c>
    </row>
    <row r="51">
      <c r="A51" s="33" t="n">
        <v>45</v>
      </c>
      <c r="B51" s="17" t="n"/>
      <c r="C51" s="34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34" t="n"/>
      <c r="Z51" s="34" t="n"/>
      <c r="AA51" s="34" t="n"/>
      <c r="AB51" s="34" t="n"/>
      <c r="AC51" s="34" t="n"/>
      <c r="AD51" s="34" t="n"/>
      <c r="AE51" s="34" t="n"/>
      <c r="AF51" s="34" t="n"/>
      <c r="AG51" s="34" t="n"/>
      <c r="AH51" s="35">
        <f>COUNTIF(C51:AG51,"A")</f>
        <v/>
      </c>
      <c r="AI51" s="35">
        <f>COUNTIF(C51:AG51,"F")</f>
        <v/>
      </c>
      <c r="AJ51" s="35">
        <f>COUNTIF(C51:AG51,"R")</f>
        <v/>
      </c>
      <c r="AK51" s="35">
        <f>COUNTIF(C51:AG51,"V")</f>
        <v/>
      </c>
      <c r="AL51" s="35">
        <f>COUNTIF(C51:AG51,"I")</f>
        <v/>
      </c>
    </row>
    <row r="52">
      <c r="A52" s="33" t="n">
        <v>46</v>
      </c>
      <c r="B52" s="17" t="n"/>
      <c r="C52" s="34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34" t="n"/>
      <c r="Z52" s="34" t="n"/>
      <c r="AA52" s="34" t="n"/>
      <c r="AB52" s="34" t="n"/>
      <c r="AC52" s="34" t="n"/>
      <c r="AD52" s="34" t="n"/>
      <c r="AE52" s="34" t="n"/>
      <c r="AF52" s="34" t="n"/>
      <c r="AG52" s="34" t="n"/>
      <c r="AH52" s="35">
        <f>COUNTIF(C52:AG52,"A")</f>
        <v/>
      </c>
      <c r="AI52" s="35">
        <f>COUNTIF(C52:AG52,"F")</f>
        <v/>
      </c>
      <c r="AJ52" s="35">
        <f>COUNTIF(C52:AG52,"R")</f>
        <v/>
      </c>
      <c r="AK52" s="35">
        <f>COUNTIF(C52:AG52,"V")</f>
        <v/>
      </c>
      <c r="AL52" s="35">
        <f>COUNTIF(C52:AG52,"I")</f>
        <v/>
      </c>
    </row>
    <row r="53">
      <c r="A53" s="33" t="n">
        <v>47</v>
      </c>
      <c r="B53" s="17" t="n"/>
      <c r="C53" s="3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34" t="n"/>
      <c r="Z53" s="34" t="n"/>
      <c r="AA53" s="34" t="n"/>
      <c r="AB53" s="34" t="n"/>
      <c r="AC53" s="34" t="n"/>
      <c r="AD53" s="34" t="n"/>
      <c r="AE53" s="34" t="n"/>
      <c r="AF53" s="34" t="n"/>
      <c r="AG53" s="34" t="n"/>
      <c r="AH53" s="35">
        <f>COUNTIF(C53:AG53,"A")</f>
        <v/>
      </c>
      <c r="AI53" s="35">
        <f>COUNTIF(C53:AG53,"F")</f>
        <v/>
      </c>
      <c r="AJ53" s="35">
        <f>COUNTIF(C53:AG53,"R")</f>
        <v/>
      </c>
      <c r="AK53" s="35">
        <f>COUNTIF(C53:AG53,"V")</f>
        <v/>
      </c>
      <c r="AL53" s="35">
        <f>COUNTIF(C53:AG53,"I")</f>
        <v/>
      </c>
    </row>
    <row r="54">
      <c r="A54" s="33" t="n">
        <v>48</v>
      </c>
      <c r="B54" s="17" t="n"/>
      <c r="C54" s="3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34" t="n"/>
      <c r="Z54" s="34" t="n"/>
      <c r="AA54" s="34" t="n"/>
      <c r="AB54" s="34" t="n"/>
      <c r="AC54" s="34" t="n"/>
      <c r="AD54" s="34" t="n"/>
      <c r="AE54" s="34" t="n"/>
      <c r="AF54" s="34" t="n"/>
      <c r="AG54" s="34" t="n"/>
      <c r="AH54" s="35">
        <f>COUNTIF(C54:AG54,"A")</f>
        <v/>
      </c>
      <c r="AI54" s="35">
        <f>COUNTIF(C54:AG54,"F")</f>
        <v/>
      </c>
      <c r="AJ54" s="35">
        <f>COUNTIF(C54:AG54,"R")</f>
        <v/>
      </c>
      <c r="AK54" s="35">
        <f>COUNTIF(C54:AG54,"V")</f>
        <v/>
      </c>
      <c r="AL54" s="35">
        <f>COUNTIF(C54:AG54,"I")</f>
        <v/>
      </c>
    </row>
    <row r="55">
      <c r="A55" s="33" t="n">
        <v>49</v>
      </c>
      <c r="B55" s="17" t="n"/>
      <c r="C55" s="3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34" t="n"/>
      <c r="Z55" s="34" t="n"/>
      <c r="AA55" s="34" t="n"/>
      <c r="AB55" s="34" t="n"/>
      <c r="AC55" s="34" t="n"/>
      <c r="AD55" s="34" t="n"/>
      <c r="AE55" s="34" t="n"/>
      <c r="AF55" s="34" t="n"/>
      <c r="AG55" s="34" t="n"/>
      <c r="AH55" s="35">
        <f>COUNTIF(C55:AG55,"A")</f>
        <v/>
      </c>
      <c r="AI55" s="35">
        <f>COUNTIF(C55:AG55,"F")</f>
        <v/>
      </c>
      <c r="AJ55" s="35">
        <f>COUNTIF(C55:AG55,"R")</f>
        <v/>
      </c>
      <c r="AK55" s="35">
        <f>COUNTIF(C55:AG55,"V")</f>
        <v/>
      </c>
      <c r="AL55" s="35">
        <f>COUNTIF(C55:AG55,"I")</f>
        <v/>
      </c>
    </row>
    <row r="56">
      <c r="A56" s="33" t="n">
        <v>50</v>
      </c>
      <c r="B56" s="17" t="n"/>
      <c r="C56" s="34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34" t="n"/>
      <c r="Z56" s="34" t="n"/>
      <c r="AA56" s="34" t="n"/>
      <c r="AB56" s="34" t="n"/>
      <c r="AC56" s="34" t="n"/>
      <c r="AD56" s="34" t="n"/>
      <c r="AE56" s="34" t="n"/>
      <c r="AF56" s="34" t="n"/>
      <c r="AG56" s="34" t="n"/>
      <c r="AH56" s="35">
        <f>COUNTIF(C56:AG56,"A")</f>
        <v/>
      </c>
      <c r="AI56" s="35">
        <f>COUNTIF(C56:AG56,"F")</f>
        <v/>
      </c>
      <c r="AJ56" s="35">
        <f>COUNTIF(C56:AG56,"R")</f>
        <v/>
      </c>
      <c r="AK56" s="35">
        <f>COUNTIF(C56:AG56,"V")</f>
        <v/>
      </c>
      <c r="AL56" s="35">
        <f>COUNTIF(C56:AG56,"I")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C4:J4"/>
    <mergeCell ref="A2:AI2"/>
    <mergeCell ref="AJ1:AL2"/>
    <mergeCell ref="A1:AI1"/>
    <mergeCell ref="C5:J5"/>
  </mergeCells>
  <dataValidations count="1">
    <dataValidation sqref="C7:AG56" showDropDown="0" showInputMessage="0" showErrorMessage="0" allowBlank="1" type="list">
      <formula1>"A,F,R,V,I,D,P"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ASISTENCIA</t>
        </is>
      </c>
      <c r="H1" s="50" t="inlineStr">
        <is>
          <t>INSERTE SU LOGO
(clic derecho &gt; Insertar imagen)</t>
        </is>
      </c>
      <c r="I1" s="51" t="n"/>
      <c r="J1" s="52" t="n"/>
    </row>
    <row r="2" ht="26" customHeight="1">
      <c r="A2" s="53" t="inlineStr">
        <is>
          <t>Asistencias, faltas y retardos del mes</t>
        </is>
      </c>
      <c r="B2" s="54" t="n"/>
      <c r="C2" s="54" t="n"/>
      <c r="D2" s="54" t="n"/>
      <c r="E2" s="54" t="n"/>
      <c r="F2" s="54" t="n"/>
      <c r="G2" s="54" t="n"/>
      <c r="H2" s="55" t="n"/>
      <c r="I2" s="56" t="n"/>
      <c r="J2" s="57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0" t="inlineStr">
        <is>
          <t>ASISTENCIAS</t>
        </is>
      </c>
      <c r="C4" s="61" t="n"/>
      <c r="D4" s="60" t="inlineStr">
        <is>
          <t>FALTAS</t>
        </is>
      </c>
      <c r="E4" s="61" t="n"/>
      <c r="F4" s="60" t="inlineStr">
        <is>
          <t>RETARDOS</t>
        </is>
      </c>
      <c r="G4" s="61" t="n"/>
      <c r="H4" s="60" t="inlineStr">
        <is>
          <t>% ASISTENCIA</t>
        </is>
      </c>
      <c r="I4" s="61" t="n"/>
      <c r="J4" s="4" t="n"/>
    </row>
    <row r="5" ht="36" customHeight="1">
      <c r="A5" s="4" t="n"/>
      <c r="B5" s="62">
        <f>SUM(FORMATO!AH7:AH56)</f>
        <v/>
      </c>
      <c r="C5" s="63" t="n"/>
      <c r="D5" s="62">
        <f>SUM(FORMATO!AI7:AI56)</f>
        <v/>
      </c>
      <c r="E5" s="63" t="n"/>
      <c r="F5" s="62">
        <f>SUM(FORMATO!AJ7:AJ56)</f>
        <v/>
      </c>
      <c r="G5" s="63" t="n"/>
      <c r="H5" s="64">
        <f>IFERROR(B5/(B5+D5+F5),0)</f>
        <v/>
      </c>
      <c r="I5" s="63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2" t="inlineStr">
        <is>
          <t>EMPLEADO</t>
        </is>
      </c>
      <c r="C25" s="32" t="inlineStr">
        <is>
          <t>FALTAS</t>
        </is>
      </c>
      <c r="D25" s="32" t="inlineStr">
        <is>
          <t>RETARDOS</t>
        </is>
      </c>
      <c r="E25" s="4" t="n"/>
      <c r="F25" s="4" t="n"/>
      <c r="G25" s="4" t="n"/>
      <c r="H25" s="4" t="n"/>
      <c r="I25" s="4" t="n"/>
      <c r="J25" s="4" t="n"/>
    </row>
    <row r="26">
      <c r="A26" s="4" t="n"/>
      <c r="B26" s="41">
        <f>IF(FORMATO!B7="","",FORMATO!B7)</f>
        <v/>
      </c>
      <c r="C26" s="19">
        <f>FORMATO!AI7</f>
        <v/>
      </c>
      <c r="D26" s="19">
        <f>FORMATO!AJ7</f>
        <v/>
      </c>
      <c r="E26" s="4" t="n"/>
      <c r="F26" s="4" t="n"/>
      <c r="G26" s="4" t="n"/>
      <c r="H26" s="4" t="n"/>
      <c r="I26" s="4" t="n"/>
      <c r="J26" s="4" t="n"/>
    </row>
    <row r="27">
      <c r="A27" s="4" t="n"/>
      <c r="B27" s="41">
        <f>IF(FORMATO!B8="","",FORMATO!B8)</f>
        <v/>
      </c>
      <c r="C27" s="19">
        <f>FORMATO!AI8</f>
        <v/>
      </c>
      <c r="D27" s="19">
        <f>FORMATO!AJ8</f>
        <v/>
      </c>
      <c r="E27" s="4" t="n"/>
      <c r="F27" s="4" t="n"/>
      <c r="G27" s="4" t="n"/>
      <c r="H27" s="4" t="n"/>
      <c r="I27" s="4" t="n"/>
      <c r="J27" s="4" t="n"/>
    </row>
    <row r="28">
      <c r="A28" s="4" t="n"/>
      <c r="B28" s="41">
        <f>IF(FORMATO!B9="","",FORMATO!B9)</f>
        <v/>
      </c>
      <c r="C28" s="19">
        <f>FORMATO!AI9</f>
        <v/>
      </c>
      <c r="D28" s="19">
        <f>FORMATO!AJ9</f>
        <v/>
      </c>
      <c r="E28" s="4" t="n"/>
      <c r="F28" s="4" t="n"/>
      <c r="G28" s="4" t="n"/>
      <c r="H28" s="4" t="n"/>
      <c r="I28" s="4" t="n"/>
      <c r="J28" s="4" t="n"/>
    </row>
    <row r="29">
      <c r="A29" s="4" t="n"/>
      <c r="B29" s="41">
        <f>IF(FORMATO!B10="","",FORMATO!B10)</f>
        <v/>
      </c>
      <c r="C29" s="19">
        <f>FORMATO!AI10</f>
        <v/>
      </c>
      <c r="D29" s="19">
        <f>FORMATO!AJ10</f>
        <v/>
      </c>
      <c r="E29" s="4" t="n"/>
      <c r="F29" s="4" t="n"/>
      <c r="G29" s="4" t="n"/>
      <c r="H29" s="4" t="n"/>
      <c r="I29" s="4" t="n"/>
      <c r="J29" s="4" t="n"/>
    </row>
    <row r="30">
      <c r="A30" s="4" t="n"/>
      <c r="B30" s="41">
        <f>IF(FORMATO!B11="","",FORMATO!B11)</f>
        <v/>
      </c>
      <c r="C30" s="19">
        <f>FORMATO!AI11</f>
        <v/>
      </c>
      <c r="D30" s="19">
        <f>FORMATO!AJ11</f>
        <v/>
      </c>
      <c r="E30" s="4" t="n"/>
      <c r="F30" s="4" t="n"/>
      <c r="G30" s="4" t="n"/>
      <c r="H30" s="4" t="n"/>
      <c r="I30" s="4" t="n"/>
      <c r="J30" s="4" t="n"/>
    </row>
    <row r="31">
      <c r="A31" s="4" t="n"/>
      <c r="B31" s="41">
        <f>IF(FORMATO!B12="","",FORMATO!B12)</f>
        <v/>
      </c>
      <c r="C31" s="19">
        <f>FORMATO!AI12</f>
        <v/>
      </c>
      <c r="D31" s="19">
        <f>FORMATO!AJ12</f>
        <v/>
      </c>
      <c r="E31" s="4" t="n"/>
      <c r="F31" s="4" t="n"/>
      <c r="G31" s="4" t="n"/>
      <c r="H31" s="4" t="n"/>
      <c r="I31" s="4" t="n"/>
      <c r="J31" s="4" t="n"/>
    </row>
    <row r="32">
      <c r="A32" s="4" t="n"/>
      <c r="B32" s="41">
        <f>IF(FORMATO!B13="","",FORMATO!B13)</f>
        <v/>
      </c>
      <c r="C32" s="19">
        <f>FORMATO!AI13</f>
        <v/>
      </c>
      <c r="D32" s="19">
        <f>FORMATO!AJ13</f>
        <v/>
      </c>
      <c r="E32" s="4" t="n"/>
      <c r="F32" s="4" t="n"/>
      <c r="G32" s="4" t="n"/>
      <c r="H32" s="4" t="n"/>
      <c r="I32" s="4" t="n"/>
      <c r="J32" s="4" t="n"/>
    </row>
    <row r="33">
      <c r="A33" s="4" t="n"/>
      <c r="B33" s="41">
        <f>IF(FORMATO!B14="","",FORMATO!B14)</f>
        <v/>
      </c>
      <c r="C33" s="19">
        <f>FORMATO!AI14</f>
        <v/>
      </c>
      <c r="D33" s="19">
        <f>FORMATO!AJ14</f>
        <v/>
      </c>
      <c r="E33" s="4" t="n"/>
      <c r="F33" s="4" t="n"/>
      <c r="G33" s="4" t="n"/>
      <c r="H33" s="4" t="n"/>
      <c r="I33" s="4" t="n"/>
      <c r="J33" s="4" t="n"/>
    </row>
    <row r="34">
      <c r="A34" s="4" t="n"/>
      <c r="B34" s="41">
        <f>IF(FORMATO!B15="","",FORMATO!B15)</f>
        <v/>
      </c>
      <c r="C34" s="19">
        <f>FORMATO!AI15</f>
        <v/>
      </c>
      <c r="D34" s="19">
        <f>FORMATO!AJ15</f>
        <v/>
      </c>
      <c r="E34" s="4" t="n"/>
      <c r="F34" s="4" t="n"/>
      <c r="G34" s="4" t="n"/>
      <c r="H34" s="4" t="n"/>
      <c r="I34" s="4" t="n"/>
      <c r="J34" s="4" t="n"/>
    </row>
    <row r="35">
      <c r="A35" s="4" t="n"/>
      <c r="B35" s="41">
        <f>IF(FORMATO!B16="","",FORMATO!B16)</f>
        <v/>
      </c>
      <c r="C35" s="19">
        <f>FORMATO!AI16</f>
        <v/>
      </c>
      <c r="D35" s="19">
        <f>FORMATO!AJ16</f>
        <v/>
      </c>
      <c r="E35" s="4" t="n"/>
      <c r="F35" s="4" t="n"/>
      <c r="G35" s="4" t="n"/>
      <c r="H35" s="4" t="n"/>
      <c r="I35" s="4" t="n"/>
      <c r="J35" s="4" t="n"/>
    </row>
    <row r="36">
      <c r="A36" s="4" t="n"/>
      <c r="B36" s="41">
        <f>IF(FORMATO!B17="","",FORMATO!B17)</f>
        <v/>
      </c>
      <c r="C36" s="19">
        <f>FORMATO!AI17</f>
        <v/>
      </c>
      <c r="D36" s="19">
        <f>FORMATO!AJ17</f>
        <v/>
      </c>
      <c r="E36" s="4" t="n"/>
      <c r="F36" s="4" t="n"/>
      <c r="G36" s="4" t="n"/>
      <c r="H36" s="4" t="n"/>
      <c r="I36" s="4" t="n"/>
      <c r="J36" s="4" t="n"/>
    </row>
    <row r="37">
      <c r="A37" s="4" t="n"/>
      <c r="B37" s="41">
        <f>IF(FORMATO!B18="","",FORMATO!B18)</f>
        <v/>
      </c>
      <c r="C37" s="19">
        <f>FORMATO!AI18</f>
        <v/>
      </c>
      <c r="D37" s="19">
        <f>FORMATO!AJ18</f>
        <v/>
      </c>
      <c r="E37" s="4" t="n"/>
      <c r="F37" s="4" t="n"/>
      <c r="G37" s="4" t="n"/>
      <c r="H37" s="4" t="n"/>
      <c r="I37" s="4" t="n"/>
      <c r="J37" s="4" t="n"/>
    </row>
    <row r="38">
      <c r="A38" s="4" t="n"/>
      <c r="B38" s="41">
        <f>IF(FORMATO!B19="","",FORMATO!B19)</f>
        <v/>
      </c>
      <c r="C38" s="19">
        <f>FORMATO!AI19</f>
        <v/>
      </c>
      <c r="D38" s="19">
        <f>FORMATO!AJ19</f>
        <v/>
      </c>
      <c r="E38" s="4" t="n"/>
      <c r="F38" s="4" t="n"/>
      <c r="G38" s="4" t="n"/>
      <c r="H38" s="4" t="n"/>
      <c r="I38" s="4" t="n"/>
      <c r="J38" s="4" t="n"/>
    </row>
    <row r="39">
      <c r="A39" s="4" t="n"/>
      <c r="B39" s="41">
        <f>IF(FORMATO!B20="","",FORMATO!B20)</f>
        <v/>
      </c>
      <c r="C39" s="19">
        <f>FORMATO!AI20</f>
        <v/>
      </c>
      <c r="D39" s="19">
        <f>FORMATO!AJ20</f>
        <v/>
      </c>
      <c r="E39" s="4" t="n"/>
      <c r="F39" s="4" t="n"/>
      <c r="G39" s="4" t="n"/>
      <c r="H39" s="4" t="n"/>
      <c r="I39" s="4" t="n"/>
      <c r="J39" s="4" t="n"/>
    </row>
    <row r="40">
      <c r="A40" s="4" t="n"/>
      <c r="B40" s="41">
        <f>IF(FORMATO!B21="","",FORMATO!B21)</f>
        <v/>
      </c>
      <c r="C40" s="19">
        <f>FORMATO!AI21</f>
        <v/>
      </c>
      <c r="D40" s="19">
        <f>FORMATO!AJ21</f>
        <v/>
      </c>
      <c r="E40" s="4" t="n"/>
      <c r="F40" s="4" t="n"/>
      <c r="G40" s="4" t="n"/>
      <c r="H40" s="4" t="n"/>
      <c r="I40" s="4" t="n"/>
      <c r="J40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2" t="inlineStr">
        <is>
          <t>AYUDA Y PREGUNTAS FRECUENTES</t>
        </is>
      </c>
      <c r="E1" s="1" t="n"/>
    </row>
    <row r="2">
      <c r="A2" s="1" t="n"/>
      <c r="B2" s="43" t="inlineStr">
        <is>
          <t>CONTROL DE ASISTENCIA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4" t="inlineStr">
        <is>
          <t>¿Cómo agrego más empleados?</t>
        </is>
      </c>
      <c r="D6" s="45" t="inlineStr">
        <is>
          <t>El formato incluye 50 renglones. Para más empleados duplica la hoja o usa un archivo adicional.</t>
        </is>
      </c>
      <c r="E6" s="4" t="n"/>
    </row>
    <row r="7" ht="38" customHeight="1">
      <c r="A7" s="4" t="n"/>
      <c r="B7" s="4" t="n"/>
      <c r="C7" s="44" t="inlineStr">
        <is>
          <t>¿Se descuentan los días de descanso?</t>
        </is>
      </c>
      <c r="D7" s="45" t="inlineStr">
        <is>
          <t>No, la clave D no cuenta como falta ni como asistencia efectiva en los totales de faltas.</t>
        </is>
      </c>
      <c r="E7" s="4" t="n"/>
    </row>
    <row r="8" ht="53" customHeight="1">
      <c r="A8" s="4" t="n"/>
      <c r="B8" s="4" t="n"/>
      <c r="C8" s="44" t="inlineStr">
        <is>
          <t>¿Por qué no puedo escribir en algunas celdas?</t>
        </is>
      </c>
      <c r="D8" s="45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4" t="inlineStr">
        <is>
          <t>¿Cómo agrego mi logotipo?</t>
        </is>
      </c>
      <c r="D9" s="45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4" t="inlineStr">
        <is>
          <t>¿Cómo lo imprimo o lo convierto a PDF?</t>
        </is>
      </c>
      <c r="D10" s="45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4" t="inlineStr">
        <is>
          <t>¿Con qué versiones de Excel funciona?</t>
        </is>
      </c>
      <c r="D11" s="45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4" t="inlineStr">
        <is>
          <t>¿Por qué la letra se ve diferente?</t>
        </is>
      </c>
      <c r="D12" s="45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4" t="inlineStr">
        <is>
          <t>¿Puedo usarlo en varias empresas o por varios años?</t>
        </is>
      </c>
      <c r="D13" s="45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6" t="inlineStr">
        <is>
          <t>A</t>
        </is>
      </c>
      <c r="D16" s="47" t="inlineStr">
        <is>
          <t>Asistencia</t>
        </is>
      </c>
      <c r="E16" s="4" t="n"/>
    </row>
    <row r="17" ht="21" customHeight="1">
      <c r="A17" s="4" t="n"/>
      <c r="B17" s="4" t="n"/>
      <c r="C17" s="46" t="inlineStr">
        <is>
          <t>F</t>
        </is>
      </c>
      <c r="D17" s="47" t="inlineStr">
        <is>
          <t>Falta injustificada</t>
        </is>
      </c>
      <c r="E17" s="4" t="n"/>
    </row>
    <row r="18" ht="21" customHeight="1">
      <c r="A18" s="4" t="n"/>
      <c r="B18" s="4" t="n"/>
      <c r="C18" s="46" t="inlineStr">
        <is>
          <t>R</t>
        </is>
      </c>
      <c r="D18" s="47" t="inlineStr">
        <is>
          <t>Retardo</t>
        </is>
      </c>
      <c r="E18" s="4" t="n"/>
    </row>
    <row r="19" ht="21" customHeight="1">
      <c r="A19" s="4" t="n"/>
      <c r="B19" s="4" t="n"/>
      <c r="C19" s="46" t="inlineStr">
        <is>
          <t>V</t>
        </is>
      </c>
      <c r="D19" s="47" t="inlineStr">
        <is>
          <t>Vacaciones</t>
        </is>
      </c>
      <c r="E19" s="4" t="n"/>
    </row>
    <row r="20" ht="21" customHeight="1">
      <c r="A20" s="4" t="n"/>
      <c r="B20" s="4" t="n"/>
      <c r="C20" s="46" t="inlineStr">
        <is>
          <t>I</t>
        </is>
      </c>
      <c r="D20" s="47" t="inlineStr">
        <is>
          <t>Incapacidad</t>
        </is>
      </c>
      <c r="E20" s="4" t="n"/>
    </row>
    <row r="21" ht="21" customHeight="1">
      <c r="A21" s="4" t="n"/>
      <c r="B21" s="4" t="n"/>
      <c r="C21" s="46" t="inlineStr">
        <is>
          <t>D</t>
        </is>
      </c>
      <c r="D21" s="47" t="inlineStr">
        <is>
          <t>Descanso</t>
        </is>
      </c>
      <c r="E21" s="4" t="n"/>
    </row>
    <row r="22" ht="21" customHeight="1">
      <c r="A22" s="4" t="n"/>
      <c r="B22" s="4" t="n"/>
      <c r="C22" s="46" t="inlineStr">
        <is>
          <t>P</t>
        </is>
      </c>
      <c r="D22" s="47" t="inlineStr">
        <is>
          <t>Permiso</t>
        </is>
      </c>
      <c r="E22" s="4" t="n"/>
    </row>
    <row r="23">
      <c r="A23" s="4" t="n"/>
      <c r="B23" s="4" t="n"/>
      <c r="C23" s="4" t="n"/>
      <c r="D23" s="4" t="n"/>
      <c r="E23" s="4" t="n"/>
    </row>
    <row r="24" ht="24" customHeight="1">
      <c r="A24" s="4" t="n"/>
      <c r="B24" s="9" t="inlineStr">
        <is>
          <t>LISTA DE VERIFICACIÓN (marca ☑ al completar)</t>
        </is>
      </c>
      <c r="C24" s="10" t="n"/>
      <c r="D24" s="10" t="n"/>
      <c r="E24" s="4" t="n"/>
    </row>
    <row r="25" ht="20" customHeight="1">
      <c r="A25" s="4" t="n"/>
      <c r="B25" s="48" t="inlineStr">
        <is>
          <t>☐</t>
        </is>
      </c>
      <c r="C25" s="49" t="inlineStr">
        <is>
          <t>Plantilla de empleados actualizada</t>
        </is>
      </c>
      <c r="E25" s="4" t="n"/>
    </row>
    <row r="26" ht="20" customHeight="1">
      <c r="A26" s="4" t="n"/>
      <c r="B26" s="48" t="inlineStr">
        <is>
          <t>☐</t>
        </is>
      </c>
      <c r="C26" s="49" t="inlineStr">
        <is>
          <t>Todos los días capturados</t>
        </is>
      </c>
      <c r="E26" s="4" t="n"/>
    </row>
    <row r="27" ht="20" customHeight="1">
      <c r="A27" s="4" t="n"/>
      <c r="B27" s="48" t="inlineStr">
        <is>
          <t>☐</t>
        </is>
      </c>
      <c r="C27" s="49" t="inlineStr">
        <is>
          <t>Faltas y retardos justificados o aplicados</t>
        </is>
      </c>
      <c r="E27" s="4" t="n"/>
    </row>
    <row r="28" ht="20" customHeight="1">
      <c r="A28" s="4" t="n"/>
      <c r="B28" s="48" t="inlineStr">
        <is>
          <t>☐</t>
        </is>
      </c>
      <c r="C28" s="49" t="inlineStr">
        <is>
          <t>Totales enviados a nómina</t>
        </is>
      </c>
      <c r="E28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B1:D1"/>
    <mergeCell ref="C25:D25"/>
    <mergeCell ref="C27:D27"/>
    <mergeCell ref="C28:D28"/>
    <mergeCell ref="C26:D26"/>
    <mergeCell ref="B2:D2"/>
  </mergeCells>
  <dataValidations count="1">
    <dataValidation sqref="B25 B26 B27 B28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2026-10-07T22:13:43Z</dcterms:created>
  <dcterms:modified xmlns:dcterms="http://purl.org/dc/terms/" xmlns:xsi="http://www.w3.org/2001/XMLSchema-instance" xsi:type="dcterms:W3CDTF">2026-10-07T22:13:47Z</dcterms:modified>
</cp:coreProperties>
</file>