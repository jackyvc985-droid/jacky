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B6B78"/>
      <sz val="10"/>
    </font>
    <font>
      <name val="Calibri"/>
      <i val="1"/>
      <color rgb="00A6A6A6"/>
      <sz val="8"/>
    </font>
    <font>
      <name val="Calibri"/>
      <b val="1"/>
      <color rgb="001B6B73"/>
    </font>
    <font>
      <name val="Calibri"/>
      <b val="1"/>
      <color rgb="00FFFFFF"/>
    </font>
    <font>
      <name val="Calibri"/>
      <b val="1"/>
    </font>
    <font>
      <name val="Calibri"/>
      <b val="1"/>
      <color rgb="000B2A4A"/>
    </font>
    <font>
      <name val="Calibri"/>
      <b val="1"/>
      <color rgb="00C9A227"/>
      <sz val="10"/>
    </font>
    <font>
      <name val="Calibri"/>
      <b val="1"/>
      <color rgb="00FFFFFF"/>
      <sz val="26"/>
    </font>
    <font>
      <name val="Calibri"/>
      <color rgb="00C9D3DB"/>
      <sz val="12"/>
    </font>
    <font>
      <name val="Calibri"/>
      <b val="1"/>
      <color rgb="001B6B73"/>
      <sz val="11"/>
    </font>
    <font>
      <name val="Calibri"/>
      <b val="1"/>
      <color rgb="00C9A227"/>
      <sz val="12"/>
    </font>
    <font>
      <name val="Calibri"/>
      <color rgb="002B2B2B"/>
      <sz val="11"/>
    </font>
    <font>
      <name val="Calibri"/>
      <color rgb="005B6B78"/>
      <sz val="10"/>
    </font>
    <font>
      <name val="Calibri"/>
      <color rgb="008A97A3"/>
      <sz val="9"/>
    </font>
  </fonts>
  <fills count="6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</fills>
  <borders count="24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bottom style="thin"/>
    </border>
    <border>
      <top style="thick">
        <color rgb="00C9A227"/>
      </top>
    </border>
    <border>
      <top style="thin">
        <color rgb="00C9A227"/>
      </top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/>
      <top style="thin">
        <color rgb="00C9D3DB"/>
      </top>
      <bottom style="thin">
        <color rgb="00C9D3DB"/>
      </bottom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right/>
      <bottom style="medium">
        <color rgb="00C9A227"/>
      </bottom>
    </border>
    <border>
      <left/>
      <right/>
      <top/>
      <bottom style="thin"/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0" fillId="0" borderId="9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0" fillId="4" borderId="7" applyProtection="1" pivotButton="0" quotePrefix="0" xfId="0">
      <protection locked="0" hidden="0"/>
    </xf>
    <xf numFmtId="0" fontId="14" fillId="0" borderId="0" pivotButton="0" quotePrefix="0" xfId="0"/>
    <xf numFmtId="0" fontId="0" fillId="5" borderId="7" pivotButton="0" quotePrefix="0" xfId="0"/>
    <xf numFmtId="0" fontId="0" fillId="2" borderId="7" pivotButton="0" quotePrefix="0" xfId="0"/>
    <xf numFmtId="0" fontId="0" fillId="0" borderId="10" pivotButton="0" quotePrefix="0" xfId="0"/>
    <xf numFmtId="0" fontId="1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3" borderId="7" pivotButton="0" quotePrefix="0" xfId="0"/>
    <xf numFmtId="10" fontId="0" fillId="4" borderId="7" applyProtection="1" pivotButton="0" quotePrefix="0" xfId="0">
      <protection locked="0" hidden="0"/>
    </xf>
    <xf numFmtId="0" fontId="5" fillId="2" borderId="7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/>
    </xf>
    <xf numFmtId="164" fontId="0" fillId="4" borderId="7" applyProtection="1" pivotButton="0" quotePrefix="0" xfId="0">
      <protection locked="0" hidden="0"/>
    </xf>
    <xf numFmtId="164" fontId="0" fillId="5" borderId="7" pivotButton="0" quotePrefix="0" xfId="0"/>
    <xf numFmtId="0" fontId="6" fillId="0" borderId="0" applyAlignment="1" pivotButton="0" quotePrefix="0" xfId="0">
      <alignment horizontal="right"/>
    </xf>
    <xf numFmtId="164" fontId="7" fillId="3" borderId="7" pivotButton="0" quotePrefix="0" xfId="0"/>
    <xf numFmtId="0" fontId="0" fillId="0" borderId="8" pivotButton="0" quotePrefix="0" xfId="0"/>
    <xf numFmtId="0" fontId="6" fillId="0" borderId="0" applyAlignment="1" pivotButton="0" quotePrefix="0" xfId="0">
      <alignment horizontal="center"/>
    </xf>
    <xf numFmtId="0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2" fillId="0" borderId="1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8" customWidth="1" min="3" max="3"/>
    <col width="4" customWidth="1" min="4" max="4"/>
  </cols>
  <sheetData>
    <row r="1">
      <c r="A1" s="1" t="n"/>
      <c r="B1" s="1" t="n"/>
      <c r="C1" s="1" t="n"/>
      <c r="D1" s="1" t="n"/>
    </row>
    <row r="2" ht="20" customHeight="1">
      <c r="A2" s="1" t="n"/>
      <c r="B2" s="2" t="inlineStr">
        <is>
          <t>GRUPO CANVILLE</t>
        </is>
      </c>
      <c r="C2" s="1" t="n"/>
      <c r="D2" s="1" t="n"/>
    </row>
    <row r="3">
      <c r="A3" s="1" t="n"/>
      <c r="B3" s="1" t="n"/>
      <c r="C3" s="1" t="n"/>
      <c r="D3" s="1" t="n"/>
    </row>
    <row r="4" ht="40" customHeight="1">
      <c r="A4" s="1" t="n"/>
      <c r="B4" s="3" t="inlineStr">
        <is>
          <t>Nómina simplificada</t>
        </is>
      </c>
      <c r="C4" s="1" t="n"/>
      <c r="D4" s="1" t="n"/>
    </row>
    <row r="5">
      <c r="A5" s="1" t="n"/>
      <c r="B5" s="4" t="inlineStr">
        <is>
          <t>Formato administrativo editable · México</t>
        </is>
      </c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 ht="6" customHeight="1">
      <c r="A8" s="5" t="n"/>
      <c r="B8" s="5" t="n"/>
      <c r="C8" s="5" t="n"/>
      <c r="D8" s="5" t="n"/>
    </row>
    <row r="10">
      <c r="B10" s="6" t="inlineStr">
        <is>
          <t>CÓMO USARLO</t>
        </is>
      </c>
    </row>
    <row r="11" ht="21" customHeight="1">
      <c r="B11" s="7" t="n">
        <v>1</v>
      </c>
      <c r="C11" s="8" t="inlineStr">
        <is>
          <t>Captura sueldo diario, días trabajados y horas extra de cada empleado.</t>
        </is>
      </c>
    </row>
    <row r="12" ht="21" customHeight="1">
      <c r="B12" s="7" t="n">
        <v>2</v>
      </c>
      <c r="C12" s="8" t="inlineStr">
        <is>
          <t>Las horas extra se pagan al doble de la hora ordinaria (jornada de 8 h).</t>
        </is>
      </c>
    </row>
    <row r="13" ht="21" customHeight="1">
      <c r="B13" s="7" t="n">
        <v>3</v>
      </c>
      <c r="C13" s="8" t="inlineStr">
        <is>
          <t>El ISR retenido se captura manualmente según la tabla del SAT vigente.</t>
        </is>
      </c>
    </row>
    <row r="14" ht="21" customHeight="1">
      <c r="B14" s="7" t="n">
        <v>4</v>
      </c>
      <c r="C14" s="8" t="inlineStr">
        <is>
          <t>Ajusta el % de retención IMSS según tu cálculo; el valor incluido es solo una referencia.</t>
        </is>
      </c>
    </row>
    <row r="15" ht="36" customHeight="1">
      <c r="B15" s="7" t="n">
        <v>5</v>
      </c>
      <c r="C15" s="8" t="inlineStr">
        <is>
          <t>Este formato es de control administrativo. Para timbrado de recibos usa tu sistema de nómina CFDI.</t>
        </is>
      </c>
    </row>
    <row r="16" ht="36" customHeight="1">
      <c r="B16" s="7" t="n">
        <v>6</v>
      </c>
      <c r="C16" s="8" t="inlineStr">
        <is>
          <t>Personaliza: en el recuadro punteado de la esquina superior derecha inserta tu logo (Insertar &gt; Imágenes) y captura los datos de tu empresa en las celdas de captura.</t>
        </is>
      </c>
    </row>
    <row r="18">
      <c r="B18" s="6" t="inlineStr">
        <is>
          <t>LEYENDA</t>
        </is>
      </c>
    </row>
    <row r="19">
      <c r="B19" s="9" t="inlineStr"/>
      <c r="C19" s="10" t="inlineStr">
        <is>
          <t>Celda de captura: escribe aquí.</t>
        </is>
      </c>
    </row>
    <row r="20">
      <c r="B20" s="11" t="inlineStr"/>
      <c r="C20" s="10" t="inlineStr">
        <is>
          <t>Cálculo automático: no la modifiques.</t>
        </is>
      </c>
    </row>
    <row r="21">
      <c r="B21" s="12" t="inlineStr"/>
      <c r="C21" s="10" t="inlineStr">
        <is>
          <t>Encabezados y títulos.</t>
        </is>
      </c>
    </row>
    <row r="23">
      <c r="A23" s="13" t="n"/>
      <c r="B23" s="13" t="n"/>
      <c r="C23" s="13" t="n"/>
      <c r="D23" s="13" t="n"/>
    </row>
    <row r="24">
      <c r="B24" s="14" t="inlineStr">
        <is>
          <t>GRUPO CANVILLE · Formatos administrativos · v1.0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K42"/>
  <sheetViews>
    <sheetView showGridLines="0" workbookViewId="0">
      <selection activeCell="A1" sqref="A1"/>
    </sheetView>
  </sheetViews>
  <sheetFormatPr baseColWidth="8" defaultRowHeight="15"/>
  <cols>
    <col width="20.4" customWidth="1" min="1" max="1"/>
    <col width="26" customWidth="1" min="2" max="2"/>
    <col width="12" customWidth="1" min="3" max="3"/>
    <col width="12" customWidth="1" min="4" max="4"/>
    <col width="12" customWidth="1" min="5" max="5"/>
    <col width="28.45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44" customHeight="1">
      <c r="A1" s="15" t="inlineStr">
        <is>
          <t>NÓMINA SIMPLIFICADA</t>
        </is>
      </c>
      <c r="J1" s="32" t="inlineStr">
        <is>
          <t>INSERTE SU LOGO
(clic derecho &gt; Insertar imagen)</t>
        </is>
      </c>
      <c r="K1" s="33" t="n"/>
    </row>
    <row r="2" ht="26" customHeight="1">
      <c r="A2" s="34" t="inlineStr">
        <is>
          <t>Cálculo estimado por periodo (referencia administrativa, no sustituye cálculo fiscal)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35" t="n"/>
      <c r="K2" s="36" t="n"/>
    </row>
    <row r="4">
      <c r="A4" s="22" t="inlineStr">
        <is>
          <t>Empresa</t>
        </is>
      </c>
      <c r="B4" s="9" t="inlineStr">
        <is>
          <t>Comercializadora Ejemplo S.A. de C.V.</t>
        </is>
      </c>
      <c r="C4" s="37" t="n"/>
      <c r="D4" s="38" t="n"/>
      <c r="F4" s="22" t="inlineStr">
        <is>
          <t>Periodo</t>
        </is>
      </c>
      <c r="G4" s="9" t="inlineStr">
        <is>
          <t>1ª quincena de octubre 2026</t>
        </is>
      </c>
      <c r="H4" s="37" t="n"/>
      <c r="I4" s="38" t="n"/>
    </row>
    <row r="5">
      <c r="A5" s="22" t="inlineStr">
        <is>
          <t>Días del periodo</t>
        </is>
      </c>
      <c r="B5" s="9" t="n">
        <v>15</v>
      </c>
      <c r="C5" s="37" t="n"/>
      <c r="D5" s="38" t="n"/>
      <c r="F5" s="22" t="inlineStr">
        <is>
          <t>% retención IMSS (est.)</t>
        </is>
      </c>
      <c r="G5" s="23" t="n">
        <v>0.0275</v>
      </c>
      <c r="H5" s="37" t="n"/>
      <c r="I5" s="38" t="n"/>
    </row>
    <row r="7" ht="32" customHeight="1">
      <c r="A7" s="24" t="inlineStr">
        <is>
          <t>No.</t>
        </is>
      </c>
      <c r="B7" s="24" t="inlineStr">
        <is>
          <t>Empleado</t>
        </is>
      </c>
      <c r="C7" s="24" t="inlineStr">
        <is>
          <t>Sueldo diario</t>
        </is>
      </c>
      <c r="D7" s="24" t="inlineStr">
        <is>
          <t>Días trab.</t>
        </is>
      </c>
      <c r="E7" s="24" t="inlineStr">
        <is>
          <t>Horas extra</t>
        </is>
      </c>
      <c r="F7" s="24" t="inlineStr">
        <is>
          <t>Sueldo</t>
        </is>
      </c>
      <c r="G7" s="24" t="inlineStr">
        <is>
          <t>Pago horas extra</t>
        </is>
      </c>
      <c r="H7" s="24" t="inlineStr">
        <is>
          <t>Bonos / otros</t>
        </is>
      </c>
      <c r="I7" s="24" t="inlineStr">
        <is>
          <t>Retención IMSS</t>
        </is>
      </c>
      <c r="J7" s="24" t="inlineStr">
        <is>
          <t>ISR retenido</t>
        </is>
      </c>
      <c r="K7" s="24" t="inlineStr">
        <is>
          <t>NETO A PAGAR</t>
        </is>
      </c>
    </row>
    <row r="8">
      <c r="A8" s="25" t="n">
        <v>1</v>
      </c>
      <c r="B8" s="9" t="inlineStr">
        <is>
          <t>Ana López Ramírez</t>
        </is>
      </c>
      <c r="C8" s="26" t="n">
        <v>520</v>
      </c>
      <c r="D8" s="9" t="n">
        <v>15</v>
      </c>
      <c r="E8" s="9" t="n">
        <v>0</v>
      </c>
      <c r="F8" s="27">
        <f>IF(C8="","",C8*D8)</f>
        <v/>
      </c>
      <c r="G8" s="27">
        <f>IF(C8="","",E8*(C8/8)*2)</f>
        <v/>
      </c>
      <c r="H8" s="26" t="n">
        <v>0</v>
      </c>
      <c r="I8" s="27">
        <f>IF(C8="","",ROUND((F8+G8)*$G$5,2))</f>
        <v/>
      </c>
      <c r="J8" s="26" t="n">
        <v>1420</v>
      </c>
      <c r="K8" s="27">
        <f>IF(C8="","",F8+G8+H8-I8-J8)</f>
        <v/>
      </c>
    </row>
    <row r="9">
      <c r="A9" s="25" t="n">
        <v>2</v>
      </c>
      <c r="B9" s="9" t="inlineStr">
        <is>
          <t>Carlos Pérez Soto</t>
        </is>
      </c>
      <c r="C9" s="26" t="n">
        <v>410</v>
      </c>
      <c r="D9" s="9" t="n">
        <v>15</v>
      </c>
      <c r="E9" s="9" t="n">
        <v>4</v>
      </c>
      <c r="F9" s="27">
        <f>IF(C9="","",C9*D9)</f>
        <v/>
      </c>
      <c r="G9" s="27">
        <f>IF(C9="","",E9*(C9/8)*2)</f>
        <v/>
      </c>
      <c r="H9" s="26" t="n">
        <v>300</v>
      </c>
      <c r="I9" s="27">
        <f>IF(C9="","",ROUND((F9+G9)*$G$5,2))</f>
        <v/>
      </c>
      <c r="J9" s="26" t="n">
        <v>910</v>
      </c>
      <c r="K9" s="27">
        <f>IF(C9="","",F9+G9+H9-I9-J9)</f>
        <v/>
      </c>
    </row>
    <row r="10">
      <c r="A10" s="25" t="n">
        <v>3</v>
      </c>
      <c r="B10" s="9" t="inlineStr">
        <is>
          <t>Laura Méndez Cruz</t>
        </is>
      </c>
      <c r="C10" s="26" t="n">
        <v>680</v>
      </c>
      <c r="D10" s="9" t="n">
        <v>15</v>
      </c>
      <c r="E10" s="9" t="n">
        <v>0</v>
      </c>
      <c r="F10" s="27">
        <f>IF(C10="","",C10*D10)</f>
        <v/>
      </c>
      <c r="G10" s="27">
        <f>IF(C10="","",E10*(C10/8)*2)</f>
        <v/>
      </c>
      <c r="H10" s="26" t="n">
        <v>500</v>
      </c>
      <c r="I10" s="27">
        <f>IF(C10="","",ROUND((F10+G10)*$G$5,2))</f>
        <v/>
      </c>
      <c r="J10" s="26" t="n">
        <v>1880</v>
      </c>
      <c r="K10" s="27">
        <f>IF(C10="","",F10+G10+H10-I10-J10)</f>
        <v/>
      </c>
    </row>
    <row r="11">
      <c r="A11" s="25" t="n">
        <v>4</v>
      </c>
      <c r="B11" s="9" t="inlineStr">
        <is>
          <t>José Hernández Ruiz</t>
        </is>
      </c>
      <c r="C11" s="26" t="n">
        <v>350</v>
      </c>
      <c r="D11" s="9" t="n">
        <v>14</v>
      </c>
      <c r="E11" s="9" t="n">
        <v>6</v>
      </c>
      <c r="F11" s="27">
        <f>IF(C11="","",C11*D11)</f>
        <v/>
      </c>
      <c r="G11" s="27">
        <f>IF(C11="","",E11*(C11/8)*2)</f>
        <v/>
      </c>
      <c r="H11" s="26" t="n">
        <v>0</v>
      </c>
      <c r="I11" s="27">
        <f>IF(C11="","",ROUND((F11+G11)*$G$5,2))</f>
        <v/>
      </c>
      <c r="J11" s="26" t="n">
        <v>640</v>
      </c>
      <c r="K11" s="27">
        <f>IF(C11="","",F11+G11+H11-I11-J11)</f>
        <v/>
      </c>
    </row>
    <row r="12">
      <c r="A12" s="25" t="n">
        <v>5</v>
      </c>
      <c r="B12" s="9" t="inlineStr">
        <is>
          <t>Patricia Núñez Vega</t>
        </is>
      </c>
      <c r="C12" s="26" t="n">
        <v>460</v>
      </c>
      <c r="D12" s="9" t="n">
        <v>15</v>
      </c>
      <c r="E12" s="9" t="n">
        <v>2</v>
      </c>
      <c r="F12" s="27">
        <f>IF(C12="","",C12*D12)</f>
        <v/>
      </c>
      <c r="G12" s="27">
        <f>IF(C12="","",E12*(C12/8)*2)</f>
        <v/>
      </c>
      <c r="H12" s="26" t="n">
        <v>250</v>
      </c>
      <c r="I12" s="27">
        <f>IF(C12="","",ROUND((F12+G12)*$G$5,2))</f>
        <v/>
      </c>
      <c r="J12" s="26" t="n">
        <v>1030</v>
      </c>
      <c r="K12" s="27">
        <f>IF(C12="","",F12+G12+H12-I12-J12)</f>
        <v/>
      </c>
    </row>
    <row r="13">
      <c r="A13" s="25" t="n">
        <v>6</v>
      </c>
      <c r="B13" s="9" t="inlineStr">
        <is>
          <t>Miguel Ángel Torres</t>
        </is>
      </c>
      <c r="C13" s="26" t="n">
        <v>395</v>
      </c>
      <c r="D13" s="9" t="n">
        <v>15</v>
      </c>
      <c r="E13" s="9" t="n">
        <v>0</v>
      </c>
      <c r="F13" s="27">
        <f>IF(C13="","",C13*D13)</f>
        <v/>
      </c>
      <c r="G13" s="27">
        <f>IF(C13="","",E13*(C13/8)*2)</f>
        <v/>
      </c>
      <c r="H13" s="26" t="n">
        <v>0</v>
      </c>
      <c r="I13" s="27">
        <f>IF(C13="","",ROUND((F13+G13)*$G$5,2))</f>
        <v/>
      </c>
      <c r="J13" s="26" t="n">
        <v>790</v>
      </c>
      <c r="K13" s="27">
        <f>IF(C13="","",F13+G13+H13-I13-J13)</f>
        <v/>
      </c>
    </row>
    <row r="14">
      <c r="A14" s="25" t="n">
        <v>7</v>
      </c>
      <c r="B14" s="9" t="n"/>
      <c r="C14" s="26" t="n"/>
      <c r="D14" s="9" t="n"/>
      <c r="E14" s="9" t="n"/>
      <c r="F14" s="27">
        <f>IF(C14="","",C14*D14)</f>
        <v/>
      </c>
      <c r="G14" s="27">
        <f>IF(C14="","",E14*(C14/8)*2)</f>
        <v/>
      </c>
      <c r="H14" s="26" t="n"/>
      <c r="I14" s="27">
        <f>IF(C14="","",ROUND((F14+G14)*$G$5,2))</f>
        <v/>
      </c>
      <c r="J14" s="26" t="n"/>
      <c r="K14" s="27">
        <f>IF(C14="","",F14+G14+H14-I14-J14)</f>
        <v/>
      </c>
    </row>
    <row r="15">
      <c r="A15" s="25" t="n">
        <v>8</v>
      </c>
      <c r="B15" s="9" t="n"/>
      <c r="C15" s="26" t="n"/>
      <c r="D15" s="9" t="n"/>
      <c r="E15" s="9" t="n"/>
      <c r="F15" s="27">
        <f>IF(C15="","",C15*D15)</f>
        <v/>
      </c>
      <c r="G15" s="27">
        <f>IF(C15="","",E15*(C15/8)*2)</f>
        <v/>
      </c>
      <c r="H15" s="26" t="n"/>
      <c r="I15" s="27">
        <f>IF(C15="","",ROUND((F15+G15)*$G$5,2))</f>
        <v/>
      </c>
      <c r="J15" s="26" t="n"/>
      <c r="K15" s="27">
        <f>IF(C15="","",F15+G15+H15-I15-J15)</f>
        <v/>
      </c>
    </row>
    <row r="16">
      <c r="A16" s="25" t="n">
        <v>9</v>
      </c>
      <c r="B16" s="9" t="n"/>
      <c r="C16" s="26" t="n"/>
      <c r="D16" s="9" t="n"/>
      <c r="E16" s="9" t="n"/>
      <c r="F16" s="27">
        <f>IF(C16="","",C16*D16)</f>
        <v/>
      </c>
      <c r="G16" s="27">
        <f>IF(C16="","",E16*(C16/8)*2)</f>
        <v/>
      </c>
      <c r="H16" s="26" t="n"/>
      <c r="I16" s="27">
        <f>IF(C16="","",ROUND((F16+G16)*$G$5,2))</f>
        <v/>
      </c>
      <c r="J16" s="26" t="n"/>
      <c r="K16" s="27">
        <f>IF(C16="","",F16+G16+H16-I16-J16)</f>
        <v/>
      </c>
    </row>
    <row r="17">
      <c r="A17" s="25" t="n">
        <v>10</v>
      </c>
      <c r="B17" s="9" t="n"/>
      <c r="C17" s="26" t="n"/>
      <c r="D17" s="9" t="n"/>
      <c r="E17" s="9" t="n"/>
      <c r="F17" s="27">
        <f>IF(C17="","",C17*D17)</f>
        <v/>
      </c>
      <c r="G17" s="27">
        <f>IF(C17="","",E17*(C17/8)*2)</f>
        <v/>
      </c>
      <c r="H17" s="26" t="n"/>
      <c r="I17" s="27">
        <f>IF(C17="","",ROUND((F17+G17)*$G$5,2))</f>
        <v/>
      </c>
      <c r="J17" s="26" t="n"/>
      <c r="K17" s="27">
        <f>IF(C17="","",F17+G17+H17-I17-J17)</f>
        <v/>
      </c>
    </row>
    <row r="18">
      <c r="A18" s="25" t="n">
        <v>11</v>
      </c>
      <c r="B18" s="9" t="n"/>
      <c r="C18" s="26" t="n"/>
      <c r="D18" s="9" t="n"/>
      <c r="E18" s="9" t="n"/>
      <c r="F18" s="27">
        <f>IF(C18="","",C18*D18)</f>
        <v/>
      </c>
      <c r="G18" s="27">
        <f>IF(C18="","",E18*(C18/8)*2)</f>
        <v/>
      </c>
      <c r="H18" s="26" t="n"/>
      <c r="I18" s="27">
        <f>IF(C18="","",ROUND((F18+G18)*$G$5,2))</f>
        <v/>
      </c>
      <c r="J18" s="26" t="n"/>
      <c r="K18" s="27">
        <f>IF(C18="","",F18+G18+H18-I18-J18)</f>
        <v/>
      </c>
    </row>
    <row r="19">
      <c r="A19" s="25" t="n">
        <v>12</v>
      </c>
      <c r="B19" s="9" t="n"/>
      <c r="C19" s="26" t="n"/>
      <c r="D19" s="9" t="n"/>
      <c r="E19" s="9" t="n"/>
      <c r="F19" s="27">
        <f>IF(C19="","",C19*D19)</f>
        <v/>
      </c>
      <c r="G19" s="27">
        <f>IF(C19="","",E19*(C19/8)*2)</f>
        <v/>
      </c>
      <c r="H19" s="26" t="n"/>
      <c r="I19" s="27">
        <f>IF(C19="","",ROUND((F19+G19)*$G$5,2))</f>
        <v/>
      </c>
      <c r="J19" s="26" t="n"/>
      <c r="K19" s="27">
        <f>IF(C19="","",F19+G19+H19-I19-J19)</f>
        <v/>
      </c>
    </row>
    <row r="20">
      <c r="A20" s="25" t="n">
        <v>13</v>
      </c>
      <c r="B20" s="9" t="n"/>
      <c r="C20" s="26" t="n"/>
      <c r="D20" s="9" t="n"/>
      <c r="E20" s="9" t="n"/>
      <c r="F20" s="27">
        <f>IF(C20="","",C20*D20)</f>
        <v/>
      </c>
      <c r="G20" s="27">
        <f>IF(C20="","",E20*(C20/8)*2)</f>
        <v/>
      </c>
      <c r="H20" s="26" t="n"/>
      <c r="I20" s="27">
        <f>IF(C20="","",ROUND((F20+G20)*$G$5,2))</f>
        <v/>
      </c>
      <c r="J20" s="26" t="n"/>
      <c r="K20" s="27">
        <f>IF(C20="","",F20+G20+H20-I20-J20)</f>
        <v/>
      </c>
    </row>
    <row r="21">
      <c r="A21" s="25" t="n">
        <v>14</v>
      </c>
      <c r="B21" s="9" t="n"/>
      <c r="C21" s="26" t="n"/>
      <c r="D21" s="9" t="n"/>
      <c r="E21" s="9" t="n"/>
      <c r="F21" s="27">
        <f>IF(C21="","",C21*D21)</f>
        <v/>
      </c>
      <c r="G21" s="27">
        <f>IF(C21="","",E21*(C21/8)*2)</f>
        <v/>
      </c>
      <c r="H21" s="26" t="n"/>
      <c r="I21" s="27">
        <f>IF(C21="","",ROUND((F21+G21)*$G$5,2))</f>
        <v/>
      </c>
      <c r="J21" s="26" t="n"/>
      <c r="K21" s="27">
        <f>IF(C21="","",F21+G21+H21-I21-J21)</f>
        <v/>
      </c>
    </row>
    <row r="22">
      <c r="A22" s="25" t="n">
        <v>15</v>
      </c>
      <c r="B22" s="9" t="n"/>
      <c r="C22" s="26" t="n"/>
      <c r="D22" s="9" t="n"/>
      <c r="E22" s="9" t="n"/>
      <c r="F22" s="27">
        <f>IF(C22="","",C22*D22)</f>
        <v/>
      </c>
      <c r="G22" s="27">
        <f>IF(C22="","",E22*(C22/8)*2)</f>
        <v/>
      </c>
      <c r="H22" s="26" t="n"/>
      <c r="I22" s="27">
        <f>IF(C22="","",ROUND((F22+G22)*$G$5,2))</f>
        <v/>
      </c>
      <c r="J22" s="26" t="n"/>
      <c r="K22" s="27">
        <f>IF(C22="","",F22+G22+H22-I22-J22)</f>
        <v/>
      </c>
    </row>
    <row r="23">
      <c r="A23" s="25" t="n">
        <v>16</v>
      </c>
      <c r="B23" s="9" t="n"/>
      <c r="C23" s="26" t="n"/>
      <c r="D23" s="9" t="n"/>
      <c r="E23" s="9" t="n"/>
      <c r="F23" s="27">
        <f>IF(C23="","",C23*D23)</f>
        <v/>
      </c>
      <c r="G23" s="27">
        <f>IF(C23="","",E23*(C23/8)*2)</f>
        <v/>
      </c>
      <c r="H23" s="26" t="n"/>
      <c r="I23" s="27">
        <f>IF(C23="","",ROUND((F23+G23)*$G$5,2))</f>
        <v/>
      </c>
      <c r="J23" s="26" t="n"/>
      <c r="K23" s="27">
        <f>IF(C23="","",F23+G23+H23-I23-J23)</f>
        <v/>
      </c>
    </row>
    <row r="24">
      <c r="A24" s="25" t="n">
        <v>17</v>
      </c>
      <c r="B24" s="9" t="n"/>
      <c r="C24" s="26" t="n"/>
      <c r="D24" s="9" t="n"/>
      <c r="E24" s="9" t="n"/>
      <c r="F24" s="27">
        <f>IF(C24="","",C24*D24)</f>
        <v/>
      </c>
      <c r="G24" s="27">
        <f>IF(C24="","",E24*(C24/8)*2)</f>
        <v/>
      </c>
      <c r="H24" s="26" t="n"/>
      <c r="I24" s="27">
        <f>IF(C24="","",ROUND((F24+G24)*$G$5,2))</f>
        <v/>
      </c>
      <c r="J24" s="26" t="n"/>
      <c r="K24" s="27">
        <f>IF(C24="","",F24+G24+H24-I24-J24)</f>
        <v/>
      </c>
    </row>
    <row r="25">
      <c r="A25" s="25" t="n">
        <v>18</v>
      </c>
      <c r="B25" s="9" t="n"/>
      <c r="C25" s="26" t="n"/>
      <c r="D25" s="9" t="n"/>
      <c r="E25" s="9" t="n"/>
      <c r="F25" s="27">
        <f>IF(C25="","",C25*D25)</f>
        <v/>
      </c>
      <c r="G25" s="27">
        <f>IF(C25="","",E25*(C25/8)*2)</f>
        <v/>
      </c>
      <c r="H25" s="26" t="n"/>
      <c r="I25" s="27">
        <f>IF(C25="","",ROUND((F25+G25)*$G$5,2))</f>
        <v/>
      </c>
      <c r="J25" s="26" t="n"/>
      <c r="K25" s="27">
        <f>IF(C25="","",F25+G25+H25-I25-J25)</f>
        <v/>
      </c>
    </row>
    <row r="26">
      <c r="A26" s="25" t="n">
        <v>19</v>
      </c>
      <c r="B26" s="9" t="n"/>
      <c r="C26" s="26" t="n"/>
      <c r="D26" s="9" t="n"/>
      <c r="E26" s="9" t="n"/>
      <c r="F26" s="27">
        <f>IF(C26="","",C26*D26)</f>
        <v/>
      </c>
      <c r="G26" s="27">
        <f>IF(C26="","",E26*(C26/8)*2)</f>
        <v/>
      </c>
      <c r="H26" s="26" t="n"/>
      <c r="I26" s="27">
        <f>IF(C26="","",ROUND((F26+G26)*$G$5,2))</f>
        <v/>
      </c>
      <c r="J26" s="26" t="n"/>
      <c r="K26" s="27">
        <f>IF(C26="","",F26+G26+H26-I26-J26)</f>
        <v/>
      </c>
    </row>
    <row r="27">
      <c r="A27" s="25" t="n">
        <v>20</v>
      </c>
      <c r="B27" s="9" t="n"/>
      <c r="C27" s="26" t="n"/>
      <c r="D27" s="9" t="n"/>
      <c r="E27" s="9" t="n"/>
      <c r="F27" s="27">
        <f>IF(C27="","",C27*D27)</f>
        <v/>
      </c>
      <c r="G27" s="27">
        <f>IF(C27="","",E27*(C27/8)*2)</f>
        <v/>
      </c>
      <c r="H27" s="26" t="n"/>
      <c r="I27" s="27">
        <f>IF(C27="","",ROUND((F27+G27)*$G$5,2))</f>
        <v/>
      </c>
      <c r="J27" s="26" t="n"/>
      <c r="K27" s="27">
        <f>IF(C27="","",F27+G27+H27-I27-J27)</f>
        <v/>
      </c>
    </row>
    <row r="28">
      <c r="A28" s="25" t="n">
        <v>21</v>
      </c>
      <c r="B28" s="9" t="n"/>
      <c r="C28" s="26" t="n"/>
      <c r="D28" s="9" t="n"/>
      <c r="E28" s="9" t="n"/>
      <c r="F28" s="27">
        <f>IF(C28="","",C28*D28)</f>
        <v/>
      </c>
      <c r="G28" s="27">
        <f>IF(C28="","",E28*(C28/8)*2)</f>
        <v/>
      </c>
      <c r="H28" s="26" t="n"/>
      <c r="I28" s="27">
        <f>IF(C28="","",ROUND((F28+G28)*$G$5,2))</f>
        <v/>
      </c>
      <c r="J28" s="26" t="n"/>
      <c r="K28" s="27">
        <f>IF(C28="","",F28+G28+H28-I28-J28)</f>
        <v/>
      </c>
    </row>
    <row r="29">
      <c r="A29" s="25" t="n">
        <v>22</v>
      </c>
      <c r="B29" s="9" t="n"/>
      <c r="C29" s="26" t="n"/>
      <c r="D29" s="9" t="n"/>
      <c r="E29" s="9" t="n"/>
      <c r="F29" s="27">
        <f>IF(C29="","",C29*D29)</f>
        <v/>
      </c>
      <c r="G29" s="27">
        <f>IF(C29="","",E29*(C29/8)*2)</f>
        <v/>
      </c>
      <c r="H29" s="26" t="n"/>
      <c r="I29" s="27">
        <f>IF(C29="","",ROUND((F29+G29)*$G$5,2))</f>
        <v/>
      </c>
      <c r="J29" s="26" t="n"/>
      <c r="K29" s="27">
        <f>IF(C29="","",F29+G29+H29-I29-J29)</f>
        <v/>
      </c>
    </row>
    <row r="30">
      <c r="A30" s="25" t="n">
        <v>23</v>
      </c>
      <c r="B30" s="9" t="n"/>
      <c r="C30" s="26" t="n"/>
      <c r="D30" s="9" t="n"/>
      <c r="E30" s="9" t="n"/>
      <c r="F30" s="27">
        <f>IF(C30="","",C30*D30)</f>
        <v/>
      </c>
      <c r="G30" s="27">
        <f>IF(C30="","",E30*(C30/8)*2)</f>
        <v/>
      </c>
      <c r="H30" s="26" t="n"/>
      <c r="I30" s="27">
        <f>IF(C30="","",ROUND((F30+G30)*$G$5,2))</f>
        <v/>
      </c>
      <c r="J30" s="26" t="n"/>
      <c r="K30" s="27">
        <f>IF(C30="","",F30+G30+H30-I30-J30)</f>
        <v/>
      </c>
    </row>
    <row r="31">
      <c r="A31" s="25" t="n">
        <v>24</v>
      </c>
      <c r="B31" s="9" t="n"/>
      <c r="C31" s="26" t="n"/>
      <c r="D31" s="9" t="n"/>
      <c r="E31" s="9" t="n"/>
      <c r="F31" s="27">
        <f>IF(C31="","",C31*D31)</f>
        <v/>
      </c>
      <c r="G31" s="27">
        <f>IF(C31="","",E31*(C31/8)*2)</f>
        <v/>
      </c>
      <c r="H31" s="26" t="n"/>
      <c r="I31" s="27">
        <f>IF(C31="","",ROUND((F31+G31)*$G$5,2))</f>
        <v/>
      </c>
      <c r="J31" s="26" t="n"/>
      <c r="K31" s="27">
        <f>IF(C31="","",F31+G31+H31-I31-J31)</f>
        <v/>
      </c>
    </row>
    <row r="32">
      <c r="A32" s="25" t="n">
        <v>25</v>
      </c>
      <c r="B32" s="9" t="n"/>
      <c r="C32" s="26" t="n"/>
      <c r="D32" s="9" t="n"/>
      <c r="E32" s="9" t="n"/>
      <c r="F32" s="27">
        <f>IF(C32="","",C32*D32)</f>
        <v/>
      </c>
      <c r="G32" s="27">
        <f>IF(C32="","",E32*(C32/8)*2)</f>
        <v/>
      </c>
      <c r="H32" s="26" t="n"/>
      <c r="I32" s="27">
        <f>IF(C32="","",ROUND((F32+G32)*$G$5,2))</f>
        <v/>
      </c>
      <c r="J32" s="26" t="n"/>
      <c r="K32" s="27">
        <f>IF(C32="","",F32+G32+H32-I32-J32)</f>
        <v/>
      </c>
    </row>
    <row r="33">
      <c r="A33" s="25" t="n">
        <v>26</v>
      </c>
      <c r="B33" s="9" t="n"/>
      <c r="C33" s="26" t="n"/>
      <c r="D33" s="9" t="n"/>
      <c r="E33" s="9" t="n"/>
      <c r="F33" s="27">
        <f>IF(C33="","",C33*D33)</f>
        <v/>
      </c>
      <c r="G33" s="27">
        <f>IF(C33="","",E33*(C33/8)*2)</f>
        <v/>
      </c>
      <c r="H33" s="26" t="n"/>
      <c r="I33" s="27">
        <f>IF(C33="","",ROUND((F33+G33)*$G$5,2))</f>
        <v/>
      </c>
      <c r="J33" s="26" t="n"/>
      <c r="K33" s="27">
        <f>IF(C33="","",F33+G33+H33-I33-J33)</f>
        <v/>
      </c>
    </row>
    <row r="34">
      <c r="A34" s="25" t="n">
        <v>27</v>
      </c>
      <c r="B34" s="9" t="n"/>
      <c r="C34" s="26" t="n"/>
      <c r="D34" s="9" t="n"/>
      <c r="E34" s="9" t="n"/>
      <c r="F34" s="27">
        <f>IF(C34="","",C34*D34)</f>
        <v/>
      </c>
      <c r="G34" s="27">
        <f>IF(C34="","",E34*(C34/8)*2)</f>
        <v/>
      </c>
      <c r="H34" s="26" t="n"/>
      <c r="I34" s="27">
        <f>IF(C34="","",ROUND((F34+G34)*$G$5,2))</f>
        <v/>
      </c>
      <c r="J34" s="26" t="n"/>
      <c r="K34" s="27">
        <f>IF(C34="","",F34+G34+H34-I34-J34)</f>
        <v/>
      </c>
    </row>
    <row r="35">
      <c r="A35" s="25" t="n">
        <v>28</v>
      </c>
      <c r="B35" s="9" t="n"/>
      <c r="C35" s="26" t="n"/>
      <c r="D35" s="9" t="n"/>
      <c r="E35" s="9" t="n"/>
      <c r="F35" s="27">
        <f>IF(C35="","",C35*D35)</f>
        <v/>
      </c>
      <c r="G35" s="27">
        <f>IF(C35="","",E35*(C35/8)*2)</f>
        <v/>
      </c>
      <c r="H35" s="26" t="n"/>
      <c r="I35" s="27">
        <f>IF(C35="","",ROUND((F35+G35)*$G$5,2))</f>
        <v/>
      </c>
      <c r="J35" s="26" t="n"/>
      <c r="K35" s="27">
        <f>IF(C35="","",F35+G35+H35-I35-J35)</f>
        <v/>
      </c>
    </row>
    <row r="36">
      <c r="A36" s="25" t="n">
        <v>29</v>
      </c>
      <c r="B36" s="9" t="n"/>
      <c r="C36" s="26" t="n"/>
      <c r="D36" s="9" t="n"/>
      <c r="E36" s="9" t="n"/>
      <c r="F36" s="27">
        <f>IF(C36="","",C36*D36)</f>
        <v/>
      </c>
      <c r="G36" s="27">
        <f>IF(C36="","",E36*(C36/8)*2)</f>
        <v/>
      </c>
      <c r="H36" s="26" t="n"/>
      <c r="I36" s="27">
        <f>IF(C36="","",ROUND((F36+G36)*$G$5,2))</f>
        <v/>
      </c>
      <c r="J36" s="26" t="n"/>
      <c r="K36" s="27">
        <f>IF(C36="","",F36+G36+H36-I36-J36)</f>
        <v/>
      </c>
    </row>
    <row r="37">
      <c r="A37" s="25" t="n">
        <v>30</v>
      </c>
      <c r="B37" s="9" t="n"/>
      <c r="C37" s="26" t="n"/>
      <c r="D37" s="9" t="n"/>
      <c r="E37" s="9" t="n"/>
      <c r="F37" s="27">
        <f>IF(C37="","",C37*D37)</f>
        <v/>
      </c>
      <c r="G37" s="27">
        <f>IF(C37="","",E37*(C37/8)*2)</f>
        <v/>
      </c>
      <c r="H37" s="26" t="n"/>
      <c r="I37" s="27">
        <f>IF(C37="","",ROUND((F37+G37)*$G$5,2))</f>
        <v/>
      </c>
      <c r="J37" s="26" t="n"/>
      <c r="K37" s="27">
        <f>IF(C37="","",F37+G37+H37-I37-J37)</f>
        <v/>
      </c>
    </row>
    <row r="38">
      <c r="E38" s="28" t="inlineStr">
        <is>
          <t>TOTAL</t>
        </is>
      </c>
      <c r="F38" s="29">
        <f>SUM(F8:F37)</f>
        <v/>
      </c>
      <c r="G38" s="29">
        <f>SUM(G8:G37)</f>
        <v/>
      </c>
      <c r="H38" s="29">
        <f>SUM(H8:H37)</f>
        <v/>
      </c>
      <c r="I38" s="29">
        <f>SUM(I8:I37)</f>
        <v/>
      </c>
      <c r="J38" s="29">
        <f>SUM(J8:J37)</f>
        <v/>
      </c>
      <c r="K38" s="29">
        <f>SUM(K8:K37)</f>
        <v/>
      </c>
    </row>
    <row r="41">
      <c r="A41" s="30" t="n"/>
      <c r="B41" s="39" t="n"/>
      <c r="D41" s="30" t="n"/>
      <c r="E41" s="39" t="n"/>
      <c r="G41" s="30" t="n"/>
      <c r="H41" s="39" t="n"/>
    </row>
    <row r="42">
      <c r="A42" s="31" t="inlineStr">
        <is>
          <t>Elaboró</t>
        </is>
      </c>
      <c r="D42" s="31" t="inlineStr">
        <is>
          <t>Revisó</t>
        </is>
      </c>
      <c r="G42" s="31" t="inlineStr">
        <is>
          <t>Autorizó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3">
    <mergeCell ref="B5:D5"/>
    <mergeCell ref="A2:I2"/>
    <mergeCell ref="D42:E42"/>
    <mergeCell ref="G5:I5"/>
    <mergeCell ref="A41:B41"/>
    <mergeCell ref="G42:H42"/>
    <mergeCell ref="B4:D4"/>
    <mergeCell ref="A42:B42"/>
    <mergeCell ref="A1:I1"/>
    <mergeCell ref="G41:H41"/>
    <mergeCell ref="G4:I4"/>
    <mergeCell ref="J1:K2"/>
    <mergeCell ref="D41:E41"/>
  </mergeCell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2026-10-07T18:10:57Z</dcterms:created>
  <dcterms:modified xmlns:dcterms="http://purl.org/dc/terms/" xmlns:xsi="http://www.w3.org/2001/XMLSchema-instance" xsi:type="dcterms:W3CDTF">2026-10-07T18:10:58Z</dcterms:modified>
</cp:coreProperties>
</file>