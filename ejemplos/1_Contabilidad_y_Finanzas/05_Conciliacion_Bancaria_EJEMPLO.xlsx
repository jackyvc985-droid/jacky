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  <sheet xmlns:r="http://schemas.openxmlformats.org/officeDocument/2006/relationships" name="PARTIDAS" sheetId="3" state="visible" r:id="rId3"/>
    <sheet xmlns:r="http://schemas.openxmlformats.org/officeDocument/2006/relationships" name="AYUDA" sheetId="4" state="visible" r:id="rId4"/>
  </sheets>
  <definedNames>
    <definedName name="_xlnm.Print_Titles" localSheetId="2">'PARTIDAS'!$4:$4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$&quot;#,##0.00"/>
  </numFmts>
  <fonts count="28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B78"/>
      <sz val="10"/>
    </font>
    <font>
      <name val="Arial"/>
      <i val="1"/>
      <color rgb="00A6A6A6"/>
      <sz val="8"/>
    </font>
    <font>
      <name val="Arial"/>
      <b val="1"/>
      <color rgb="000E7C8B"/>
    </font>
    <font>
      <name val="Arial"/>
    </font>
    <font>
      <name val="Arial"/>
      <b val="1"/>
    </font>
    <font>
      <name val="Arial"/>
      <b val="1"/>
      <color rgb="000B2A4A"/>
    </font>
    <font>
      <name val="Arial"/>
      <b val="1"/>
      <color rgb="000B2A4A"/>
      <sz val="12"/>
    </font>
    <font>
      <name val="Arial"/>
      <b val="1"/>
      <color rgb="00FFFFFF"/>
    </font>
    <font>
      <name val="Arial"/>
      <b val="1"/>
      <color rgb="00C9A227"/>
      <sz val="11"/>
    </font>
    <font>
      <name val="Arial"/>
      <b val="1"/>
      <color rgb="00C9D3DB"/>
      <sz val="9"/>
    </font>
    <font>
      <name val="Arial"/>
      <b val="1"/>
      <color rgb="00FFFFFF"/>
      <sz val="30"/>
    </font>
    <font>
      <name val="Arial"/>
      <i val="1"/>
      <color rgb="00C9D3DB"/>
      <sz val="12"/>
    </font>
    <font>
      <name val="Arial"/>
      <b val="1"/>
      <color rgb="00C9A227"/>
      <sz val="9"/>
    </font>
    <font>
      <name val="Arial"/>
      <b val="1"/>
      <color rgb="000E7C8B"/>
      <sz val="12"/>
    </font>
    <font>
      <name val="Arial"/>
      <b val="1"/>
      <color rgb="000E7C8B"/>
      <sz val="10"/>
      <u val="single"/>
    </font>
    <font>
      <name val="Arial"/>
      <color rgb="002B2B2B"/>
      <sz val="10"/>
    </font>
    <font>
      <name val="Arial"/>
      <b val="1"/>
      <color rgb="000B2A4A"/>
      <sz val="10"/>
    </font>
    <font>
      <name val="Arial"/>
      <b val="1"/>
      <color rgb="00C9A227"/>
      <sz val="12"/>
    </font>
    <font>
      <name val="Arial"/>
      <b val="1"/>
      <color rgb="000E7C8B"/>
      <sz val="11"/>
    </font>
    <font>
      <name val="Arial"/>
      <color rgb="005B6B78"/>
      <sz val="10"/>
    </font>
    <font>
      <name val="Arial"/>
      <color rgb="00C9D3DB"/>
      <sz val="9"/>
    </font>
    <font>
      <name val="Arial"/>
      <b val="1"/>
      <color rgb="00FFFFFF"/>
      <sz val="18"/>
    </font>
    <font>
      <name val="Arial"/>
      <b val="1"/>
      <color rgb="00C9A227"/>
      <sz val="10"/>
    </font>
    <font>
      <name val="Arial"/>
      <b val="1"/>
      <color rgb="000E7C8B"/>
      <sz val="10"/>
    </font>
    <font>
      <name val="Arial"/>
      <color rgb="000B2A4A"/>
      <sz val="12"/>
    </font>
    <font>
      <name val="Arial"/>
      <color theme="1"/>
      <sz val="10"/>
    </font>
  </fonts>
  <fills count="8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patternFill patternType="solid">
        <fgColor rgb="00EEF2F5"/>
      </patternFill>
    </fill>
    <fill>
      <gradientFill type="linear" degree="90">
        <stop position="0">
          <color rgb="0017426B"/>
        </stop>
        <stop position="1">
          <color rgb="000B2A4A"/>
        </stop>
      </gradientFill>
    </fill>
    <fill>
      <patternFill patternType="solid">
        <fgColor rgb="00FFFFFF"/>
      </patternFill>
    </fill>
  </fills>
  <borders count="26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bottom style="thin"/>
    </border>
    <border>
      <left style="thin">
        <color rgb="00C9D3DB"/>
      </left>
      <right style="thin">
        <color rgb="00C9D3DB"/>
      </right>
      <top style="medium">
        <color rgb="00C9A227"/>
      </top>
      <bottom style="thin">
        <color rgb="00C9D3DB"/>
      </bottom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thick">
        <color rgb="00C9A227"/>
      </top>
    </border>
    <border>
      <bottom style="thin">
        <color rgb="00E3E8ED"/>
      </bottom>
    </border>
    <border>
      <bottom style="thin">
        <color rgb="00C9D3DB"/>
      </bottom>
    </border>
    <border>
      <left/>
      <right/>
      <top/>
      <bottom style="thin">
        <color rgb="00E3E8ED"/>
      </bottom>
      <diagonal/>
    </border>
    <border>
      <left/>
      <right/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 style="thin">
        <color rgb="00C9D3DB"/>
      </bottom>
      <diagonal/>
    </border>
    <border>
      <left style="dashed">
        <color rgb="00A6A6A6"/>
      </left>
      <right style="dashed">
        <color rgb="00A6A6A6"/>
      </right>
      <top style="dashed">
        <color rgb="00A6A6A6"/>
      </top>
      <bottom style="dashed">
        <color rgb="00A6A6A6"/>
      </bottom>
    </border>
    <border>
      <left/>
      <right/>
      <top style="dashed">
        <color rgb="00A6A6A6"/>
      </top>
      <bottom/>
      <diagonal/>
    </border>
    <border>
      <left style="dashed">
        <color rgb="00A6A6A6"/>
      </left>
      <right/>
      <top/>
      <bottom/>
      <diagonal/>
    </border>
    <border>
      <left/>
      <right style="dashed">
        <color rgb="00A6A6A6"/>
      </right>
      <top style="dashed">
        <color rgb="00A6A6A6"/>
      </top>
      <bottom/>
      <diagonal/>
    </border>
    <border>
      <left/>
      <right style="dashed">
        <color rgb="00A6A6A6"/>
      </right>
      <top/>
      <bottom/>
      <diagonal/>
    </border>
    <border>
      <left style="dashed">
        <color rgb="00A6A6A6"/>
      </left>
      <right/>
      <top/>
      <bottom style="dashed">
        <color rgb="00A6A6A6"/>
      </bottom>
      <diagonal/>
    </border>
    <border>
      <left/>
      <right style="dashed">
        <color rgb="00A6A6A6"/>
      </right>
      <top/>
      <bottom style="dashed">
        <color rgb="00A6A6A6"/>
      </bottom>
      <diagonal/>
    </border>
    <border>
      <right/>
      <bottom style="medium">
        <color rgb="00C9A227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27" fillId="2" borderId="0" pivotButton="0" quotePrefix="0" xfId="0"/>
    <xf numFmtId="0" fontId="10" fillId="2" borderId="0" pivotButton="0" quotePrefix="0" xfId="0"/>
    <xf numFmtId="0" fontId="11" fillId="2" borderId="0" applyAlignment="1" pivotButton="0" quotePrefix="0" xfId="0">
      <alignment horizontal="right" vertical="center"/>
    </xf>
    <xf numFmtId="0" fontId="27" fillId="0" borderId="0" pivotButton="0" quotePrefix="0" xfId="0"/>
    <xf numFmtId="0" fontId="12" fillId="2" borderId="0" applyAlignment="1" pivotButton="0" quotePrefix="0" xfId="0">
      <alignment vertical="center" wrapText="1"/>
    </xf>
    <xf numFmtId="0" fontId="13" fillId="2" borderId="0" pivotButton="0" quotePrefix="0" xfId="0"/>
    <xf numFmtId="0" fontId="14" fillId="2" borderId="10" applyAlignment="1" pivotButton="0" quotePrefix="0" xfId="0">
      <alignment horizontal="center" vertical="center"/>
    </xf>
    <xf numFmtId="0" fontId="27" fillId="0" borderId="11" pivotButton="0" quotePrefix="0" xfId="0"/>
    <xf numFmtId="0" fontId="15" fillId="0" borderId="1" pivotButton="0" quotePrefix="0" xfId="0"/>
    <xf numFmtId="0" fontId="27" fillId="0" borderId="1" pivotButton="0" quotePrefix="0" xfId="0"/>
    <xf numFmtId="0" fontId="1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6" fillId="0" borderId="0" pivotButton="0" quotePrefix="0" xfId="0"/>
    <xf numFmtId="0" fontId="18" fillId="0" borderId="12" applyAlignment="1" pivotButton="0" quotePrefix="0" xfId="0">
      <alignment vertical="center"/>
    </xf>
    <xf numFmtId="0" fontId="17" fillId="0" borderId="12" applyAlignment="1" pivotButton="0" quotePrefix="0" xfId="0">
      <alignment vertical="center" wrapText="1"/>
    </xf>
    <xf numFmtId="0" fontId="27" fillId="0" borderId="12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7" fillId="4" borderId="7" applyProtection="1" pivotButton="0" quotePrefix="0" xfId="0">
      <protection locked="0" hidden="0"/>
    </xf>
    <xf numFmtId="0" fontId="21" fillId="0" borderId="0" pivotButton="0" quotePrefix="0" xfId="0"/>
    <xf numFmtId="0" fontId="27" fillId="5" borderId="7" pivotButton="0" quotePrefix="0" xfId="0"/>
    <xf numFmtId="0" fontId="27" fillId="2" borderId="7" pivotButton="0" quotePrefix="0" xfId="0"/>
    <xf numFmtId="0" fontId="27" fillId="7" borderId="7" pivotButton="0" quotePrefix="0" xfId="0"/>
    <xf numFmtId="0" fontId="22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27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7" fillId="0" borderId="2" pivotButton="0" quotePrefix="0" xfId="0"/>
    <xf numFmtId="0" fontId="27" fillId="0" borderId="5" pivotButton="0" quotePrefix="0" xfId="0"/>
    <xf numFmtId="0" fontId="27" fillId="0" borderId="6" pivotButton="0" quotePrefix="0" xfId="0"/>
    <xf numFmtId="0" fontId="4" fillId="3" borderId="7" pivotButton="0" quotePrefix="0" xfId="0"/>
    <xf numFmtId="164" fontId="27" fillId="4" borderId="7" applyProtection="1" pivotButton="0" quotePrefix="0" xfId="0">
      <protection locked="0" hidden="0"/>
    </xf>
    <xf numFmtId="0" fontId="4" fillId="0" borderId="0" pivotButton="0" quotePrefix="0" xfId="0"/>
    <xf numFmtId="0" fontId="5" fillId="0" borderId="7" pivotButton="0" quotePrefix="0" xfId="0"/>
    <xf numFmtId="165" fontId="27" fillId="4" borderId="7" applyProtection="1" pivotButton="0" quotePrefix="0" xfId="0">
      <protection locked="0" hidden="0"/>
    </xf>
    <xf numFmtId="165" fontId="27" fillId="5" borderId="7" pivotButton="0" quotePrefix="0" xfId="0"/>
    <xf numFmtId="0" fontId="6" fillId="0" borderId="7" pivotButton="0" quotePrefix="0" xfId="0"/>
    <xf numFmtId="165" fontId="7" fillId="5" borderId="7" pivotButton="0" quotePrefix="0" xfId="0"/>
    <xf numFmtId="0" fontId="8" fillId="0" borderId="0" applyAlignment="1" pivotButton="0" quotePrefix="0" xfId="0">
      <alignment horizontal="center"/>
    </xf>
    <xf numFmtId="0" fontId="27" fillId="0" borderId="7" pivotButton="0" quotePrefix="0" xfId="0"/>
    <xf numFmtId="1" fontId="27" fillId="5" borderId="7" pivotButton="0" quotePrefix="0" xfId="0"/>
    <xf numFmtId="0" fontId="27" fillId="0" borderId="8" pivotButton="0" quotePrefix="0" xfId="0"/>
    <xf numFmtId="0" fontId="6" fillId="0" borderId="0" applyAlignment="1" pivotButton="0" quotePrefix="0" xfId="0">
      <alignment horizontal="center"/>
    </xf>
    <xf numFmtId="0" fontId="9" fillId="6" borderId="9" applyAlignment="1" pivotButton="0" quotePrefix="0" xfId="0">
      <alignment horizontal="center" vertical="center" wrapText="1"/>
    </xf>
    <xf numFmtId="0" fontId="27" fillId="5" borderId="7" applyAlignment="1" pivotButton="0" quotePrefix="0" xfId="0">
      <alignment horizontal="center"/>
    </xf>
    <xf numFmtId="164" fontId="27" fillId="4" borderId="7" applyAlignment="1" applyProtection="1" pivotButton="0" quotePrefix="0" xfId="0">
      <alignment vertical="center"/>
      <protection locked="0" hidden="0"/>
    </xf>
    <xf numFmtId="0" fontId="27" fillId="4" borderId="7" applyAlignment="1" applyProtection="1" pivotButton="0" quotePrefix="0" xfId="0">
      <alignment vertical="center"/>
      <protection locked="0" hidden="0"/>
    </xf>
    <xf numFmtId="165" fontId="27" fillId="4" borderId="7" applyAlignment="1" applyProtection="1" pivotButton="0" quotePrefix="0" xfId="0">
      <alignment vertical="center"/>
      <protection locked="0" hidden="0"/>
    </xf>
    <xf numFmtId="1" fontId="27" fillId="5" borderId="7" applyAlignment="1" pivotButton="0" quotePrefix="0" xfId="0">
      <alignment vertical="center"/>
    </xf>
    <xf numFmtId="0" fontId="27" fillId="5" borderId="7" applyAlignment="1" pivotButton="0" quotePrefix="0" xfId="0">
      <alignment vertical="center"/>
    </xf>
    <xf numFmtId="0" fontId="6" fillId="0" borderId="0" applyAlignment="1" pivotButton="0" quotePrefix="0" xfId="0">
      <alignment horizontal="right"/>
    </xf>
    <xf numFmtId="165" fontId="7" fillId="3" borderId="7" pivotButton="0" quotePrefix="0" xfId="0"/>
    <xf numFmtId="0" fontId="23" fillId="2" borderId="0" applyAlignment="1" pivotButton="0" quotePrefix="0" xfId="0">
      <alignment vertical="center"/>
    </xf>
    <xf numFmtId="0" fontId="24" fillId="2" borderId="0" pivotButton="0" quotePrefix="0" xfId="0"/>
    <xf numFmtId="0" fontId="18" fillId="0" borderId="13" applyAlignment="1" pivotButton="0" quotePrefix="0" xfId="0">
      <alignment vertical="top" wrapText="1"/>
    </xf>
    <xf numFmtId="0" fontId="17" fillId="0" borderId="13" applyAlignment="1" pivotButton="0" quotePrefix="0" xfId="0">
      <alignment vertical="top" wrapText="1"/>
    </xf>
    <xf numFmtId="0" fontId="25" fillId="0" borderId="13" pivotButton="0" quotePrefix="0" xfId="0"/>
    <xf numFmtId="0" fontId="17" fillId="0" borderId="13" applyAlignment="1" pivotButton="0" quotePrefix="0" xfId="0">
      <alignment vertical="center" wrapText="1"/>
    </xf>
    <xf numFmtId="0" fontId="26" fillId="4" borderId="7" applyAlignment="1" applyProtection="1" pivotButton="0" quotePrefix="0" xfId="0">
      <alignment horizontal="center"/>
      <protection locked="0" hidden="0"/>
    </xf>
    <xf numFmtId="0" fontId="17" fillId="0" borderId="0" pivotButton="0" quotePrefix="0" xfId="0"/>
    <xf numFmtId="0" fontId="0" fillId="0" borderId="14" pivotButton="0" quotePrefix="0" xfId="0"/>
    <xf numFmtId="0" fontId="3" fillId="0" borderId="18" applyAlignment="1" pivotButton="0" quotePrefix="0" xfId="0">
      <alignment horizontal="center" vertical="center" wrapText="1"/>
    </xf>
    <xf numFmtId="0" fontId="0" fillId="0" borderId="21" pivotButton="0" quotePrefix="0" xfId="0"/>
    <xf numFmtId="0" fontId="2" fillId="0" borderId="2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7" applyProtection="1" pivotButton="0" quotePrefix="0" xfId="0">
      <protection locked="0" hidden="0"/>
    </xf>
  </cellXfs>
  <cellStyles count="1">
    <cellStyle name="Normal" xfId="0" builtinId="0" hidden="0"/>
  </cellStyles>
  <dxfs count="3">
    <dxf>
      <font>
        <name val="Arial"/>
        <b val="1"/>
        <color rgb="00C00000"/>
      </font>
    </dxf>
    <dxf>
      <fill>
        <patternFill patternType="solid">
          <bgColor rgb="00FCE4D6"/>
        </patternFill>
      </fill>
    </dxf>
    <dxf>
      <fill>
        <patternFill patternType="solid">
          <bgColor rgb="00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ORMATO'!A1" TargetMode="External" Id="rId1"/><Relationship Type="http://schemas.openxmlformats.org/officeDocument/2006/relationships/hyperlink" Target="#'PARTIDAS'!A1" TargetMode="External" Id="rId2"/><Relationship Type="http://schemas.openxmlformats.org/officeDocument/2006/relationships/hyperlink" Target="#'AYUDA'!A1" TargetMode="External" Id="rId3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27" customWidth="1" min="4" max="4"/>
    <col width="27" customWidth="1" min="5" max="5"/>
    <col width="27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FORMATOS ADMINISTRATIVOS</t>
        </is>
      </c>
      <c r="C2" s="1" t="n"/>
      <c r="D2" s="1" t="n"/>
      <c r="E2" s="3" t="inlineStr">
        <is>
          <t>VERSIÓN 2.0  ·  MÉXICO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0" customHeight="1">
      <c r="A4" s="1" t="n"/>
      <c r="B4" s="5" t="inlineStr">
        <is>
          <t>CONCILIACIÓN BANCARIA</t>
        </is>
      </c>
      <c r="G4" s="1" t="n"/>
    </row>
    <row r="5" ht="30" customHeight="1">
      <c r="A5" s="1" t="n"/>
      <c r="G5" s="1" t="n"/>
    </row>
    <row r="6" ht="22" customHeight="1">
      <c r="A6" s="1" t="n"/>
      <c r="B6" s="6" t="inlineStr">
        <is>
          <t>Formato administrativo profesional · editable · listo para imprimir</t>
        </is>
      </c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</row>
    <row r="9" ht="24" customHeight="1">
      <c r="A9" s="1" t="n"/>
      <c r="B9" s="1" t="n"/>
      <c r="C9" s="7" t="inlineStr">
        <is>
          <t>FÓRMULAS AUTOMÁTICAS</t>
        </is>
      </c>
      <c r="D9" s="7" t="inlineStr">
        <is>
          <t>LISTAS DESPLEGABLES</t>
        </is>
      </c>
      <c r="E9" s="7" t="inlineStr">
        <is>
          <t>HOJAS PROTEGIDAS</t>
        </is>
      </c>
      <c r="F9" s="7" t="inlineStr">
        <is>
          <t>LISTO PARA IMPRIMIR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6" customHeight="1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9" t="inlineStr">
        <is>
          <t>¿QUÉ INCLUYE ESTE ARCHIVO?</t>
        </is>
      </c>
      <c r="C15" s="10" t="n"/>
      <c r="D15" s="10" t="n"/>
      <c r="E15" s="10" t="n"/>
      <c r="F15" s="10" t="n"/>
      <c r="G15" s="4" t="n"/>
    </row>
    <row r="16" ht="36" customHeight="1">
      <c r="A16" s="4" t="n"/>
      <c r="B16" s="11" t="inlineStr">
        <is>
          <t>▸</t>
        </is>
      </c>
      <c r="C16" s="12" t="inlineStr">
        <is>
          <t>FORMATO</t>
        </is>
      </c>
      <c r="D16" s="13" t="inlineStr">
        <is>
          <t>Hoja principal de captura. Aquí registras tu información; las celdas grises calculan solas.</t>
        </is>
      </c>
      <c r="G16" s="4" t="n"/>
    </row>
    <row r="17" ht="21" customHeight="1">
      <c r="A17" s="4" t="n"/>
      <c r="B17" s="11" t="inlineStr">
        <is>
          <t>▸</t>
        </is>
      </c>
      <c r="C17" s="12" t="inlineStr">
        <is>
          <t>PARTIDAS</t>
        </is>
      </c>
      <c r="D17" s="13" t="inlineStr">
        <is>
          <t>Detalle de partidas en tránsito y movimientos pendientes de conciliar.</t>
        </is>
      </c>
      <c r="G17" s="4" t="n"/>
    </row>
    <row r="18" ht="21" customHeight="1">
      <c r="A18" s="4" t="n"/>
      <c r="B18" s="11" t="inlineStr">
        <is>
          <t>▸</t>
        </is>
      </c>
      <c r="C18" s="14" t="inlineStr">
        <is>
          <t>AYUDA</t>
        </is>
      </c>
      <c r="D18" s="13" t="inlineStr">
        <is>
          <t>Preguntas frecuentes, glosario y lista de verificación para cerrar tu periodo.</t>
        </is>
      </c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 ht="24" customHeight="1">
      <c r="A20" s="4" t="n"/>
      <c r="B20" s="9" t="inlineStr">
        <is>
          <t>FICHA TÉCNICA</t>
        </is>
      </c>
      <c r="C20" s="10" t="n"/>
      <c r="D20" s="10" t="n"/>
      <c r="E20" s="10" t="n"/>
      <c r="F20" s="10" t="n"/>
      <c r="G20" s="4" t="n"/>
    </row>
    <row r="21" ht="21" customHeight="1">
      <c r="A21" s="4" t="n"/>
      <c r="B21" s="4" t="n"/>
      <c r="C21" s="15" t="inlineStr">
        <is>
          <t>Capacidad</t>
        </is>
      </c>
      <c r="D21" s="16" t="inlineStr">
        <is>
          <t>50 partidas por tipo de movimiento</t>
        </is>
      </c>
      <c r="E21" s="63" t="n"/>
      <c r="F21" s="63" t="n"/>
      <c r="G21" s="4" t="n"/>
    </row>
    <row r="22" ht="21" customHeight="1">
      <c r="A22" s="4" t="n"/>
      <c r="B22" s="4" t="n"/>
      <c r="C22" s="15" t="inlineStr">
        <is>
          <t>Compatibilidad</t>
        </is>
      </c>
      <c r="D22" s="16" t="inlineStr">
        <is>
          <t>Excel 2016, 2019, 2021 y Microsoft 365 (Windows y Mac)</t>
        </is>
      </c>
      <c r="E22" s="63" t="n"/>
      <c r="F22" s="63" t="n"/>
      <c r="G22" s="4" t="n"/>
    </row>
    <row r="23" ht="21" customHeight="1">
      <c r="A23" s="4" t="n"/>
      <c r="B23" s="4" t="n"/>
      <c r="C23" s="15" t="inlineStr">
        <is>
          <t>Idioma y moneda</t>
        </is>
      </c>
      <c r="D23" s="16" t="inlineStr">
        <is>
          <t>Español (México) · Pesos mexicanos (MXN) · IVA 16%</t>
        </is>
      </c>
      <c r="E23" s="63" t="n"/>
      <c r="F23" s="63" t="n"/>
      <c r="G23" s="4" t="n"/>
    </row>
    <row r="24" ht="21" customHeight="1">
      <c r="A24" s="4" t="n"/>
      <c r="B24" s="4" t="n"/>
      <c r="C24" s="15" t="inlineStr">
        <is>
          <t>Protección</t>
        </is>
      </c>
      <c r="D24" s="16" t="inlineStr">
        <is>
          <t>Hojas protegidas sin contraseña (Revisar &gt; Desproteger hoja)</t>
        </is>
      </c>
      <c r="E24" s="63" t="n"/>
      <c r="F24" s="63" t="n"/>
      <c r="G24" s="4" t="n"/>
    </row>
    <row r="25" ht="21" customHeight="1">
      <c r="A25" s="4" t="n"/>
      <c r="B25" s="4" t="n"/>
      <c r="C25" s="15" t="inlineStr">
        <is>
          <t>Fuente</t>
        </is>
      </c>
      <c r="D25" s="16" t="inlineStr">
        <is>
          <t>Arial (disponible en Windows, Mac y Google Sheets)</t>
        </is>
      </c>
      <c r="E25" s="63" t="n"/>
      <c r="F25" s="63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 ht="24" customHeight="1">
      <c r="A27" s="4" t="n"/>
      <c r="B27" s="9" t="inlineStr">
        <is>
          <t>CÓMO USARLO</t>
        </is>
      </c>
      <c r="C27" s="10" t="n"/>
      <c r="D27" s="10" t="n"/>
      <c r="E27" s="10" t="n"/>
      <c r="F27" s="10" t="n"/>
      <c r="G27" s="4" t="n"/>
    </row>
    <row r="28" ht="36" customHeight="1">
      <c r="A28" s="4" t="n"/>
      <c r="B28" s="18" t="n">
        <v>1</v>
      </c>
      <c r="C28" s="13" t="inlineStr">
        <is>
          <t>Captura banco, cuenta, mes y fecha de corte; después el saldo final del estado de cuenta y el saldo de tus libros.</t>
        </is>
      </c>
      <c r="G28" s="4" t="n"/>
    </row>
    <row r="29" ht="36" customHeight="1">
      <c r="A29" s="4" t="n"/>
      <c r="B29" s="18" t="n">
        <v>2</v>
      </c>
      <c r="C29" s="13" t="inlineStr">
        <is>
          <t>En la hoja PARTIDAS lista los depósitos y cheques en tránsito (hasta 50 de cada uno) y los movimientos del banco que aún no registras.</t>
        </is>
      </c>
      <c r="G29" s="4" t="n"/>
    </row>
    <row r="30" ht="21" customHeight="1">
      <c r="A30" s="4" t="n"/>
      <c r="B30" s="18" t="n">
        <v>3</v>
      </c>
      <c r="C30" s="13" t="inlineStr">
        <is>
          <t>Los totales de las partidas alimentan automáticamente la conciliación: no necesitas sumarlas.</t>
        </is>
      </c>
      <c r="G30" s="4" t="n"/>
    </row>
    <row r="31" ht="21" customHeight="1">
      <c r="A31" s="4" t="n"/>
      <c r="B31" s="18" t="n">
        <v>4</v>
      </c>
      <c r="C31" s="13" t="inlineStr">
        <is>
          <t>Captura manualmente solo los errores del banco o de libros y los cheques devueltos, si los hay.</t>
        </is>
      </c>
      <c r="G31" s="4" t="n"/>
    </row>
    <row r="32" ht="21" customHeight="1">
      <c r="A32" s="4" t="n"/>
      <c r="B32" s="18" t="n">
        <v>5</v>
      </c>
      <c r="C32" s="13" t="inlineStr">
        <is>
          <t>Cuando la diferencia sea 0 el formato indica CONCILIADO; si no, revisa el detalle de partidas.</t>
        </is>
      </c>
      <c r="G32" s="4" t="n"/>
    </row>
    <row r="33" ht="21" customHeight="1">
      <c r="A33" s="4" t="n"/>
      <c r="B33" s="18" t="n">
        <v>6</v>
      </c>
      <c r="C33" s="13" t="inlineStr">
        <is>
          <t>Las partidas con más de 30 días se resaltan para que les des seguimiento.</t>
        </is>
      </c>
      <c r="G33" s="4" t="n"/>
    </row>
    <row r="34" ht="36" customHeight="1">
      <c r="A34" s="4" t="n"/>
      <c r="B34" s="18" t="n">
        <v>7</v>
      </c>
      <c r="C34" s="13" t="inlineStr">
        <is>
          <t>Personaliza: inserta tu logotipo en el recuadro punteado de la esquina superior derecha (Insertar &gt; Imágenes) y captura los datos de tu empresa en las celdas de captura.</t>
        </is>
      </c>
      <c r="G34" s="4" t="n"/>
    </row>
    <row r="35">
      <c r="A35" s="4" t="n"/>
      <c r="B35" s="4" t="n"/>
      <c r="C35" s="4" t="n"/>
      <c r="D35" s="4" t="n"/>
      <c r="E35" s="4" t="n"/>
      <c r="F35" s="4" t="n"/>
      <c r="G35" s="4" t="n"/>
    </row>
    <row r="36" ht="24" customHeight="1">
      <c r="A36" s="4" t="n"/>
      <c r="B36" s="9" t="inlineStr">
        <is>
          <t>RECOMENDACIONES DE USO</t>
        </is>
      </c>
      <c r="C36" s="10" t="n"/>
      <c r="D36" s="10" t="n"/>
      <c r="E36" s="10" t="n"/>
      <c r="F36" s="10" t="n"/>
      <c r="G36" s="4" t="n"/>
    </row>
    <row r="37" ht="21" customHeight="1">
      <c r="A37" s="4" t="n"/>
      <c r="B37" s="19" t="inlineStr">
        <is>
          <t>✓</t>
        </is>
      </c>
      <c r="C37" s="13" t="inlineStr">
        <is>
          <t>Concilia cada mes con el estado de cuenta del banco, sin importar si hubo pocos movimientos.</t>
        </is>
      </c>
      <c r="G37" s="4" t="n"/>
    </row>
    <row r="38" ht="21" customHeight="1">
      <c r="A38" s="4" t="n"/>
      <c r="B38" s="19" t="inlineStr">
        <is>
          <t>✓</t>
        </is>
      </c>
      <c r="C38" s="13" t="inlineStr">
        <is>
          <t>Captura en PARTIDAS cada depósito y cheque en tránsito; el formato suma solo.</t>
        </is>
      </c>
      <c r="G38" s="4" t="n"/>
    </row>
    <row r="39" ht="21" customHeight="1">
      <c r="A39" s="4" t="n"/>
      <c r="B39" s="19" t="inlineStr">
        <is>
          <t>✓</t>
        </is>
      </c>
      <c r="C39" s="13" t="inlineStr">
        <is>
          <t>Una diferencia distinta de cero casi siempre es una comisión no registrada o un error de captura.</t>
        </is>
      </c>
      <c r="G39" s="4" t="n"/>
    </row>
    <row r="40" ht="21" customHeight="1">
      <c r="A40" s="4" t="n"/>
      <c r="B40" s="19" t="inlineStr">
        <is>
          <t>✓</t>
        </is>
      </c>
      <c r="C40" s="13" t="inlineStr">
        <is>
          <t>Los cheques en tránsito con más de 90 días deben cancelarse o reexpedirse.</t>
        </is>
      </c>
      <c r="G40" s="4" t="n"/>
    </row>
    <row r="41">
      <c r="A41" s="4" t="n"/>
      <c r="B41" s="4" t="n"/>
      <c r="C41" s="4" t="n"/>
      <c r="D41" s="4" t="n"/>
      <c r="E41" s="4" t="n"/>
      <c r="F41" s="4" t="n"/>
      <c r="G41" s="4" t="n"/>
    </row>
    <row r="42" ht="24" customHeight="1">
      <c r="A42" s="4" t="n"/>
      <c r="B42" s="9" t="inlineStr">
        <is>
          <t>LEYENDA DE COLORES</t>
        </is>
      </c>
      <c r="C42" s="10" t="n"/>
      <c r="D42" s="10" t="n"/>
      <c r="E42" s="10" t="n"/>
      <c r="F42" s="10" t="n"/>
      <c r="G42" s="4" t="n"/>
    </row>
    <row r="43">
      <c r="A43" s="4" t="n"/>
      <c r="B43" s="20" t="inlineStr"/>
      <c r="C43" s="21" t="inlineStr">
        <is>
          <t>CELDA DE CAPTURA: escribe aquí.</t>
        </is>
      </c>
      <c r="D43" s="4" t="n"/>
      <c r="E43" s="4" t="n"/>
      <c r="F43" s="4" t="n"/>
      <c r="G43" s="4" t="n"/>
    </row>
    <row r="44">
      <c r="A44" s="4" t="n"/>
      <c r="B44" s="22" t="inlineStr"/>
      <c r="C44" s="21" t="inlineStr">
        <is>
          <t>CÁLCULO AUTOMÁTICO: no la modifiques.</t>
        </is>
      </c>
      <c r="D44" s="4" t="n"/>
      <c r="E44" s="4" t="n"/>
      <c r="F44" s="4" t="n"/>
      <c r="G44" s="4" t="n"/>
    </row>
    <row r="45">
      <c r="A45" s="4" t="n"/>
      <c r="B45" s="23" t="inlineStr"/>
      <c r="C45" s="21" t="inlineStr">
        <is>
          <t>ENCABEZADOS Y TÍTULOS.</t>
        </is>
      </c>
      <c r="D45" s="4" t="n"/>
      <c r="E45" s="4" t="n"/>
      <c r="F45" s="4" t="n"/>
      <c r="G45" s="4" t="n"/>
    </row>
    <row r="46">
      <c r="A46" s="4" t="n"/>
      <c r="B46" s="24" t="inlineStr"/>
      <c r="C46" s="21" t="inlineStr">
        <is>
          <t>* CAMPO OBLIGATORIO: complétalo antes de imprimir o enviar.</t>
        </is>
      </c>
      <c r="D46" s="4" t="n"/>
      <c r="E46" s="4" t="n"/>
      <c r="F46" s="4" t="n"/>
      <c r="G46" s="4" t="n"/>
    </row>
    <row r="47">
      <c r="A47" s="4" t="n"/>
      <c r="B47" s="4" t="n"/>
      <c r="C47" s="4" t="n"/>
      <c r="D47" s="4" t="n"/>
      <c r="E47" s="4" t="n"/>
      <c r="F47" s="4" t="n"/>
      <c r="G47" s="4" t="n"/>
    </row>
    <row r="48" ht="26" customHeight="1">
      <c r="A48" s="1" t="n"/>
      <c r="B48" s="25" t="inlineStr">
        <is>
          <t>Formatos administrativos  ·  Para uso interno de tu empresa</t>
        </is>
      </c>
      <c r="G48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3">
    <mergeCell ref="C39:F39"/>
    <mergeCell ref="C38:F38"/>
    <mergeCell ref="D17:F17"/>
    <mergeCell ref="C32:F32"/>
    <mergeCell ref="C37:F37"/>
    <mergeCell ref="D16:F16"/>
    <mergeCell ref="C28:F28"/>
    <mergeCell ref="B48:F48"/>
    <mergeCell ref="C34:F34"/>
    <mergeCell ref="D18:F18"/>
    <mergeCell ref="C30:F30"/>
    <mergeCell ref="C33:F33"/>
    <mergeCell ref="D25:F25"/>
    <mergeCell ref="B4:F5"/>
    <mergeCell ref="D24:F24"/>
    <mergeCell ref="D23:F23"/>
    <mergeCell ref="E2:F2"/>
    <mergeCell ref="C29:F29"/>
    <mergeCell ref="C40:F40"/>
    <mergeCell ref="C31:F31"/>
    <mergeCell ref="B6:F6"/>
    <mergeCell ref="D22:F22"/>
    <mergeCell ref="D21:F21"/>
  </mergeCells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E3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22" customWidth="1" min="3" max="3"/>
    <col width="22" customWidth="1" min="4" max="4"/>
    <col width="6" customWidth="1" min="5" max="5"/>
  </cols>
  <sheetData>
    <row r="1" ht="44" customHeight="1">
      <c r="A1" s="26" t="inlineStr">
        <is>
          <t>CONCILIACIÓN BANCARIA</t>
        </is>
      </c>
      <c r="D1" s="64" t="inlineStr">
        <is>
          <t>INSERTE SU LOGO
(clic derecho &gt; Insertar imagen)</t>
        </is>
      </c>
      <c r="E1" s="65" t="n"/>
    </row>
    <row r="2" ht="26" customHeight="1">
      <c r="A2" s="66" t="inlineStr">
        <is>
          <t>Saldo en libros vs. estado de cuenta, con detalle de partidas en tránsito</t>
        </is>
      </c>
      <c r="B2" s="67" t="n"/>
      <c r="C2" s="67" t="n"/>
      <c r="D2" s="68" t="n"/>
      <c r="E2" s="69" t="n"/>
    </row>
    <row r="3">
      <c r="A3" s="4" t="n"/>
      <c r="B3" s="4" t="n"/>
      <c r="C3" s="4" t="n"/>
      <c r="D3" s="4" t="n"/>
      <c r="E3" s="4" t="n"/>
    </row>
    <row r="4">
      <c r="A4" s="33" t="inlineStr">
        <is>
          <t>BANCO *</t>
        </is>
      </c>
      <c r="B4" s="20" t="inlineStr">
        <is>
          <t>BBVA</t>
        </is>
      </c>
      <c r="C4" s="70" t="n"/>
      <c r="D4" s="4" t="n"/>
      <c r="E4" s="4" t="n"/>
    </row>
    <row r="5">
      <c r="A5" s="33" t="inlineStr">
        <is>
          <t>CUENTA *</t>
        </is>
      </c>
      <c r="B5" s="20" t="inlineStr">
        <is>
          <t>0123456789</t>
        </is>
      </c>
      <c r="C5" s="70" t="n"/>
      <c r="D5" s="4" t="n"/>
      <c r="E5" s="4" t="n"/>
    </row>
    <row r="6">
      <c r="A6" s="33" t="inlineStr">
        <is>
          <t>MES *</t>
        </is>
      </c>
      <c r="B6" s="20" t="inlineStr">
        <is>
          <t>SEPTIEMBRE 2026</t>
        </is>
      </c>
      <c r="C6" s="70" t="n"/>
      <c r="D6" s="4" t="n"/>
      <c r="E6" s="4" t="n"/>
    </row>
    <row r="7">
      <c r="A7" s="33" t="inlineStr">
        <is>
          <t>FECHA DE CORTE</t>
        </is>
      </c>
      <c r="B7" s="34" t="n">
        <v>46295</v>
      </c>
      <c r="C7" s="70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35" t="inlineStr">
        <is>
          <t>SEGÚN ESTADO DE CUENTA</t>
        </is>
      </c>
      <c r="C9" s="4" t="n"/>
      <c r="D9" s="4" t="n"/>
      <c r="E9" s="4" t="n"/>
    </row>
    <row r="10">
      <c r="A10" s="4" t="n"/>
      <c r="B10" s="36" t="inlineStr">
        <is>
          <t>SALDO FINAL SEGÚN BANCO</t>
        </is>
      </c>
      <c r="C10" s="37" t="n">
        <v>184250.4</v>
      </c>
      <c r="D10" s="4" t="n"/>
      <c r="E10" s="4" t="n"/>
    </row>
    <row r="11">
      <c r="A11" s="4" t="n"/>
      <c r="B11" s="36" t="inlineStr">
        <is>
          <t>(+) DEPÓSITOS EN TRÁNSITO (HOJA PARTIDAS)</t>
        </is>
      </c>
      <c r="C11" s="38">
        <f>SUM(PARTIDAS!D5:D54)</f>
        <v/>
      </c>
      <c r="D11" s="4" t="n"/>
      <c r="E11" s="4" t="n"/>
    </row>
    <row r="12">
      <c r="A12" s="4" t="n"/>
      <c r="B12" s="36" t="inlineStr">
        <is>
          <t>(-) CHEQUES Y PAGOS EN TRÁNSITO (HOJA PARTIDAS)</t>
        </is>
      </c>
      <c r="C12" s="38">
        <f>SUM(PARTIDAS!J5:J54)</f>
        <v/>
      </c>
      <c r="D12" s="4" t="n"/>
      <c r="E12" s="4" t="n"/>
    </row>
    <row r="13">
      <c r="A13" s="4" t="n"/>
      <c r="B13" s="36" t="inlineStr">
        <is>
          <t>(+/-) ERRORES DEL BANCO</t>
        </is>
      </c>
      <c r="C13" s="37" t="n">
        <v>0</v>
      </c>
      <c r="D13" s="4" t="n"/>
      <c r="E13" s="4" t="n"/>
    </row>
    <row r="14">
      <c r="A14" s="4" t="n"/>
      <c r="B14" s="39" t="inlineStr">
        <is>
          <t>SALDO BANCARIO AJUSTADO</t>
        </is>
      </c>
      <c r="C14" s="40">
        <f>C10+C11-C12+C13</f>
        <v/>
      </c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35" t="inlineStr">
        <is>
          <t>SEGÚN LIBROS</t>
        </is>
      </c>
      <c r="C16" s="4" t="n"/>
      <c r="D16" s="4" t="n"/>
      <c r="E16" s="4" t="n"/>
    </row>
    <row r="17">
      <c r="A17" s="4" t="n"/>
      <c r="B17" s="36" t="inlineStr">
        <is>
          <t>SALDO FINAL SEGÚN LIBROS</t>
        </is>
      </c>
      <c r="C17" s="37" t="n">
        <v>188280.15</v>
      </c>
      <c r="D17" s="4" t="n"/>
      <c r="E17" s="4" t="n"/>
    </row>
    <row r="18">
      <c r="A18" s="4" t="n"/>
      <c r="B18" s="36" t="inlineStr">
        <is>
          <t>(+) ABONOS DEL BANCO NO REGISTRADOS (INTERESES, DEPÓSITOS)</t>
        </is>
      </c>
      <c r="C18" s="38">
        <f>SUMIF(PARTIDAS!P5:P54,"ABONO",PARTIDAS!Q5:Q54)</f>
        <v/>
      </c>
      <c r="D18" s="4" t="n"/>
      <c r="E18" s="4" t="n"/>
    </row>
    <row r="19">
      <c r="A19" s="4" t="n"/>
      <c r="B19" s="36" t="inlineStr">
        <is>
          <t>(-) CARGOS DEL BANCO NO REGISTRADOS (COMISIONES, IVA)</t>
        </is>
      </c>
      <c r="C19" s="38">
        <f>SUMIF(PARTIDAS!P5:P54,"CARGO",PARTIDAS!Q5:Q54)</f>
        <v/>
      </c>
      <c r="D19" s="4" t="n"/>
      <c r="E19" s="4" t="n"/>
    </row>
    <row r="20">
      <c r="A20" s="4" t="n"/>
      <c r="B20" s="36" t="inlineStr">
        <is>
          <t>(-) CHEQUES DEVUELTOS</t>
        </is>
      </c>
      <c r="C20" s="37" t="n">
        <v>0</v>
      </c>
      <c r="D20" s="4" t="n"/>
      <c r="E20" s="4" t="n"/>
    </row>
    <row r="21">
      <c r="A21" s="4" t="n"/>
      <c r="B21" s="36" t="inlineStr">
        <is>
          <t>(+/-) ERRORES EN LIBROS</t>
        </is>
      </c>
      <c r="C21" s="37" t="n">
        <v>0</v>
      </c>
      <c r="D21" s="4" t="n"/>
      <c r="E21" s="4" t="n"/>
    </row>
    <row r="22">
      <c r="A22" s="4" t="n"/>
      <c r="B22" s="39" t="inlineStr">
        <is>
          <t>SALDO EN LIBROS AJUSTADO</t>
        </is>
      </c>
      <c r="C22" s="40">
        <f>C17+C18-C19-C20+C21</f>
        <v/>
      </c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39" t="inlineStr">
        <is>
          <t>DIFERENCIA (DEBE SER 0)</t>
        </is>
      </c>
      <c r="C24" s="40">
        <f>ROUND(C14-C22,2)</f>
        <v/>
      </c>
      <c r="D24" s="4" t="n"/>
      <c r="E24" s="4" t="n"/>
    </row>
    <row r="25">
      <c r="A25" s="4" t="n"/>
      <c r="B25" s="41">
        <f>IF(AND(C10="",C17=""),"",IF(C24=0,"✔ CONCILIADO","✘ REVISAR PARTIDAS PENDIENTES"))</f>
        <v/>
      </c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35" t="inlineStr">
        <is>
          <t>INDICADORES DE CONTROL</t>
        </is>
      </c>
      <c r="C27" s="4" t="n"/>
      <c r="D27" s="4" t="n"/>
      <c r="E27" s="4" t="n"/>
    </row>
    <row r="28">
      <c r="A28" s="4" t="n"/>
      <c r="B28" s="42" t="inlineStr">
        <is>
          <t>PARTIDAS EN TRÁNSITO</t>
        </is>
      </c>
      <c r="C28" s="43">
        <f>COUNT(PARTIDAS!D5:D54)+COUNT(PARTIDAS!J5:J54)</f>
        <v/>
      </c>
      <c r="D28" s="4" t="n"/>
      <c r="E28" s="4" t="n"/>
    </row>
    <row r="29">
      <c r="A29" s="4" t="n"/>
      <c r="B29" s="42" t="inlineStr">
        <is>
          <t>IMPORTE TOTAL EN TRÁNSITO</t>
        </is>
      </c>
      <c r="C29" s="38">
        <f>C11+C12</f>
        <v/>
      </c>
      <c r="D29" s="4" t="n"/>
      <c r="E29" s="4" t="n"/>
    </row>
    <row r="30">
      <c r="A30" s="4" t="n"/>
      <c r="B30" s="42" t="inlineStr">
        <is>
          <t>PARTIDAS CON MÁS DE 30 DÍAS</t>
        </is>
      </c>
      <c r="C30" s="43">
        <f>COUNTIF(PARTIDAS!E5:E54,"&gt;30")+COUNTIF(PARTIDAS!K5:K54,"&gt;30")</f>
        <v/>
      </c>
      <c r="D30" s="4" t="n"/>
      <c r="E30" s="4" t="n"/>
    </row>
    <row r="31">
      <c r="A31" s="4" t="n"/>
      <c r="B31" s="42" t="inlineStr">
        <is>
          <t>PARTIDAS CON MÁS DE 90 DÍAS (CANCELAR O REEXPEDIR)</t>
        </is>
      </c>
      <c r="C31" s="43">
        <f>COUNTIF(PARTIDAS!E5:E54,"&gt;90")+COUNTIF(PARTIDAS!K5:K54,"&gt;90")</f>
        <v/>
      </c>
      <c r="D31" s="4" t="n"/>
      <c r="E31" s="4" t="n"/>
    </row>
    <row r="32">
      <c r="A32" s="4" t="n"/>
      <c r="B32" s="4" t="n"/>
      <c r="C32" s="4" t="n"/>
      <c r="D32" s="4" t="n"/>
      <c r="E32" s="4" t="n"/>
    </row>
    <row r="33">
      <c r="A33" s="4" t="n"/>
      <c r="B33" s="4" t="n"/>
      <c r="C33" s="4" t="n"/>
      <c r="D33" s="4" t="n"/>
      <c r="E33" s="4" t="n"/>
    </row>
    <row r="34">
      <c r="A34" s="4" t="n"/>
      <c r="B34" s="4" t="n"/>
      <c r="C34" s="4" t="n"/>
      <c r="D34" s="4" t="n"/>
      <c r="E34" s="4" t="n"/>
    </row>
    <row r="35">
      <c r="A35" s="44" t="n"/>
      <c r="B35" s="4" t="n"/>
      <c r="C35" s="44" t="n"/>
      <c r="D35" s="4" t="n"/>
      <c r="E35" s="4" t="n"/>
    </row>
    <row r="36">
      <c r="A36" s="45" t="inlineStr">
        <is>
          <t>ELABORÓ</t>
        </is>
      </c>
      <c r="B36" s="4" t="n"/>
      <c r="C36" s="45" t="inlineStr">
        <is>
          <t>AUTORIZÓ</t>
        </is>
      </c>
      <c r="D36" s="4" t="n"/>
      <c r="E36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2">
    <mergeCell ref="B6:C6"/>
    <mergeCell ref="C35"/>
    <mergeCell ref="A35"/>
    <mergeCell ref="B7:C7"/>
    <mergeCell ref="A1:C1"/>
    <mergeCell ref="B25:C25"/>
    <mergeCell ref="B5:C5"/>
    <mergeCell ref="D1:E2"/>
    <mergeCell ref="C36"/>
    <mergeCell ref="A36"/>
    <mergeCell ref="B4:C4"/>
    <mergeCell ref="A2:C2"/>
  </mergeCells>
  <conditionalFormatting sqref="C24">
    <cfRule type="cellIs" priority="1" operator="notEqual" dxfId="0">
      <formula>0</formula>
    </cfRule>
  </conditionalFormatting>
  <printOptions horizontalCentered="1"/>
  <pageMargins left="0.75" right="0.75" top="1" bottom="1" header="0.5" footer="0.5"/>
  <pageSetup orientation="portrait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Q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40" customWidth="1" min="3" max="3"/>
    <col width="16" customWidth="1" min="4" max="4"/>
    <col width="10" customWidth="1" min="5" max="5"/>
    <col width="3" customWidth="1" min="6" max="6"/>
    <col width="6" customWidth="1" min="7" max="7"/>
    <col width="13" customWidth="1" min="8" max="8"/>
    <col width="40" customWidth="1" min="9" max="9"/>
    <col width="16" customWidth="1" min="10" max="10"/>
    <col width="10" customWidth="1" min="11" max="11"/>
    <col width="3" customWidth="1" min="12" max="12"/>
    <col width="6" customWidth="1" min="13" max="13"/>
    <col width="13" customWidth="1" min="14" max="14"/>
    <col width="40" customWidth="1" min="15" max="15"/>
    <col width="12" customWidth="1" min="16" max="16"/>
    <col width="16" customWidth="1" min="17" max="17"/>
  </cols>
  <sheetData>
    <row r="1" ht="44" customHeight="1">
      <c r="A1" s="26" t="inlineStr">
        <is>
          <t>PARTIDAS DE CONCILIACIÓN</t>
        </is>
      </c>
      <c r="P1" s="64" t="inlineStr">
        <is>
          <t>INSERTE SU LOGO
(clic derecho &gt; Insertar imagen)</t>
        </is>
      </c>
      <c r="Q1" s="65" t="n"/>
    </row>
    <row r="2" ht="26" customHeight="1">
      <c r="A2" s="66" t="inlineStr">
        <is>
          <t>Depósitos y cheques en tránsito, y movimientos del banco no registrados</t>
        </is>
      </c>
      <c r="B2" s="67" t="n"/>
      <c r="C2" s="67" t="n"/>
      <c r="D2" s="67" t="n"/>
      <c r="E2" s="67" t="n"/>
      <c r="F2" s="67" t="n"/>
      <c r="G2" s="67" t="n"/>
      <c r="H2" s="67" t="n"/>
      <c r="I2" s="67" t="n"/>
      <c r="J2" s="67" t="n"/>
      <c r="K2" s="67" t="n"/>
      <c r="L2" s="67" t="n"/>
      <c r="M2" s="67" t="n"/>
      <c r="N2" s="67" t="n"/>
      <c r="O2" s="67" t="n"/>
      <c r="P2" s="68" t="n"/>
      <c r="Q2" s="69" t="n"/>
    </row>
    <row r="3">
      <c r="A3" s="35" t="inlineStr">
        <is>
          <t>DEPÓSITOS EN TRÁNSITO (SUMAN AL BANCO)</t>
        </is>
      </c>
      <c r="B3" s="4" t="n"/>
      <c r="C3" s="4" t="n"/>
      <c r="D3" s="4" t="n"/>
      <c r="E3" s="4" t="n"/>
      <c r="F3" s="4" t="n"/>
      <c r="G3" s="35" t="inlineStr">
        <is>
          <t>CHEQUES Y PAGOS EN TRÁNSITO (RESTAN AL BANCO)</t>
        </is>
      </c>
      <c r="H3" s="4" t="n"/>
      <c r="I3" s="4" t="n"/>
      <c r="J3" s="4" t="n"/>
      <c r="K3" s="4" t="n"/>
      <c r="L3" s="4" t="n"/>
      <c r="M3" s="35" t="inlineStr">
        <is>
          <t>MOVIMIENTOS DEL BANCO NO REGISTRADOS EN LIBROS</t>
        </is>
      </c>
      <c r="N3" s="4" t="n"/>
      <c r="O3" s="4" t="n"/>
      <c r="P3" s="4" t="n"/>
      <c r="Q3" s="4" t="n"/>
    </row>
    <row r="4" ht="36" customHeight="1">
      <c r="A4" s="46" t="inlineStr">
        <is>
          <t>NO.</t>
        </is>
      </c>
      <c r="B4" s="46" t="inlineStr">
        <is>
          <t>FECHA</t>
        </is>
      </c>
      <c r="C4" s="46" t="inlineStr">
        <is>
          <t>DESCRIPCIÓN / REFERENCIA</t>
        </is>
      </c>
      <c r="D4" s="46" t="inlineStr">
        <is>
          <t>IMPORTE</t>
        </is>
      </c>
      <c r="E4" s="46" t="inlineStr">
        <is>
          <t>DÍAS</t>
        </is>
      </c>
      <c r="F4" s="4" t="n"/>
      <c r="G4" s="46" t="inlineStr">
        <is>
          <t>NO.</t>
        </is>
      </c>
      <c r="H4" s="46" t="inlineStr">
        <is>
          <t>FECHA</t>
        </is>
      </c>
      <c r="I4" s="46" t="inlineStr">
        <is>
          <t>NO. CHEQUE / BENEFICIARIO</t>
        </is>
      </c>
      <c r="J4" s="46" t="inlineStr">
        <is>
          <t>IMPORTE</t>
        </is>
      </c>
      <c r="K4" s="46" t="inlineStr">
        <is>
          <t>DÍAS</t>
        </is>
      </c>
      <c r="L4" s="4" t="n"/>
      <c r="M4" s="46" t="inlineStr">
        <is>
          <t>NO.</t>
        </is>
      </c>
      <c r="N4" s="46" t="inlineStr">
        <is>
          <t>FECHA</t>
        </is>
      </c>
      <c r="O4" s="46" t="inlineStr">
        <is>
          <t>DESCRIPCIÓN</t>
        </is>
      </c>
      <c r="P4" s="46" t="inlineStr">
        <is>
          <t>TIPO</t>
        </is>
      </c>
      <c r="Q4" s="46" t="inlineStr">
        <is>
          <t>IMPORTE</t>
        </is>
      </c>
    </row>
    <row r="5" ht="20" customHeight="1">
      <c r="A5" s="47" t="n">
        <v>1</v>
      </c>
      <c r="B5" s="48" t="n">
        <v>46295</v>
      </c>
      <c r="C5" s="49" t="inlineStr">
        <is>
          <t>DEPÓSITO DE VENTAS 30-SEP</t>
        </is>
      </c>
      <c r="D5" s="50" t="n">
        <v>12500</v>
      </c>
      <c r="E5" s="51">
        <f>IF(B5="","",MAX(0,IF(FORMATO!$B$7="",TODAY(),FORMATO!$B$7)-B5))</f>
        <v/>
      </c>
      <c r="F5" s="4" t="n"/>
      <c r="G5" s="47" t="n">
        <v>1</v>
      </c>
      <c r="H5" s="48" t="n">
        <v>46293</v>
      </c>
      <c r="I5" s="49" t="inlineStr">
        <is>
          <t>CHEQUE 1045 PAPELERA DEL CENTRO</t>
        </is>
      </c>
      <c r="J5" s="50" t="n">
        <v>5400</v>
      </c>
      <c r="K5" s="52">
        <f>IF(H5="","",MAX(0,IF(FORMATO!$B$7="",TODAY(),FORMATO!$B$7)-H5))</f>
        <v/>
      </c>
      <c r="L5" s="4" t="n"/>
      <c r="M5" s="47" t="n">
        <v>1</v>
      </c>
      <c r="N5" s="48" t="n">
        <v>46295</v>
      </c>
      <c r="O5" s="49" t="inlineStr">
        <is>
          <t>INTERESES GANADOS</t>
        </is>
      </c>
      <c r="P5" s="49" t="inlineStr">
        <is>
          <t>ABONO</t>
        </is>
      </c>
      <c r="Q5" s="50" t="n">
        <v>320</v>
      </c>
    </row>
    <row r="6" ht="20" customHeight="1">
      <c r="A6" s="47" t="n">
        <v>2</v>
      </c>
      <c r="B6" s="48" t="n"/>
      <c r="C6" s="49" t="n"/>
      <c r="D6" s="50" t="n"/>
      <c r="E6" s="51">
        <f>IF(B6="","",MAX(0,IF(FORMATO!$B$7="",TODAY(),FORMATO!$B$7)-B6))</f>
        <v/>
      </c>
      <c r="F6" s="4" t="n"/>
      <c r="G6" s="47" t="n">
        <v>2</v>
      </c>
      <c r="H6" s="48" t="n">
        <v>46294</v>
      </c>
      <c r="I6" s="49" t="inlineStr">
        <is>
          <t>CHEQUE 1046 DISTRIBUIDORA PLUMA</t>
        </is>
      </c>
      <c r="J6" s="50" t="n">
        <v>2900.25</v>
      </c>
      <c r="K6" s="52">
        <f>IF(H6="","",MAX(0,IF(FORMATO!$B$7="",TODAY(),FORMATO!$B$7)-H6))</f>
        <v/>
      </c>
      <c r="L6" s="4" t="n"/>
      <c r="M6" s="47" t="n">
        <v>2</v>
      </c>
      <c r="N6" s="48" t="n">
        <v>46295</v>
      </c>
      <c r="O6" s="49" t="inlineStr">
        <is>
          <t>COMISIÓN POR MANEJO DE CUENTA</t>
        </is>
      </c>
      <c r="P6" s="49" t="inlineStr">
        <is>
          <t>CARGO</t>
        </is>
      </c>
      <c r="Q6" s="50" t="n">
        <v>150</v>
      </c>
    </row>
    <row r="7" ht="20" customHeight="1">
      <c r="A7" s="47" t="n">
        <v>3</v>
      </c>
      <c r="B7" s="48" t="n"/>
      <c r="C7" s="49" t="n"/>
      <c r="D7" s="50" t="n"/>
      <c r="E7" s="51">
        <f>IF(B7="","",MAX(0,IF(FORMATO!$B$7="",TODAY(),FORMATO!$B$7)-B7))</f>
        <v/>
      </c>
      <c r="F7" s="4" t="n"/>
      <c r="G7" s="47" t="n">
        <v>3</v>
      </c>
      <c r="H7" s="48" t="n"/>
      <c r="I7" s="49" t="n"/>
      <c r="J7" s="50" t="n"/>
      <c r="K7" s="52">
        <f>IF(H7="","",MAX(0,IF(FORMATO!$B$7="",TODAY(),FORMATO!$B$7)-H7))</f>
        <v/>
      </c>
      <c r="L7" s="4" t="n"/>
      <c r="M7" s="47" t="n">
        <v>3</v>
      </c>
      <c r="N7" s="48" t="n"/>
      <c r="O7" s="49" t="n"/>
      <c r="P7" s="49" t="n"/>
      <c r="Q7" s="50" t="n"/>
    </row>
    <row r="8" ht="20" customHeight="1">
      <c r="A8" s="47" t="n">
        <v>4</v>
      </c>
      <c r="B8" s="48" t="n"/>
      <c r="C8" s="49" t="n"/>
      <c r="D8" s="50" t="n"/>
      <c r="E8" s="51">
        <f>IF(B8="","",MAX(0,IF(FORMATO!$B$7="",TODAY(),FORMATO!$B$7)-B8))</f>
        <v/>
      </c>
      <c r="F8" s="4" t="n"/>
      <c r="G8" s="47" t="n">
        <v>4</v>
      </c>
      <c r="H8" s="48" t="n"/>
      <c r="I8" s="49" t="n"/>
      <c r="J8" s="50" t="n"/>
      <c r="K8" s="52">
        <f>IF(H8="","",MAX(0,IF(FORMATO!$B$7="",TODAY(),FORMATO!$B$7)-H8))</f>
        <v/>
      </c>
      <c r="L8" s="4" t="n"/>
      <c r="M8" s="47" t="n">
        <v>4</v>
      </c>
      <c r="N8" s="48" t="n"/>
      <c r="O8" s="49" t="n"/>
      <c r="P8" s="49" t="n"/>
      <c r="Q8" s="50" t="n"/>
    </row>
    <row r="9" ht="20" customHeight="1">
      <c r="A9" s="47" t="n">
        <v>5</v>
      </c>
      <c r="B9" s="48" t="n"/>
      <c r="C9" s="49" t="n"/>
      <c r="D9" s="50" t="n"/>
      <c r="E9" s="51">
        <f>IF(B9="","",MAX(0,IF(FORMATO!$B$7="",TODAY(),FORMATO!$B$7)-B9))</f>
        <v/>
      </c>
      <c r="F9" s="4" t="n"/>
      <c r="G9" s="47" t="n">
        <v>5</v>
      </c>
      <c r="H9" s="48" t="n"/>
      <c r="I9" s="49" t="n"/>
      <c r="J9" s="50" t="n"/>
      <c r="K9" s="52">
        <f>IF(H9="","",MAX(0,IF(FORMATO!$B$7="",TODAY(),FORMATO!$B$7)-H9))</f>
        <v/>
      </c>
      <c r="L9" s="4" t="n"/>
      <c r="M9" s="47" t="n">
        <v>5</v>
      </c>
      <c r="N9" s="48" t="n"/>
      <c r="O9" s="49" t="n"/>
      <c r="P9" s="49" t="n"/>
      <c r="Q9" s="50" t="n"/>
    </row>
    <row r="10" ht="20" customHeight="1">
      <c r="A10" s="47" t="n">
        <v>6</v>
      </c>
      <c r="B10" s="48" t="n"/>
      <c r="C10" s="49" t="n"/>
      <c r="D10" s="50" t="n"/>
      <c r="E10" s="51">
        <f>IF(B10="","",MAX(0,IF(FORMATO!$B$7="",TODAY(),FORMATO!$B$7)-B10))</f>
        <v/>
      </c>
      <c r="F10" s="4" t="n"/>
      <c r="G10" s="47" t="n">
        <v>6</v>
      </c>
      <c r="H10" s="48" t="n"/>
      <c r="I10" s="49" t="n"/>
      <c r="J10" s="50" t="n"/>
      <c r="K10" s="52">
        <f>IF(H10="","",MAX(0,IF(FORMATO!$B$7="",TODAY(),FORMATO!$B$7)-H10))</f>
        <v/>
      </c>
      <c r="L10" s="4" t="n"/>
      <c r="M10" s="47" t="n">
        <v>6</v>
      </c>
      <c r="N10" s="48" t="n"/>
      <c r="O10" s="49" t="n"/>
      <c r="P10" s="49" t="n"/>
      <c r="Q10" s="50" t="n"/>
    </row>
    <row r="11" ht="20" customHeight="1">
      <c r="A11" s="47" t="n">
        <v>7</v>
      </c>
      <c r="B11" s="48" t="n"/>
      <c r="C11" s="49" t="n"/>
      <c r="D11" s="50" t="n"/>
      <c r="E11" s="51">
        <f>IF(B11="","",MAX(0,IF(FORMATO!$B$7="",TODAY(),FORMATO!$B$7)-B11))</f>
        <v/>
      </c>
      <c r="F11" s="4" t="n"/>
      <c r="G11" s="47" t="n">
        <v>7</v>
      </c>
      <c r="H11" s="48" t="n"/>
      <c r="I11" s="49" t="n"/>
      <c r="J11" s="50" t="n"/>
      <c r="K11" s="52">
        <f>IF(H11="","",MAX(0,IF(FORMATO!$B$7="",TODAY(),FORMATO!$B$7)-H11))</f>
        <v/>
      </c>
      <c r="L11" s="4" t="n"/>
      <c r="M11" s="47" t="n">
        <v>7</v>
      </c>
      <c r="N11" s="48" t="n"/>
      <c r="O11" s="49" t="n"/>
      <c r="P11" s="49" t="n"/>
      <c r="Q11" s="50" t="n"/>
    </row>
    <row r="12" ht="20" customHeight="1">
      <c r="A12" s="47" t="n">
        <v>8</v>
      </c>
      <c r="B12" s="48" t="n"/>
      <c r="C12" s="49" t="n"/>
      <c r="D12" s="50" t="n"/>
      <c r="E12" s="51">
        <f>IF(B12="","",MAX(0,IF(FORMATO!$B$7="",TODAY(),FORMATO!$B$7)-B12))</f>
        <v/>
      </c>
      <c r="F12" s="4" t="n"/>
      <c r="G12" s="47" t="n">
        <v>8</v>
      </c>
      <c r="H12" s="48" t="n"/>
      <c r="I12" s="49" t="n"/>
      <c r="J12" s="50" t="n"/>
      <c r="K12" s="52">
        <f>IF(H12="","",MAX(0,IF(FORMATO!$B$7="",TODAY(),FORMATO!$B$7)-H12))</f>
        <v/>
      </c>
      <c r="L12" s="4" t="n"/>
      <c r="M12" s="47" t="n">
        <v>8</v>
      </c>
      <c r="N12" s="48" t="n"/>
      <c r="O12" s="49" t="n"/>
      <c r="P12" s="49" t="n"/>
      <c r="Q12" s="50" t="n"/>
    </row>
    <row r="13" ht="20" customHeight="1">
      <c r="A13" s="47" t="n">
        <v>9</v>
      </c>
      <c r="B13" s="48" t="n"/>
      <c r="C13" s="49" t="n"/>
      <c r="D13" s="50" t="n"/>
      <c r="E13" s="51">
        <f>IF(B13="","",MAX(0,IF(FORMATO!$B$7="",TODAY(),FORMATO!$B$7)-B13))</f>
        <v/>
      </c>
      <c r="F13" s="4" t="n"/>
      <c r="G13" s="47" t="n">
        <v>9</v>
      </c>
      <c r="H13" s="48" t="n"/>
      <c r="I13" s="49" t="n"/>
      <c r="J13" s="50" t="n"/>
      <c r="K13" s="52">
        <f>IF(H13="","",MAX(0,IF(FORMATO!$B$7="",TODAY(),FORMATO!$B$7)-H13))</f>
        <v/>
      </c>
      <c r="L13" s="4" t="n"/>
      <c r="M13" s="47" t="n">
        <v>9</v>
      </c>
      <c r="N13" s="48" t="n"/>
      <c r="O13" s="49" t="n"/>
      <c r="P13" s="49" t="n"/>
      <c r="Q13" s="50" t="n"/>
    </row>
    <row r="14" ht="20" customHeight="1">
      <c r="A14" s="47" t="n">
        <v>10</v>
      </c>
      <c r="B14" s="48" t="n"/>
      <c r="C14" s="49" t="n"/>
      <c r="D14" s="50" t="n"/>
      <c r="E14" s="51">
        <f>IF(B14="","",MAX(0,IF(FORMATO!$B$7="",TODAY(),FORMATO!$B$7)-B14))</f>
        <v/>
      </c>
      <c r="F14" s="4" t="n"/>
      <c r="G14" s="47" t="n">
        <v>10</v>
      </c>
      <c r="H14" s="48" t="n"/>
      <c r="I14" s="49" t="n"/>
      <c r="J14" s="50" t="n"/>
      <c r="K14" s="52">
        <f>IF(H14="","",MAX(0,IF(FORMATO!$B$7="",TODAY(),FORMATO!$B$7)-H14))</f>
        <v/>
      </c>
      <c r="L14" s="4" t="n"/>
      <c r="M14" s="47" t="n">
        <v>10</v>
      </c>
      <c r="N14" s="48" t="n"/>
      <c r="O14" s="49" t="n"/>
      <c r="P14" s="49" t="n"/>
      <c r="Q14" s="50" t="n"/>
    </row>
    <row r="15" ht="20" customHeight="1">
      <c r="A15" s="47" t="n">
        <v>11</v>
      </c>
      <c r="B15" s="48" t="n"/>
      <c r="C15" s="49" t="n"/>
      <c r="D15" s="50" t="n"/>
      <c r="E15" s="51">
        <f>IF(B15="","",MAX(0,IF(FORMATO!$B$7="",TODAY(),FORMATO!$B$7)-B15))</f>
        <v/>
      </c>
      <c r="F15" s="4" t="n"/>
      <c r="G15" s="47" t="n">
        <v>11</v>
      </c>
      <c r="H15" s="48" t="n"/>
      <c r="I15" s="49" t="n"/>
      <c r="J15" s="50" t="n"/>
      <c r="K15" s="52">
        <f>IF(H15="","",MAX(0,IF(FORMATO!$B$7="",TODAY(),FORMATO!$B$7)-H15))</f>
        <v/>
      </c>
      <c r="L15" s="4" t="n"/>
      <c r="M15" s="47" t="n">
        <v>11</v>
      </c>
      <c r="N15" s="48" t="n"/>
      <c r="O15" s="49" t="n"/>
      <c r="P15" s="49" t="n"/>
      <c r="Q15" s="50" t="n"/>
    </row>
    <row r="16" ht="20" customHeight="1">
      <c r="A16" s="47" t="n">
        <v>12</v>
      </c>
      <c r="B16" s="48" t="n"/>
      <c r="C16" s="49" t="n"/>
      <c r="D16" s="50" t="n"/>
      <c r="E16" s="51">
        <f>IF(B16="","",MAX(0,IF(FORMATO!$B$7="",TODAY(),FORMATO!$B$7)-B16))</f>
        <v/>
      </c>
      <c r="F16" s="4" t="n"/>
      <c r="G16" s="47" t="n">
        <v>12</v>
      </c>
      <c r="H16" s="48" t="n"/>
      <c r="I16" s="49" t="n"/>
      <c r="J16" s="50" t="n"/>
      <c r="K16" s="52">
        <f>IF(H16="","",MAX(0,IF(FORMATO!$B$7="",TODAY(),FORMATO!$B$7)-H16))</f>
        <v/>
      </c>
      <c r="L16" s="4" t="n"/>
      <c r="M16" s="47" t="n">
        <v>12</v>
      </c>
      <c r="N16" s="48" t="n"/>
      <c r="O16" s="49" t="n"/>
      <c r="P16" s="49" t="n"/>
      <c r="Q16" s="50" t="n"/>
    </row>
    <row r="17" ht="20" customHeight="1">
      <c r="A17" s="47" t="n">
        <v>13</v>
      </c>
      <c r="B17" s="48" t="n"/>
      <c r="C17" s="49" t="n"/>
      <c r="D17" s="50" t="n"/>
      <c r="E17" s="51">
        <f>IF(B17="","",MAX(0,IF(FORMATO!$B$7="",TODAY(),FORMATO!$B$7)-B17))</f>
        <v/>
      </c>
      <c r="F17" s="4" t="n"/>
      <c r="G17" s="47" t="n">
        <v>13</v>
      </c>
      <c r="H17" s="48" t="n"/>
      <c r="I17" s="49" t="n"/>
      <c r="J17" s="50" t="n"/>
      <c r="K17" s="52">
        <f>IF(H17="","",MAX(0,IF(FORMATO!$B$7="",TODAY(),FORMATO!$B$7)-H17))</f>
        <v/>
      </c>
      <c r="L17" s="4" t="n"/>
      <c r="M17" s="47" t="n">
        <v>13</v>
      </c>
      <c r="N17" s="48" t="n"/>
      <c r="O17" s="49" t="n"/>
      <c r="P17" s="49" t="n"/>
      <c r="Q17" s="50" t="n"/>
    </row>
    <row r="18" ht="20" customHeight="1">
      <c r="A18" s="47" t="n">
        <v>14</v>
      </c>
      <c r="B18" s="48" t="n"/>
      <c r="C18" s="49" t="n"/>
      <c r="D18" s="50" t="n"/>
      <c r="E18" s="51">
        <f>IF(B18="","",MAX(0,IF(FORMATO!$B$7="",TODAY(),FORMATO!$B$7)-B18))</f>
        <v/>
      </c>
      <c r="F18" s="4" t="n"/>
      <c r="G18" s="47" t="n">
        <v>14</v>
      </c>
      <c r="H18" s="48" t="n"/>
      <c r="I18" s="49" t="n"/>
      <c r="J18" s="50" t="n"/>
      <c r="K18" s="52">
        <f>IF(H18="","",MAX(0,IF(FORMATO!$B$7="",TODAY(),FORMATO!$B$7)-H18))</f>
        <v/>
      </c>
      <c r="L18" s="4" t="n"/>
      <c r="M18" s="47" t="n">
        <v>14</v>
      </c>
      <c r="N18" s="48" t="n"/>
      <c r="O18" s="49" t="n"/>
      <c r="P18" s="49" t="n"/>
      <c r="Q18" s="50" t="n"/>
    </row>
    <row r="19" ht="20" customHeight="1">
      <c r="A19" s="47" t="n">
        <v>15</v>
      </c>
      <c r="B19" s="48" t="n"/>
      <c r="C19" s="49" t="n"/>
      <c r="D19" s="50" t="n"/>
      <c r="E19" s="51">
        <f>IF(B19="","",MAX(0,IF(FORMATO!$B$7="",TODAY(),FORMATO!$B$7)-B19))</f>
        <v/>
      </c>
      <c r="F19" s="4" t="n"/>
      <c r="G19" s="47" t="n">
        <v>15</v>
      </c>
      <c r="H19" s="48" t="n"/>
      <c r="I19" s="49" t="n"/>
      <c r="J19" s="50" t="n"/>
      <c r="K19" s="52">
        <f>IF(H19="","",MAX(0,IF(FORMATO!$B$7="",TODAY(),FORMATO!$B$7)-H19))</f>
        <v/>
      </c>
      <c r="L19" s="4" t="n"/>
      <c r="M19" s="47" t="n">
        <v>15</v>
      </c>
      <c r="N19" s="48" t="n"/>
      <c r="O19" s="49" t="n"/>
      <c r="P19" s="49" t="n"/>
      <c r="Q19" s="50" t="n"/>
    </row>
    <row r="20" ht="20" customHeight="1">
      <c r="A20" s="47" t="n">
        <v>16</v>
      </c>
      <c r="B20" s="48" t="n"/>
      <c r="C20" s="49" t="n"/>
      <c r="D20" s="50" t="n"/>
      <c r="E20" s="51">
        <f>IF(B20="","",MAX(0,IF(FORMATO!$B$7="",TODAY(),FORMATO!$B$7)-B20))</f>
        <v/>
      </c>
      <c r="F20" s="4" t="n"/>
      <c r="G20" s="47" t="n">
        <v>16</v>
      </c>
      <c r="H20" s="48" t="n"/>
      <c r="I20" s="49" t="n"/>
      <c r="J20" s="50" t="n"/>
      <c r="K20" s="52">
        <f>IF(H20="","",MAX(0,IF(FORMATO!$B$7="",TODAY(),FORMATO!$B$7)-H20))</f>
        <v/>
      </c>
      <c r="L20" s="4" t="n"/>
      <c r="M20" s="47" t="n">
        <v>16</v>
      </c>
      <c r="N20" s="48" t="n"/>
      <c r="O20" s="49" t="n"/>
      <c r="P20" s="49" t="n"/>
      <c r="Q20" s="50" t="n"/>
    </row>
    <row r="21" ht="20" customHeight="1">
      <c r="A21" s="47" t="n">
        <v>17</v>
      </c>
      <c r="B21" s="48" t="n"/>
      <c r="C21" s="49" t="n"/>
      <c r="D21" s="50" t="n"/>
      <c r="E21" s="51">
        <f>IF(B21="","",MAX(0,IF(FORMATO!$B$7="",TODAY(),FORMATO!$B$7)-B21))</f>
        <v/>
      </c>
      <c r="F21" s="4" t="n"/>
      <c r="G21" s="47" t="n">
        <v>17</v>
      </c>
      <c r="H21" s="48" t="n"/>
      <c r="I21" s="49" t="n"/>
      <c r="J21" s="50" t="n"/>
      <c r="K21" s="52">
        <f>IF(H21="","",MAX(0,IF(FORMATO!$B$7="",TODAY(),FORMATO!$B$7)-H21))</f>
        <v/>
      </c>
      <c r="L21" s="4" t="n"/>
      <c r="M21" s="47" t="n">
        <v>17</v>
      </c>
      <c r="N21" s="48" t="n"/>
      <c r="O21" s="49" t="n"/>
      <c r="P21" s="49" t="n"/>
      <c r="Q21" s="50" t="n"/>
    </row>
    <row r="22" ht="20" customHeight="1">
      <c r="A22" s="47" t="n">
        <v>18</v>
      </c>
      <c r="B22" s="48" t="n"/>
      <c r="C22" s="49" t="n"/>
      <c r="D22" s="50" t="n"/>
      <c r="E22" s="51">
        <f>IF(B22="","",MAX(0,IF(FORMATO!$B$7="",TODAY(),FORMATO!$B$7)-B22))</f>
        <v/>
      </c>
      <c r="F22" s="4" t="n"/>
      <c r="G22" s="47" t="n">
        <v>18</v>
      </c>
      <c r="H22" s="48" t="n"/>
      <c r="I22" s="49" t="n"/>
      <c r="J22" s="50" t="n"/>
      <c r="K22" s="52">
        <f>IF(H22="","",MAX(0,IF(FORMATO!$B$7="",TODAY(),FORMATO!$B$7)-H22))</f>
        <v/>
      </c>
      <c r="L22" s="4" t="n"/>
      <c r="M22" s="47" t="n">
        <v>18</v>
      </c>
      <c r="N22" s="48" t="n"/>
      <c r="O22" s="49" t="n"/>
      <c r="P22" s="49" t="n"/>
      <c r="Q22" s="50" t="n"/>
    </row>
    <row r="23" ht="20" customHeight="1">
      <c r="A23" s="47" t="n">
        <v>19</v>
      </c>
      <c r="B23" s="48" t="n"/>
      <c r="C23" s="49" t="n"/>
      <c r="D23" s="50" t="n"/>
      <c r="E23" s="51">
        <f>IF(B23="","",MAX(0,IF(FORMATO!$B$7="",TODAY(),FORMATO!$B$7)-B23))</f>
        <v/>
      </c>
      <c r="F23" s="4" t="n"/>
      <c r="G23" s="47" t="n">
        <v>19</v>
      </c>
      <c r="H23" s="48" t="n"/>
      <c r="I23" s="49" t="n"/>
      <c r="J23" s="50" t="n"/>
      <c r="K23" s="52">
        <f>IF(H23="","",MAX(0,IF(FORMATO!$B$7="",TODAY(),FORMATO!$B$7)-H23))</f>
        <v/>
      </c>
      <c r="L23" s="4" t="n"/>
      <c r="M23" s="47" t="n">
        <v>19</v>
      </c>
      <c r="N23" s="48" t="n"/>
      <c r="O23" s="49" t="n"/>
      <c r="P23" s="49" t="n"/>
      <c r="Q23" s="50" t="n"/>
    </row>
    <row r="24" ht="20" customHeight="1">
      <c r="A24" s="47" t="n">
        <v>20</v>
      </c>
      <c r="B24" s="48" t="n"/>
      <c r="C24" s="49" t="n"/>
      <c r="D24" s="50" t="n"/>
      <c r="E24" s="51">
        <f>IF(B24="","",MAX(0,IF(FORMATO!$B$7="",TODAY(),FORMATO!$B$7)-B24))</f>
        <v/>
      </c>
      <c r="F24" s="4" t="n"/>
      <c r="G24" s="47" t="n">
        <v>20</v>
      </c>
      <c r="H24" s="48" t="n"/>
      <c r="I24" s="49" t="n"/>
      <c r="J24" s="50" t="n"/>
      <c r="K24" s="52">
        <f>IF(H24="","",MAX(0,IF(FORMATO!$B$7="",TODAY(),FORMATO!$B$7)-H24))</f>
        <v/>
      </c>
      <c r="L24" s="4" t="n"/>
      <c r="M24" s="47" t="n">
        <v>20</v>
      </c>
      <c r="N24" s="48" t="n"/>
      <c r="O24" s="49" t="n"/>
      <c r="P24" s="49" t="n"/>
      <c r="Q24" s="50" t="n"/>
    </row>
    <row r="25" ht="20" customHeight="1">
      <c r="A25" s="47" t="n">
        <v>21</v>
      </c>
      <c r="B25" s="48" t="n"/>
      <c r="C25" s="49" t="n"/>
      <c r="D25" s="50" t="n"/>
      <c r="E25" s="51">
        <f>IF(B25="","",MAX(0,IF(FORMATO!$B$7="",TODAY(),FORMATO!$B$7)-B25))</f>
        <v/>
      </c>
      <c r="F25" s="4" t="n"/>
      <c r="G25" s="47" t="n">
        <v>21</v>
      </c>
      <c r="H25" s="48" t="n"/>
      <c r="I25" s="49" t="n"/>
      <c r="J25" s="50" t="n"/>
      <c r="K25" s="52">
        <f>IF(H25="","",MAX(0,IF(FORMATO!$B$7="",TODAY(),FORMATO!$B$7)-H25))</f>
        <v/>
      </c>
      <c r="L25" s="4" t="n"/>
      <c r="M25" s="47" t="n">
        <v>21</v>
      </c>
      <c r="N25" s="48" t="n"/>
      <c r="O25" s="49" t="n"/>
      <c r="P25" s="49" t="n"/>
      <c r="Q25" s="50" t="n"/>
    </row>
    <row r="26" ht="20" customHeight="1">
      <c r="A26" s="47" t="n">
        <v>22</v>
      </c>
      <c r="B26" s="48" t="n"/>
      <c r="C26" s="49" t="n"/>
      <c r="D26" s="50" t="n"/>
      <c r="E26" s="51">
        <f>IF(B26="","",MAX(0,IF(FORMATO!$B$7="",TODAY(),FORMATO!$B$7)-B26))</f>
        <v/>
      </c>
      <c r="F26" s="4" t="n"/>
      <c r="G26" s="47" t="n">
        <v>22</v>
      </c>
      <c r="H26" s="48" t="n"/>
      <c r="I26" s="49" t="n"/>
      <c r="J26" s="50" t="n"/>
      <c r="K26" s="52">
        <f>IF(H26="","",MAX(0,IF(FORMATO!$B$7="",TODAY(),FORMATO!$B$7)-H26))</f>
        <v/>
      </c>
      <c r="L26" s="4" t="n"/>
      <c r="M26" s="47" t="n">
        <v>22</v>
      </c>
      <c r="N26" s="48" t="n"/>
      <c r="O26" s="49" t="n"/>
      <c r="P26" s="49" t="n"/>
      <c r="Q26" s="50" t="n"/>
    </row>
    <row r="27" ht="20" customHeight="1">
      <c r="A27" s="47" t="n">
        <v>23</v>
      </c>
      <c r="B27" s="48" t="n"/>
      <c r="C27" s="49" t="n"/>
      <c r="D27" s="50" t="n"/>
      <c r="E27" s="51">
        <f>IF(B27="","",MAX(0,IF(FORMATO!$B$7="",TODAY(),FORMATO!$B$7)-B27))</f>
        <v/>
      </c>
      <c r="F27" s="4" t="n"/>
      <c r="G27" s="47" t="n">
        <v>23</v>
      </c>
      <c r="H27" s="48" t="n"/>
      <c r="I27" s="49" t="n"/>
      <c r="J27" s="50" t="n"/>
      <c r="K27" s="52">
        <f>IF(H27="","",MAX(0,IF(FORMATO!$B$7="",TODAY(),FORMATO!$B$7)-H27))</f>
        <v/>
      </c>
      <c r="L27" s="4" t="n"/>
      <c r="M27" s="47" t="n">
        <v>23</v>
      </c>
      <c r="N27" s="48" t="n"/>
      <c r="O27" s="49" t="n"/>
      <c r="P27" s="49" t="n"/>
      <c r="Q27" s="50" t="n"/>
    </row>
    <row r="28" ht="20" customHeight="1">
      <c r="A28" s="47" t="n">
        <v>24</v>
      </c>
      <c r="B28" s="48" t="n"/>
      <c r="C28" s="49" t="n"/>
      <c r="D28" s="50" t="n"/>
      <c r="E28" s="51">
        <f>IF(B28="","",MAX(0,IF(FORMATO!$B$7="",TODAY(),FORMATO!$B$7)-B28))</f>
        <v/>
      </c>
      <c r="F28" s="4" t="n"/>
      <c r="G28" s="47" t="n">
        <v>24</v>
      </c>
      <c r="H28" s="48" t="n"/>
      <c r="I28" s="49" t="n"/>
      <c r="J28" s="50" t="n"/>
      <c r="K28" s="52">
        <f>IF(H28="","",MAX(0,IF(FORMATO!$B$7="",TODAY(),FORMATO!$B$7)-H28))</f>
        <v/>
      </c>
      <c r="L28" s="4" t="n"/>
      <c r="M28" s="47" t="n">
        <v>24</v>
      </c>
      <c r="N28" s="48" t="n"/>
      <c r="O28" s="49" t="n"/>
      <c r="P28" s="49" t="n"/>
      <c r="Q28" s="50" t="n"/>
    </row>
    <row r="29" ht="20" customHeight="1">
      <c r="A29" s="47" t="n">
        <v>25</v>
      </c>
      <c r="B29" s="48" t="n"/>
      <c r="C29" s="49" t="n"/>
      <c r="D29" s="50" t="n"/>
      <c r="E29" s="51">
        <f>IF(B29="","",MAX(0,IF(FORMATO!$B$7="",TODAY(),FORMATO!$B$7)-B29))</f>
        <v/>
      </c>
      <c r="F29" s="4" t="n"/>
      <c r="G29" s="47" t="n">
        <v>25</v>
      </c>
      <c r="H29" s="48" t="n"/>
      <c r="I29" s="49" t="n"/>
      <c r="J29" s="50" t="n"/>
      <c r="K29" s="52">
        <f>IF(H29="","",MAX(0,IF(FORMATO!$B$7="",TODAY(),FORMATO!$B$7)-H29))</f>
        <v/>
      </c>
      <c r="L29" s="4" t="n"/>
      <c r="M29" s="47" t="n">
        <v>25</v>
      </c>
      <c r="N29" s="48" t="n"/>
      <c r="O29" s="49" t="n"/>
      <c r="P29" s="49" t="n"/>
      <c r="Q29" s="50" t="n"/>
    </row>
    <row r="30" ht="20" customHeight="1">
      <c r="A30" s="47" t="n">
        <v>26</v>
      </c>
      <c r="B30" s="48" t="n"/>
      <c r="C30" s="49" t="n"/>
      <c r="D30" s="50" t="n"/>
      <c r="E30" s="51">
        <f>IF(B30="","",MAX(0,IF(FORMATO!$B$7="",TODAY(),FORMATO!$B$7)-B30))</f>
        <v/>
      </c>
      <c r="F30" s="4" t="n"/>
      <c r="G30" s="47" t="n">
        <v>26</v>
      </c>
      <c r="H30" s="48" t="n"/>
      <c r="I30" s="49" t="n"/>
      <c r="J30" s="50" t="n"/>
      <c r="K30" s="52">
        <f>IF(H30="","",MAX(0,IF(FORMATO!$B$7="",TODAY(),FORMATO!$B$7)-H30))</f>
        <v/>
      </c>
      <c r="L30" s="4" t="n"/>
      <c r="M30" s="47" t="n">
        <v>26</v>
      </c>
      <c r="N30" s="48" t="n"/>
      <c r="O30" s="49" t="n"/>
      <c r="P30" s="49" t="n"/>
      <c r="Q30" s="50" t="n"/>
    </row>
    <row r="31" ht="20" customHeight="1">
      <c r="A31" s="47" t="n">
        <v>27</v>
      </c>
      <c r="B31" s="48" t="n"/>
      <c r="C31" s="49" t="n"/>
      <c r="D31" s="50" t="n"/>
      <c r="E31" s="51">
        <f>IF(B31="","",MAX(0,IF(FORMATO!$B$7="",TODAY(),FORMATO!$B$7)-B31))</f>
        <v/>
      </c>
      <c r="F31" s="4" t="n"/>
      <c r="G31" s="47" t="n">
        <v>27</v>
      </c>
      <c r="H31" s="48" t="n"/>
      <c r="I31" s="49" t="n"/>
      <c r="J31" s="50" t="n"/>
      <c r="K31" s="52">
        <f>IF(H31="","",MAX(0,IF(FORMATO!$B$7="",TODAY(),FORMATO!$B$7)-H31))</f>
        <v/>
      </c>
      <c r="L31" s="4" t="n"/>
      <c r="M31" s="47" t="n">
        <v>27</v>
      </c>
      <c r="N31" s="48" t="n"/>
      <c r="O31" s="49" t="n"/>
      <c r="P31" s="49" t="n"/>
      <c r="Q31" s="50" t="n"/>
    </row>
    <row r="32" ht="20" customHeight="1">
      <c r="A32" s="47" t="n">
        <v>28</v>
      </c>
      <c r="B32" s="48" t="n"/>
      <c r="C32" s="49" t="n"/>
      <c r="D32" s="50" t="n"/>
      <c r="E32" s="51">
        <f>IF(B32="","",MAX(0,IF(FORMATO!$B$7="",TODAY(),FORMATO!$B$7)-B32))</f>
        <v/>
      </c>
      <c r="F32" s="4" t="n"/>
      <c r="G32" s="47" t="n">
        <v>28</v>
      </c>
      <c r="H32" s="48" t="n"/>
      <c r="I32" s="49" t="n"/>
      <c r="J32" s="50" t="n"/>
      <c r="K32" s="52">
        <f>IF(H32="","",MAX(0,IF(FORMATO!$B$7="",TODAY(),FORMATO!$B$7)-H32))</f>
        <v/>
      </c>
      <c r="L32" s="4" t="n"/>
      <c r="M32" s="47" t="n">
        <v>28</v>
      </c>
      <c r="N32" s="48" t="n"/>
      <c r="O32" s="49" t="n"/>
      <c r="P32" s="49" t="n"/>
      <c r="Q32" s="50" t="n"/>
    </row>
    <row r="33" ht="20" customHeight="1">
      <c r="A33" s="47" t="n">
        <v>29</v>
      </c>
      <c r="B33" s="48" t="n"/>
      <c r="C33" s="49" t="n"/>
      <c r="D33" s="50" t="n"/>
      <c r="E33" s="51">
        <f>IF(B33="","",MAX(0,IF(FORMATO!$B$7="",TODAY(),FORMATO!$B$7)-B33))</f>
        <v/>
      </c>
      <c r="F33" s="4" t="n"/>
      <c r="G33" s="47" t="n">
        <v>29</v>
      </c>
      <c r="H33" s="48" t="n"/>
      <c r="I33" s="49" t="n"/>
      <c r="J33" s="50" t="n"/>
      <c r="K33" s="52">
        <f>IF(H33="","",MAX(0,IF(FORMATO!$B$7="",TODAY(),FORMATO!$B$7)-H33))</f>
        <v/>
      </c>
      <c r="L33" s="4" t="n"/>
      <c r="M33" s="47" t="n">
        <v>29</v>
      </c>
      <c r="N33" s="48" t="n"/>
      <c r="O33" s="49" t="n"/>
      <c r="P33" s="49" t="n"/>
      <c r="Q33" s="50" t="n"/>
    </row>
    <row r="34" ht="20" customHeight="1">
      <c r="A34" s="47" t="n">
        <v>30</v>
      </c>
      <c r="B34" s="48" t="n"/>
      <c r="C34" s="49" t="n"/>
      <c r="D34" s="50" t="n"/>
      <c r="E34" s="51">
        <f>IF(B34="","",MAX(0,IF(FORMATO!$B$7="",TODAY(),FORMATO!$B$7)-B34))</f>
        <v/>
      </c>
      <c r="F34" s="4" t="n"/>
      <c r="G34" s="47" t="n">
        <v>30</v>
      </c>
      <c r="H34" s="48" t="n"/>
      <c r="I34" s="49" t="n"/>
      <c r="J34" s="50" t="n"/>
      <c r="K34" s="52">
        <f>IF(H34="","",MAX(0,IF(FORMATO!$B$7="",TODAY(),FORMATO!$B$7)-H34))</f>
        <v/>
      </c>
      <c r="L34" s="4" t="n"/>
      <c r="M34" s="47" t="n">
        <v>30</v>
      </c>
      <c r="N34" s="48" t="n"/>
      <c r="O34" s="49" t="n"/>
      <c r="P34" s="49" t="n"/>
      <c r="Q34" s="50" t="n"/>
    </row>
    <row r="35" ht="20" customHeight="1">
      <c r="A35" s="47" t="n">
        <v>31</v>
      </c>
      <c r="B35" s="48" t="n"/>
      <c r="C35" s="49" t="n"/>
      <c r="D35" s="50" t="n"/>
      <c r="E35" s="51">
        <f>IF(B35="","",MAX(0,IF(FORMATO!$B$7="",TODAY(),FORMATO!$B$7)-B35))</f>
        <v/>
      </c>
      <c r="F35" s="4" t="n"/>
      <c r="G35" s="47" t="n">
        <v>31</v>
      </c>
      <c r="H35" s="48" t="n"/>
      <c r="I35" s="49" t="n"/>
      <c r="J35" s="50" t="n"/>
      <c r="K35" s="52">
        <f>IF(H35="","",MAX(0,IF(FORMATO!$B$7="",TODAY(),FORMATO!$B$7)-H35))</f>
        <v/>
      </c>
      <c r="L35" s="4" t="n"/>
      <c r="M35" s="47" t="n">
        <v>31</v>
      </c>
      <c r="N35" s="48" t="n"/>
      <c r="O35" s="49" t="n"/>
      <c r="P35" s="49" t="n"/>
      <c r="Q35" s="50" t="n"/>
    </row>
    <row r="36" ht="20" customHeight="1">
      <c r="A36" s="47" t="n">
        <v>32</v>
      </c>
      <c r="B36" s="48" t="n"/>
      <c r="C36" s="49" t="n"/>
      <c r="D36" s="50" t="n"/>
      <c r="E36" s="51">
        <f>IF(B36="","",MAX(0,IF(FORMATO!$B$7="",TODAY(),FORMATO!$B$7)-B36))</f>
        <v/>
      </c>
      <c r="F36" s="4" t="n"/>
      <c r="G36" s="47" t="n">
        <v>32</v>
      </c>
      <c r="H36" s="48" t="n"/>
      <c r="I36" s="49" t="n"/>
      <c r="J36" s="50" t="n"/>
      <c r="K36" s="52">
        <f>IF(H36="","",MAX(0,IF(FORMATO!$B$7="",TODAY(),FORMATO!$B$7)-H36))</f>
        <v/>
      </c>
      <c r="L36" s="4" t="n"/>
      <c r="M36" s="47" t="n">
        <v>32</v>
      </c>
      <c r="N36" s="48" t="n"/>
      <c r="O36" s="49" t="n"/>
      <c r="P36" s="49" t="n"/>
      <c r="Q36" s="50" t="n"/>
    </row>
    <row r="37" ht="20" customHeight="1">
      <c r="A37" s="47" t="n">
        <v>33</v>
      </c>
      <c r="B37" s="48" t="n"/>
      <c r="C37" s="49" t="n"/>
      <c r="D37" s="50" t="n"/>
      <c r="E37" s="51">
        <f>IF(B37="","",MAX(0,IF(FORMATO!$B$7="",TODAY(),FORMATO!$B$7)-B37))</f>
        <v/>
      </c>
      <c r="F37" s="4" t="n"/>
      <c r="G37" s="47" t="n">
        <v>33</v>
      </c>
      <c r="H37" s="48" t="n"/>
      <c r="I37" s="49" t="n"/>
      <c r="J37" s="50" t="n"/>
      <c r="K37" s="52">
        <f>IF(H37="","",MAX(0,IF(FORMATO!$B$7="",TODAY(),FORMATO!$B$7)-H37))</f>
        <v/>
      </c>
      <c r="L37" s="4" t="n"/>
      <c r="M37" s="47" t="n">
        <v>33</v>
      </c>
      <c r="N37" s="48" t="n"/>
      <c r="O37" s="49" t="n"/>
      <c r="P37" s="49" t="n"/>
      <c r="Q37" s="50" t="n"/>
    </row>
    <row r="38" ht="20" customHeight="1">
      <c r="A38" s="47" t="n">
        <v>34</v>
      </c>
      <c r="B38" s="48" t="n"/>
      <c r="C38" s="49" t="n"/>
      <c r="D38" s="50" t="n"/>
      <c r="E38" s="51">
        <f>IF(B38="","",MAX(0,IF(FORMATO!$B$7="",TODAY(),FORMATO!$B$7)-B38))</f>
        <v/>
      </c>
      <c r="F38" s="4" t="n"/>
      <c r="G38" s="47" t="n">
        <v>34</v>
      </c>
      <c r="H38" s="48" t="n"/>
      <c r="I38" s="49" t="n"/>
      <c r="J38" s="50" t="n"/>
      <c r="K38" s="52">
        <f>IF(H38="","",MAX(0,IF(FORMATO!$B$7="",TODAY(),FORMATO!$B$7)-H38))</f>
        <v/>
      </c>
      <c r="L38" s="4" t="n"/>
      <c r="M38" s="47" t="n">
        <v>34</v>
      </c>
      <c r="N38" s="48" t="n"/>
      <c r="O38" s="49" t="n"/>
      <c r="P38" s="49" t="n"/>
      <c r="Q38" s="50" t="n"/>
    </row>
    <row r="39" ht="20" customHeight="1">
      <c r="A39" s="47" t="n">
        <v>35</v>
      </c>
      <c r="B39" s="48" t="n"/>
      <c r="C39" s="49" t="n"/>
      <c r="D39" s="50" t="n"/>
      <c r="E39" s="51">
        <f>IF(B39="","",MAX(0,IF(FORMATO!$B$7="",TODAY(),FORMATO!$B$7)-B39))</f>
        <v/>
      </c>
      <c r="F39" s="4" t="n"/>
      <c r="G39" s="47" t="n">
        <v>35</v>
      </c>
      <c r="H39" s="48" t="n"/>
      <c r="I39" s="49" t="n"/>
      <c r="J39" s="50" t="n"/>
      <c r="K39" s="52">
        <f>IF(H39="","",MAX(0,IF(FORMATO!$B$7="",TODAY(),FORMATO!$B$7)-H39))</f>
        <v/>
      </c>
      <c r="L39" s="4" t="n"/>
      <c r="M39" s="47" t="n">
        <v>35</v>
      </c>
      <c r="N39" s="48" t="n"/>
      <c r="O39" s="49" t="n"/>
      <c r="P39" s="49" t="n"/>
      <c r="Q39" s="50" t="n"/>
    </row>
    <row r="40" ht="20" customHeight="1">
      <c r="A40" s="47" t="n">
        <v>36</v>
      </c>
      <c r="B40" s="48" t="n"/>
      <c r="C40" s="49" t="n"/>
      <c r="D40" s="50" t="n"/>
      <c r="E40" s="51">
        <f>IF(B40="","",MAX(0,IF(FORMATO!$B$7="",TODAY(),FORMATO!$B$7)-B40))</f>
        <v/>
      </c>
      <c r="F40" s="4" t="n"/>
      <c r="G40" s="47" t="n">
        <v>36</v>
      </c>
      <c r="H40" s="48" t="n"/>
      <c r="I40" s="49" t="n"/>
      <c r="J40" s="50" t="n"/>
      <c r="K40" s="52">
        <f>IF(H40="","",MAX(0,IF(FORMATO!$B$7="",TODAY(),FORMATO!$B$7)-H40))</f>
        <v/>
      </c>
      <c r="L40" s="4" t="n"/>
      <c r="M40" s="47" t="n">
        <v>36</v>
      </c>
      <c r="N40" s="48" t="n"/>
      <c r="O40" s="49" t="n"/>
      <c r="P40" s="49" t="n"/>
      <c r="Q40" s="50" t="n"/>
    </row>
    <row r="41" ht="20" customHeight="1">
      <c r="A41" s="47" t="n">
        <v>37</v>
      </c>
      <c r="B41" s="48" t="n"/>
      <c r="C41" s="49" t="n"/>
      <c r="D41" s="50" t="n"/>
      <c r="E41" s="51">
        <f>IF(B41="","",MAX(0,IF(FORMATO!$B$7="",TODAY(),FORMATO!$B$7)-B41))</f>
        <v/>
      </c>
      <c r="F41" s="4" t="n"/>
      <c r="G41" s="47" t="n">
        <v>37</v>
      </c>
      <c r="H41" s="48" t="n"/>
      <c r="I41" s="49" t="n"/>
      <c r="J41" s="50" t="n"/>
      <c r="K41" s="52">
        <f>IF(H41="","",MAX(0,IF(FORMATO!$B$7="",TODAY(),FORMATO!$B$7)-H41))</f>
        <v/>
      </c>
      <c r="L41" s="4" t="n"/>
      <c r="M41" s="47" t="n">
        <v>37</v>
      </c>
      <c r="N41" s="48" t="n"/>
      <c r="O41" s="49" t="n"/>
      <c r="P41" s="49" t="n"/>
      <c r="Q41" s="50" t="n"/>
    </row>
    <row r="42" ht="20" customHeight="1">
      <c r="A42" s="47" t="n">
        <v>38</v>
      </c>
      <c r="B42" s="48" t="n"/>
      <c r="C42" s="49" t="n"/>
      <c r="D42" s="50" t="n"/>
      <c r="E42" s="51">
        <f>IF(B42="","",MAX(0,IF(FORMATO!$B$7="",TODAY(),FORMATO!$B$7)-B42))</f>
        <v/>
      </c>
      <c r="F42" s="4" t="n"/>
      <c r="G42" s="47" t="n">
        <v>38</v>
      </c>
      <c r="H42" s="48" t="n"/>
      <c r="I42" s="49" t="n"/>
      <c r="J42" s="50" t="n"/>
      <c r="K42" s="52">
        <f>IF(H42="","",MAX(0,IF(FORMATO!$B$7="",TODAY(),FORMATO!$B$7)-H42))</f>
        <v/>
      </c>
      <c r="L42" s="4" t="n"/>
      <c r="M42" s="47" t="n">
        <v>38</v>
      </c>
      <c r="N42" s="48" t="n"/>
      <c r="O42" s="49" t="n"/>
      <c r="P42" s="49" t="n"/>
      <c r="Q42" s="50" t="n"/>
    </row>
    <row r="43" ht="20" customHeight="1">
      <c r="A43" s="47" t="n">
        <v>39</v>
      </c>
      <c r="B43" s="48" t="n"/>
      <c r="C43" s="49" t="n"/>
      <c r="D43" s="50" t="n"/>
      <c r="E43" s="51">
        <f>IF(B43="","",MAX(0,IF(FORMATO!$B$7="",TODAY(),FORMATO!$B$7)-B43))</f>
        <v/>
      </c>
      <c r="F43" s="4" t="n"/>
      <c r="G43" s="47" t="n">
        <v>39</v>
      </c>
      <c r="H43" s="48" t="n"/>
      <c r="I43" s="49" t="n"/>
      <c r="J43" s="50" t="n"/>
      <c r="K43" s="52">
        <f>IF(H43="","",MAX(0,IF(FORMATO!$B$7="",TODAY(),FORMATO!$B$7)-H43))</f>
        <v/>
      </c>
      <c r="L43" s="4" t="n"/>
      <c r="M43" s="47" t="n">
        <v>39</v>
      </c>
      <c r="N43" s="48" t="n"/>
      <c r="O43" s="49" t="n"/>
      <c r="P43" s="49" t="n"/>
      <c r="Q43" s="50" t="n"/>
    </row>
    <row r="44" ht="20" customHeight="1">
      <c r="A44" s="47" t="n">
        <v>40</v>
      </c>
      <c r="B44" s="48" t="n"/>
      <c r="C44" s="49" t="n"/>
      <c r="D44" s="50" t="n"/>
      <c r="E44" s="51">
        <f>IF(B44="","",MAX(0,IF(FORMATO!$B$7="",TODAY(),FORMATO!$B$7)-B44))</f>
        <v/>
      </c>
      <c r="F44" s="4" t="n"/>
      <c r="G44" s="47" t="n">
        <v>40</v>
      </c>
      <c r="H44" s="48" t="n"/>
      <c r="I44" s="49" t="n"/>
      <c r="J44" s="50" t="n"/>
      <c r="K44" s="52">
        <f>IF(H44="","",MAX(0,IF(FORMATO!$B$7="",TODAY(),FORMATO!$B$7)-H44))</f>
        <v/>
      </c>
      <c r="L44" s="4" t="n"/>
      <c r="M44" s="47" t="n">
        <v>40</v>
      </c>
      <c r="N44" s="48" t="n"/>
      <c r="O44" s="49" t="n"/>
      <c r="P44" s="49" t="n"/>
      <c r="Q44" s="50" t="n"/>
    </row>
    <row r="45" ht="20" customHeight="1">
      <c r="A45" s="47" t="n">
        <v>41</v>
      </c>
      <c r="B45" s="48" t="n"/>
      <c r="C45" s="49" t="n"/>
      <c r="D45" s="50" t="n"/>
      <c r="E45" s="51">
        <f>IF(B45="","",MAX(0,IF(FORMATO!$B$7="",TODAY(),FORMATO!$B$7)-B45))</f>
        <v/>
      </c>
      <c r="F45" s="4" t="n"/>
      <c r="G45" s="47" t="n">
        <v>41</v>
      </c>
      <c r="H45" s="48" t="n"/>
      <c r="I45" s="49" t="n"/>
      <c r="J45" s="50" t="n"/>
      <c r="K45" s="52">
        <f>IF(H45="","",MAX(0,IF(FORMATO!$B$7="",TODAY(),FORMATO!$B$7)-H45))</f>
        <v/>
      </c>
      <c r="L45" s="4" t="n"/>
      <c r="M45" s="47" t="n">
        <v>41</v>
      </c>
      <c r="N45" s="48" t="n"/>
      <c r="O45" s="49" t="n"/>
      <c r="P45" s="49" t="n"/>
      <c r="Q45" s="50" t="n"/>
    </row>
    <row r="46" ht="20" customHeight="1">
      <c r="A46" s="47" t="n">
        <v>42</v>
      </c>
      <c r="B46" s="48" t="n"/>
      <c r="C46" s="49" t="n"/>
      <c r="D46" s="50" t="n"/>
      <c r="E46" s="51">
        <f>IF(B46="","",MAX(0,IF(FORMATO!$B$7="",TODAY(),FORMATO!$B$7)-B46))</f>
        <v/>
      </c>
      <c r="F46" s="4" t="n"/>
      <c r="G46" s="47" t="n">
        <v>42</v>
      </c>
      <c r="H46" s="48" t="n"/>
      <c r="I46" s="49" t="n"/>
      <c r="J46" s="50" t="n"/>
      <c r="K46" s="52">
        <f>IF(H46="","",MAX(0,IF(FORMATO!$B$7="",TODAY(),FORMATO!$B$7)-H46))</f>
        <v/>
      </c>
      <c r="L46" s="4" t="n"/>
      <c r="M46" s="47" t="n">
        <v>42</v>
      </c>
      <c r="N46" s="48" t="n"/>
      <c r="O46" s="49" t="n"/>
      <c r="P46" s="49" t="n"/>
      <c r="Q46" s="50" t="n"/>
    </row>
    <row r="47" ht="20" customHeight="1">
      <c r="A47" s="47" t="n">
        <v>43</v>
      </c>
      <c r="B47" s="48" t="n"/>
      <c r="C47" s="49" t="n"/>
      <c r="D47" s="50" t="n"/>
      <c r="E47" s="51">
        <f>IF(B47="","",MAX(0,IF(FORMATO!$B$7="",TODAY(),FORMATO!$B$7)-B47))</f>
        <v/>
      </c>
      <c r="F47" s="4" t="n"/>
      <c r="G47" s="47" t="n">
        <v>43</v>
      </c>
      <c r="H47" s="48" t="n"/>
      <c r="I47" s="49" t="n"/>
      <c r="J47" s="50" t="n"/>
      <c r="K47" s="52">
        <f>IF(H47="","",MAX(0,IF(FORMATO!$B$7="",TODAY(),FORMATO!$B$7)-H47))</f>
        <v/>
      </c>
      <c r="L47" s="4" t="n"/>
      <c r="M47" s="47" t="n">
        <v>43</v>
      </c>
      <c r="N47" s="48" t="n"/>
      <c r="O47" s="49" t="n"/>
      <c r="P47" s="49" t="n"/>
      <c r="Q47" s="50" t="n"/>
    </row>
    <row r="48" ht="20" customHeight="1">
      <c r="A48" s="47" t="n">
        <v>44</v>
      </c>
      <c r="B48" s="48" t="n"/>
      <c r="C48" s="49" t="n"/>
      <c r="D48" s="50" t="n"/>
      <c r="E48" s="51">
        <f>IF(B48="","",MAX(0,IF(FORMATO!$B$7="",TODAY(),FORMATO!$B$7)-B48))</f>
        <v/>
      </c>
      <c r="F48" s="4" t="n"/>
      <c r="G48" s="47" t="n">
        <v>44</v>
      </c>
      <c r="H48" s="48" t="n"/>
      <c r="I48" s="49" t="n"/>
      <c r="J48" s="50" t="n"/>
      <c r="K48" s="52">
        <f>IF(H48="","",MAX(0,IF(FORMATO!$B$7="",TODAY(),FORMATO!$B$7)-H48))</f>
        <v/>
      </c>
      <c r="L48" s="4" t="n"/>
      <c r="M48" s="47" t="n">
        <v>44</v>
      </c>
      <c r="N48" s="48" t="n"/>
      <c r="O48" s="49" t="n"/>
      <c r="P48" s="49" t="n"/>
      <c r="Q48" s="50" t="n"/>
    </row>
    <row r="49" ht="20" customHeight="1">
      <c r="A49" s="47" t="n">
        <v>45</v>
      </c>
      <c r="B49" s="48" t="n"/>
      <c r="C49" s="49" t="n"/>
      <c r="D49" s="50" t="n"/>
      <c r="E49" s="51">
        <f>IF(B49="","",MAX(0,IF(FORMATO!$B$7="",TODAY(),FORMATO!$B$7)-B49))</f>
        <v/>
      </c>
      <c r="F49" s="4" t="n"/>
      <c r="G49" s="47" t="n">
        <v>45</v>
      </c>
      <c r="H49" s="48" t="n"/>
      <c r="I49" s="49" t="n"/>
      <c r="J49" s="50" t="n"/>
      <c r="K49" s="52">
        <f>IF(H49="","",MAX(0,IF(FORMATO!$B$7="",TODAY(),FORMATO!$B$7)-H49))</f>
        <v/>
      </c>
      <c r="L49" s="4" t="n"/>
      <c r="M49" s="47" t="n">
        <v>45</v>
      </c>
      <c r="N49" s="48" t="n"/>
      <c r="O49" s="49" t="n"/>
      <c r="P49" s="49" t="n"/>
      <c r="Q49" s="50" t="n"/>
    </row>
    <row r="50" ht="20" customHeight="1">
      <c r="A50" s="47" t="n">
        <v>46</v>
      </c>
      <c r="B50" s="48" t="n"/>
      <c r="C50" s="49" t="n"/>
      <c r="D50" s="50" t="n"/>
      <c r="E50" s="51">
        <f>IF(B50="","",MAX(0,IF(FORMATO!$B$7="",TODAY(),FORMATO!$B$7)-B50))</f>
        <v/>
      </c>
      <c r="F50" s="4" t="n"/>
      <c r="G50" s="47" t="n">
        <v>46</v>
      </c>
      <c r="H50" s="48" t="n"/>
      <c r="I50" s="49" t="n"/>
      <c r="J50" s="50" t="n"/>
      <c r="K50" s="52">
        <f>IF(H50="","",MAX(0,IF(FORMATO!$B$7="",TODAY(),FORMATO!$B$7)-H50))</f>
        <v/>
      </c>
      <c r="L50" s="4" t="n"/>
      <c r="M50" s="47" t="n">
        <v>46</v>
      </c>
      <c r="N50" s="48" t="n"/>
      <c r="O50" s="49" t="n"/>
      <c r="P50" s="49" t="n"/>
      <c r="Q50" s="50" t="n"/>
    </row>
    <row r="51" ht="20" customHeight="1">
      <c r="A51" s="47" t="n">
        <v>47</v>
      </c>
      <c r="B51" s="48" t="n"/>
      <c r="C51" s="49" t="n"/>
      <c r="D51" s="50" t="n"/>
      <c r="E51" s="51">
        <f>IF(B51="","",MAX(0,IF(FORMATO!$B$7="",TODAY(),FORMATO!$B$7)-B51))</f>
        <v/>
      </c>
      <c r="F51" s="4" t="n"/>
      <c r="G51" s="47" t="n">
        <v>47</v>
      </c>
      <c r="H51" s="48" t="n"/>
      <c r="I51" s="49" t="n"/>
      <c r="J51" s="50" t="n"/>
      <c r="K51" s="52">
        <f>IF(H51="","",MAX(0,IF(FORMATO!$B$7="",TODAY(),FORMATO!$B$7)-H51))</f>
        <v/>
      </c>
      <c r="L51" s="4" t="n"/>
      <c r="M51" s="47" t="n">
        <v>47</v>
      </c>
      <c r="N51" s="48" t="n"/>
      <c r="O51" s="49" t="n"/>
      <c r="P51" s="49" t="n"/>
      <c r="Q51" s="50" t="n"/>
    </row>
    <row r="52" ht="20" customHeight="1">
      <c r="A52" s="47" t="n">
        <v>48</v>
      </c>
      <c r="B52" s="48" t="n"/>
      <c r="C52" s="49" t="n"/>
      <c r="D52" s="50" t="n"/>
      <c r="E52" s="51">
        <f>IF(B52="","",MAX(0,IF(FORMATO!$B$7="",TODAY(),FORMATO!$B$7)-B52))</f>
        <v/>
      </c>
      <c r="F52" s="4" t="n"/>
      <c r="G52" s="47" t="n">
        <v>48</v>
      </c>
      <c r="H52" s="48" t="n"/>
      <c r="I52" s="49" t="n"/>
      <c r="J52" s="50" t="n"/>
      <c r="K52" s="52">
        <f>IF(H52="","",MAX(0,IF(FORMATO!$B$7="",TODAY(),FORMATO!$B$7)-H52))</f>
        <v/>
      </c>
      <c r="L52" s="4" t="n"/>
      <c r="M52" s="47" t="n">
        <v>48</v>
      </c>
      <c r="N52" s="48" t="n"/>
      <c r="O52" s="49" t="n"/>
      <c r="P52" s="49" t="n"/>
      <c r="Q52" s="50" t="n"/>
    </row>
    <row r="53" ht="20" customHeight="1">
      <c r="A53" s="47" t="n">
        <v>49</v>
      </c>
      <c r="B53" s="48" t="n"/>
      <c r="C53" s="49" t="n"/>
      <c r="D53" s="50" t="n"/>
      <c r="E53" s="51">
        <f>IF(B53="","",MAX(0,IF(FORMATO!$B$7="",TODAY(),FORMATO!$B$7)-B53))</f>
        <v/>
      </c>
      <c r="F53" s="4" t="n"/>
      <c r="G53" s="47" t="n">
        <v>49</v>
      </c>
      <c r="H53" s="48" t="n"/>
      <c r="I53" s="49" t="n"/>
      <c r="J53" s="50" t="n"/>
      <c r="K53" s="52">
        <f>IF(H53="","",MAX(0,IF(FORMATO!$B$7="",TODAY(),FORMATO!$B$7)-H53))</f>
        <v/>
      </c>
      <c r="L53" s="4" t="n"/>
      <c r="M53" s="47" t="n">
        <v>49</v>
      </c>
      <c r="N53" s="48" t="n"/>
      <c r="O53" s="49" t="n"/>
      <c r="P53" s="49" t="n"/>
      <c r="Q53" s="50" t="n"/>
    </row>
    <row r="54" ht="20" customHeight="1">
      <c r="A54" s="47" t="n">
        <v>50</v>
      </c>
      <c r="B54" s="48" t="n"/>
      <c r="C54" s="49" t="n"/>
      <c r="D54" s="50" t="n"/>
      <c r="E54" s="51">
        <f>IF(B54="","",MAX(0,IF(FORMATO!$B$7="",TODAY(),FORMATO!$B$7)-B54))</f>
        <v/>
      </c>
      <c r="F54" s="4" t="n"/>
      <c r="G54" s="47" t="n">
        <v>50</v>
      </c>
      <c r="H54" s="48" t="n"/>
      <c r="I54" s="49" t="n"/>
      <c r="J54" s="50" t="n"/>
      <c r="K54" s="52">
        <f>IF(H54="","",MAX(0,IF(FORMATO!$B$7="",TODAY(),FORMATO!$B$7)-H54))</f>
        <v/>
      </c>
      <c r="L54" s="4" t="n"/>
      <c r="M54" s="47" t="n">
        <v>50</v>
      </c>
      <c r="N54" s="48" t="n"/>
      <c r="O54" s="49" t="n"/>
      <c r="P54" s="49" t="n"/>
      <c r="Q54" s="50" t="n"/>
    </row>
    <row r="55">
      <c r="A55" s="4" t="n"/>
      <c r="B55" s="4" t="n"/>
      <c r="C55" s="53" t="inlineStr">
        <is>
          <t>TOTAL</t>
        </is>
      </c>
      <c r="D55" s="54">
        <f>SUM(D5:D54)</f>
        <v/>
      </c>
      <c r="E55" s="4" t="n"/>
      <c r="F55" s="4" t="n"/>
      <c r="G55" s="4" t="n"/>
      <c r="H55" s="4" t="n"/>
      <c r="I55" s="53" t="inlineStr">
        <is>
          <t>TOTAL</t>
        </is>
      </c>
      <c r="J55" s="54">
        <f>SUM(J5:J54)</f>
        <v/>
      </c>
      <c r="K55" s="4" t="n"/>
      <c r="L55" s="4" t="n"/>
      <c r="M55" s="4" t="n"/>
      <c r="N55" s="4" t="n"/>
      <c r="O55" s="4" t="n"/>
      <c r="P55" s="53" t="inlineStr">
        <is>
          <t>TOTAL</t>
        </is>
      </c>
      <c r="Q55" s="54">
        <f>SUM(Q5:Q54)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1:O1"/>
    <mergeCell ref="P1:Q2"/>
    <mergeCell ref="A2:O2"/>
  </mergeCells>
  <conditionalFormatting sqref="E5:E54">
    <cfRule type="cellIs" priority="1" operator="greaterThan" dxfId="1">
      <formula>30</formula>
    </cfRule>
    <cfRule type="cellIs" priority="2" operator="greaterThan" dxfId="2">
      <formula>90</formula>
    </cfRule>
  </conditionalFormatting>
  <conditionalFormatting sqref="K5:K54">
    <cfRule type="cellIs" priority="3" operator="greaterThan" dxfId="1">
      <formula>30</formula>
    </cfRule>
    <cfRule type="cellIs" priority="4" operator="greaterThan" dxfId="2">
      <formula>90</formula>
    </cfRule>
  </conditionalFormatting>
  <dataValidations count="5">
    <dataValidation sqref="B5:B54" showDropDown="0" showInputMessage="1" showErrorMessage="1" allowBlank="1" errorTitle="FECHA NO VÁLIDA" error="Escribe una fecha válida, por ejemplo 15/03/2026." promptTitle="FECHA" prompt="Formato DD/MM/AAAA" type="date" errorStyle="warning" operator="greaterThan">
      <formula1>36526</formula1>
    </dataValidation>
    <dataValidation sqref="D5:D5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N5:N54" showDropDown="0" showInputMessage="1" showErrorMessage="1" allowBlank="1" errorTitle="FECHA NO VÁLIDA" error="Escribe una fecha válida, por ejemplo 15/03/2026." promptTitle="FECHA" prompt="Formato DD/MM/AAAA" type="date" errorStyle="warning" operator="greaterThan">
      <formula1>36526</formula1>
    </dataValidation>
    <dataValidation sqref="Q5:Q5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P5:P54" showDropDown="0" showInputMessage="1" showErrorMessage="1" allowBlank="1" errorTitle="OPCIÓN NO VÁLIDA" error="Elige una opción de la lista (puedes editarla en la hoja CATÁLOGOS)." promptTitle="SELECCIONA" prompt="Elige una opción de la lista desplegable." type="list">
      <formula1>"ABONO,CARGO"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80" customWidth="1" min="4" max="4"/>
    <col width="3" customWidth="1" min="5" max="5"/>
  </cols>
  <sheetData>
    <row r="1" ht="30" customHeight="1">
      <c r="A1" s="1" t="n"/>
      <c r="B1" s="55" t="inlineStr">
        <is>
          <t>AYUDA Y PREGUNTAS FRECUENTES</t>
        </is>
      </c>
      <c r="E1" s="1" t="n"/>
    </row>
    <row r="2">
      <c r="A2" s="1" t="n"/>
      <c r="B2" s="56" t="inlineStr">
        <is>
          <t>CONCILIACIÓN BANCARIA</t>
        </is>
      </c>
      <c r="E2" s="1" t="n"/>
    </row>
    <row r="3">
      <c r="A3" s="8" t="n"/>
      <c r="B3" s="8" t="n"/>
      <c r="C3" s="8" t="n"/>
      <c r="D3" s="8" t="n"/>
      <c r="E3" s="8" t="n"/>
    </row>
    <row r="4">
      <c r="A4" s="4" t="n"/>
      <c r="B4" s="4" t="n"/>
      <c r="C4" s="4" t="n"/>
      <c r="D4" s="4" t="n"/>
      <c r="E4" s="4" t="n"/>
    </row>
    <row r="5" ht="24" customHeight="1">
      <c r="A5" s="4" t="n"/>
      <c r="B5" s="9" t="inlineStr">
        <is>
          <t>PREGUNTAS FRECUENTES</t>
        </is>
      </c>
      <c r="C5" s="10" t="n"/>
      <c r="D5" s="10" t="n"/>
      <c r="E5" s="4" t="n"/>
    </row>
    <row r="6" ht="38" customHeight="1">
      <c r="A6" s="4" t="n"/>
      <c r="B6" s="4" t="n"/>
      <c r="C6" s="57" t="inlineStr">
        <is>
          <t>¿Qué es una partida en tránsito?</t>
        </is>
      </c>
      <c r="D6" s="58" t="inlineStr">
        <is>
          <t>Un movimiento registrado en tus libros que el banco aún no refleja (por ejemplo, un cheque que no se ha cobrado).</t>
        </is>
      </c>
      <c r="E6" s="4" t="n"/>
    </row>
    <row r="7" ht="38" customHeight="1">
      <c r="A7" s="4" t="n"/>
      <c r="B7" s="4" t="n"/>
      <c r="C7" s="57" t="inlineStr">
        <is>
          <t>¿Qué hago si la diferencia no es cero?</t>
        </is>
      </c>
      <c r="D7" s="58" t="inlineStr">
        <is>
          <t>Revisa que no falten comisiones, intereses o IVA bancarios por registrar y que ningún movimiento esté duplicado.</t>
        </is>
      </c>
      <c r="E7" s="4" t="n"/>
    </row>
    <row r="8" ht="53" customHeight="1">
      <c r="A8" s="4" t="n"/>
      <c r="B8" s="4" t="n"/>
      <c r="C8" s="57" t="inlineStr">
        <is>
          <t>¿Por qué no puedo escribir en algunas celdas?</t>
        </is>
      </c>
      <c r="D8" s="58" t="inlineStr">
        <is>
          <t>La hoja está protegida para que no se borren fórmulas por accidente. Solo se editan las celdas de captura (color crema). Si necesitas modificar algo más: pestaña Revisar &gt; Desproteger hoja (no tiene contraseña).</t>
        </is>
      </c>
      <c r="E8" s="4" t="n"/>
    </row>
    <row r="9" ht="38" customHeight="1">
      <c r="A9" s="4" t="n"/>
      <c r="B9" s="4" t="n"/>
      <c r="C9" s="57" t="inlineStr">
        <is>
          <t>¿Cómo agrego mi logotipo?</t>
        </is>
      </c>
      <c r="D9" s="58" t="inlineStr">
        <is>
          <t>Haz clic en el recuadro punteado de la esquina superior derecha del formato y usa Insertar &gt; Imágenes. Ajusta el tamaño sin salirte del recuadro.</t>
        </is>
      </c>
      <c r="E9" s="4" t="n"/>
    </row>
    <row r="10" ht="38" customHeight="1">
      <c r="A10" s="4" t="n"/>
      <c r="B10" s="4" t="n"/>
      <c r="C10" s="57" t="inlineStr">
        <is>
          <t>¿Cómo lo imprimo o lo convierto a PDF?</t>
        </is>
      </c>
      <c r="D10" s="58" t="inlineStr">
        <is>
          <t>Archivo &gt; Imprimir (ya está ajustado a una hoja de ancho). Para PDF elige 'Microsoft Print to PDF' o Archivo &gt; Exportar &gt; PDF.</t>
        </is>
      </c>
      <c r="E10" s="4" t="n"/>
    </row>
    <row r="11" ht="38" customHeight="1">
      <c r="A11" s="4" t="n"/>
      <c r="B11" s="4" t="n"/>
      <c r="C11" s="57" t="inlineStr">
        <is>
          <t>¿Con qué versiones de Excel funciona?</t>
        </is>
      </c>
      <c r="D11" s="58" t="inlineStr">
        <is>
          <t>Excel 2016, 2019, 2021 y Microsoft 365 (Windows y Mac). Funciona en LibreOffice y Google Sheets, aunque algunas gráficas y formatos pueden verse distintos.</t>
        </is>
      </c>
      <c r="E11" s="4" t="n"/>
    </row>
    <row r="12" ht="38" customHeight="1">
      <c r="A12" s="4" t="n"/>
      <c r="B12" s="4" t="n"/>
      <c r="C12" s="57" t="inlineStr">
        <is>
          <t>¿Puedo cambiar la letra?</t>
        </is>
      </c>
      <c r="D12" s="58" t="inlineStr">
        <is>
          <t>El diseño usa la fuente Arial, disponible en Windows, Mac y Google Sheets. Si necesitas otra, selecciona todo (Ctrl+E) y cambia la fuente; no afecta el funcionamiento.</t>
        </is>
      </c>
      <c r="E12" s="4" t="n"/>
    </row>
    <row r="13" ht="38" customHeight="1">
      <c r="A13" s="4" t="n"/>
      <c r="B13" s="4" t="n"/>
      <c r="C13" s="57" t="inlineStr">
        <is>
          <t>¿Puedo usarlo en varias empresas o por varios años?</t>
        </is>
      </c>
      <c r="D13" s="58" t="inlineStr">
        <is>
          <t>Sí. Guarda una copia del archivo por empresa o por periodo (Archivo &gt; Guardar como) y deja el original en blanco como plantilla maestra.</t>
        </is>
      </c>
      <c r="E13" s="4" t="n"/>
    </row>
    <row r="14">
      <c r="A14" s="4" t="n"/>
      <c r="B14" s="4" t="n"/>
      <c r="C14" s="4" t="n"/>
      <c r="D14" s="4" t="n"/>
      <c r="E14" s="4" t="n"/>
    </row>
    <row r="15" ht="24" customHeight="1">
      <c r="A15" s="4" t="n"/>
      <c r="B15" s="9" t="inlineStr">
        <is>
          <t>GLOSARIO</t>
        </is>
      </c>
      <c r="C15" s="10" t="n"/>
      <c r="D15" s="10" t="n"/>
      <c r="E15" s="4" t="n"/>
    </row>
    <row r="16" ht="21" customHeight="1">
      <c r="A16" s="4" t="n"/>
      <c r="B16" s="4" t="n"/>
      <c r="C16" s="59" t="inlineStr">
        <is>
          <t>SALDO SEGÚN BANCO</t>
        </is>
      </c>
      <c r="D16" s="60" t="inlineStr">
        <is>
          <t>Saldo final del estado de cuenta.</t>
        </is>
      </c>
      <c r="E16" s="4" t="n"/>
    </row>
    <row r="17" ht="21" customHeight="1">
      <c r="A17" s="4" t="n"/>
      <c r="B17" s="4" t="n"/>
      <c r="C17" s="59" t="inlineStr">
        <is>
          <t>SALDO SEGÚN LIBROS</t>
        </is>
      </c>
      <c r="D17" s="60" t="inlineStr">
        <is>
          <t>Saldo de tu contabilidad en la cuenta de bancos.</t>
        </is>
      </c>
      <c r="E17" s="4" t="n"/>
    </row>
    <row r="18" ht="21" customHeight="1">
      <c r="A18" s="4" t="n"/>
      <c r="B18" s="4" t="n"/>
      <c r="C18" s="59" t="inlineStr">
        <is>
          <t>DEPÓSITO EN TRÁNSITO</t>
        </is>
      </c>
      <c r="D18" s="60" t="inlineStr">
        <is>
          <t>Depósito en libros que el banco aún no abona.</t>
        </is>
      </c>
      <c r="E18" s="4" t="n"/>
    </row>
    <row r="19" ht="21" customHeight="1">
      <c r="A19" s="4" t="n"/>
      <c r="B19" s="4" t="n"/>
      <c r="C19" s="59" t="inlineStr">
        <is>
          <t>CHEQUE EN TRÁNSITO</t>
        </is>
      </c>
      <c r="D19" s="60" t="inlineStr">
        <is>
          <t>Cheque emitido que aún no se cobra.</t>
        </is>
      </c>
      <c r="E19" s="4" t="n"/>
    </row>
    <row r="20">
      <c r="A20" s="4" t="n"/>
      <c r="B20" s="4" t="n"/>
      <c r="C20" s="4" t="n"/>
      <c r="D20" s="4" t="n"/>
      <c r="E20" s="4" t="n"/>
    </row>
    <row r="21" ht="24" customHeight="1">
      <c r="A21" s="4" t="n"/>
      <c r="B21" s="9" t="inlineStr">
        <is>
          <t>LISTA DE VERIFICACIÓN (marca ☑ al completar)</t>
        </is>
      </c>
      <c r="C21" s="10" t="n"/>
      <c r="D21" s="10" t="n"/>
      <c r="E21" s="4" t="n"/>
    </row>
    <row r="22" ht="20" customHeight="1">
      <c r="A22" s="4" t="n"/>
      <c r="B22" s="61" t="inlineStr">
        <is>
          <t>☐</t>
        </is>
      </c>
      <c r="C22" s="62" t="inlineStr">
        <is>
          <t>Estado de cuenta del mes descargado</t>
        </is>
      </c>
      <c r="E22" s="4" t="n"/>
    </row>
    <row r="23" ht="20" customHeight="1">
      <c r="A23" s="4" t="n"/>
      <c r="B23" s="61" t="inlineStr">
        <is>
          <t>☐</t>
        </is>
      </c>
      <c r="C23" s="62" t="inlineStr">
        <is>
          <t>Saldos capturados</t>
        </is>
      </c>
      <c r="E23" s="4" t="n"/>
    </row>
    <row r="24" ht="20" customHeight="1">
      <c r="A24" s="4" t="n"/>
      <c r="B24" s="61" t="inlineStr">
        <is>
          <t>☐</t>
        </is>
      </c>
      <c r="C24" s="62" t="inlineStr">
        <is>
          <t>Partidas en tránsito listadas</t>
        </is>
      </c>
      <c r="E24" s="4" t="n"/>
    </row>
    <row r="25" ht="20" customHeight="1">
      <c r="A25" s="4" t="n"/>
      <c r="B25" s="61" t="inlineStr">
        <is>
          <t>☐</t>
        </is>
      </c>
      <c r="C25" s="62" t="inlineStr">
        <is>
          <t>Diferencia en cero y firmada</t>
        </is>
      </c>
      <c r="E25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C24:D24"/>
    <mergeCell ref="B1:D1"/>
    <mergeCell ref="C25:D25"/>
    <mergeCell ref="C22:D22"/>
    <mergeCell ref="C23:D23"/>
    <mergeCell ref="B2:D2"/>
  </mergeCells>
  <dataValidations count="1">
    <dataValidation sqref="B22 B23 B24 B25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2026-10-07T22:57:51Z</dcterms:created>
  <dcterms:modified xmlns:dcterms="http://purl.org/dc/terms/" xmlns:xsi="http://www.w3.org/2001/XMLSchema-instance" xsi:type="dcterms:W3CDTF">2026-10-07T22:57:55Z</dcterms:modified>
</cp:coreProperties>
</file>