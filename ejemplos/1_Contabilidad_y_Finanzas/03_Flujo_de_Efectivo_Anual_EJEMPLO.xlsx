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1B6B73"/>
      <sz val="9"/>
    </font>
    <font>
      <name val="Calibri"/>
      <b val="1"/>
      <color rgb="000B2A4A"/>
      <sz val="18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FFFFFF"/>
      </patternFill>
    </fill>
    <fill>
      <patternFill patternType="solid">
        <fgColor rgb="00EEF2F5"/>
      </patternFill>
    </fill>
  </fills>
  <borders count="3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0" fillId="0" borderId="14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5" fillId="0" borderId="0" pivotButton="0" quotePrefix="0" xfId="0"/>
    <xf numFmtId="0" fontId="0" fillId="6" borderId="7" pivotButton="0" quotePrefix="0" xfId="0"/>
    <xf numFmtId="0" fontId="0" fillId="2" borderId="7" pivotButton="0" quotePrefix="0" xfId="0"/>
    <xf numFmtId="0" fontId="0" fillId="0" borderId="15" pivotButton="0" quotePrefix="0" xfId="0"/>
    <xf numFmtId="0" fontId="1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64" fontId="0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7" pivotButton="0" quotePrefix="0" xfId="0"/>
    <xf numFmtId="164" fontId="6" fillId="0" borderId="7" pivotButton="0" quotePrefix="0" xfId="0"/>
    <xf numFmtId="0" fontId="6" fillId="0" borderId="0" pivotButton="0" quotePrefix="0" xfId="0"/>
    <xf numFmtId="164" fontId="6" fillId="3" borderId="7" pivotButton="0" quotePrefix="0" xfId="0"/>
    <xf numFmtId="164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3" borderId="10" applyAlignment="1" pivotButton="0" quotePrefix="0" xfId="0">
      <alignment horizontal="center" vertical="center"/>
    </xf>
    <xf numFmtId="0" fontId="0" fillId="3" borderId="11" pivotButton="0" quotePrefix="0" xfId="0"/>
    <xf numFmtId="164" fontId="8" fillId="5" borderId="12" applyAlignment="1" pivotButton="0" quotePrefix="0" xfId="0">
      <alignment horizontal="center" vertical="center"/>
    </xf>
    <xf numFmtId="0" fontId="0" fillId="5" borderId="13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18" pivotButton="0" quotePrefix="0" xfId="0"/>
    <xf numFmtId="0" fontId="0" fillId="0" borderId="31" pivotButton="0" quotePrefix="0" xfId="0"/>
    <xf numFmtId="0" fontId="7" fillId="3" borderId="28" applyAlignment="1" pivotButton="0" quotePrefix="0" xfId="0">
      <alignment horizontal="center" vertical="center"/>
    </xf>
    <xf numFmtId="0" fontId="0" fillId="0" borderId="30" pivotButton="0" quotePrefix="0" xfId="0"/>
    <xf numFmtId="164" fontId="8" fillId="5" borderId="32" applyAlignment="1" pivotButton="0" quotePrefix="0" xfId="0">
      <alignment horizontal="center" vertical="center"/>
    </xf>
    <xf numFmtId="0" fontId="0" fillId="0" borderId="3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vs. egresos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'Formato'!A13</f>
            </strRef>
          </tx>
          <spPr>
            <a:solidFill xmlns:a="http://schemas.openxmlformats.org/drawingml/2006/main">
              <a:srgbClr val="1B6B73"/>
            </a:solidFill>
            <a:ln xmlns:a="http://schemas.openxmlformats.org/drawingml/2006/main">
              <a:solidFill>
                <a:srgbClr val="1B6B73"/>
              </a:solidFill>
              <a:prstDash val="solid"/>
            </a:ln>
          </spPr>
          <cat>
            <numRef>
              <f>'Formato'!$B$7:$M$7</f>
            </numRef>
          </cat>
          <val>
            <numRef>
              <f>'Formato'!$B$13:$M$13</f>
            </numRef>
          </val>
        </ser>
        <ser>
          <idx val="1"/>
          <order val="1"/>
          <tx>
            <strRef>
              <f>'Formato'!A23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'Formato'!$B$7:$M$7</f>
            </numRef>
          </cat>
          <val>
            <numRef>
              <f>'Formato'!$B$23:$M$23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'Formato'!A26</f>
            </strRef>
          </tx>
          <spPr>
            <a:ln xmlns:a="http://schemas.openxmlformats.org/drawingml/2006/main" w="32000">
              <a:solidFill>
                <a:srgbClr val="0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'Formato'!$B$7:$M$7</f>
            </numRef>
          </cat>
          <val>
            <numRef>
              <f>'Formato'!$B$26:$M$26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23</row>
      <rowOff>0</rowOff>
    </from>
    <ext cx="84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Flujo de efectivo anual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Captura el saldo inicial del año.</t>
        </is>
      </c>
    </row>
    <row r="12" ht="21" customHeight="1">
      <c r="B12" s="7" t="n">
        <v>2</v>
      </c>
      <c r="C12" s="8" t="inlineStr">
        <is>
          <t>Llena en las celdas de captura los ingresos y egresos esperados (o reales) de cada mes.</t>
        </is>
      </c>
    </row>
    <row r="13" ht="21" customHeight="1">
      <c r="B13" s="7" t="n">
        <v>3</v>
      </c>
      <c r="C13" s="8" t="inlineStr">
        <is>
          <t>Puedes renombrar los conceptos de la columna A según tu negocio.</t>
        </is>
      </c>
    </row>
    <row r="14" ht="36" customHeight="1">
      <c r="B14" s="7" t="n">
        <v>4</v>
      </c>
      <c r="C14" s="8" t="inlineStr">
        <is>
          <t>El flujo neto y el saldo acumulado se actualizan solos; un saldo negativo indica falta de liquidez.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N26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 ht="44" customHeight="1">
      <c r="A1" s="15" t="inlineStr">
        <is>
          <t>FLUJO DE EFECTIVO ANUAL</t>
        </is>
      </c>
      <c r="M1" s="38" t="inlineStr">
        <is>
          <t>INSERTE SU LOGO
(clic derecho &gt; Insertar imagen)</t>
        </is>
      </c>
      <c r="N1" s="39" t="n"/>
    </row>
    <row r="2" ht="26" customHeight="1">
      <c r="A2" s="40" t="inlineStr">
        <is>
          <t>Proyección y control mensual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41" t="n"/>
      <c r="N2" s="42" t="n"/>
    </row>
    <row r="4">
      <c r="A4" s="22" t="inlineStr">
        <is>
          <t>Empresa</t>
        </is>
      </c>
      <c r="B4" s="9" t="inlineStr">
        <is>
          <t>Comercializadora Ejemplo S.A. de C.V.</t>
        </is>
      </c>
      <c r="C4" s="43" t="n"/>
      <c r="D4" s="44" t="n"/>
      <c r="F4" s="22" t="inlineStr">
        <is>
          <t>Año</t>
        </is>
      </c>
      <c r="G4" s="9" t="n">
        <v>2026</v>
      </c>
    </row>
    <row r="5">
      <c r="A5" s="22" t="inlineStr">
        <is>
          <t>Saldo inicial del año</t>
        </is>
      </c>
      <c r="B5" s="23" t="n">
        <v>50000</v>
      </c>
    </row>
    <row r="7" ht="32" customHeight="1">
      <c r="A7" s="24" t="inlineStr">
        <is>
          <t>Concepto</t>
        </is>
      </c>
      <c r="B7" s="24" t="inlineStr">
        <is>
          <t>Ene</t>
        </is>
      </c>
      <c r="C7" s="24" t="inlineStr">
        <is>
          <t>Feb</t>
        </is>
      </c>
      <c r="D7" s="24" t="inlineStr">
        <is>
          <t>Mar</t>
        </is>
      </c>
      <c r="E7" s="24" t="inlineStr">
        <is>
          <t>Abr</t>
        </is>
      </c>
      <c r="F7" s="24" t="inlineStr">
        <is>
          <t>May</t>
        </is>
      </c>
      <c r="G7" s="24" t="inlineStr">
        <is>
          <t>Jun</t>
        </is>
      </c>
      <c r="H7" s="24" t="inlineStr">
        <is>
          <t>Jul</t>
        </is>
      </c>
      <c r="I7" s="24" t="inlineStr">
        <is>
          <t>Ago</t>
        </is>
      </c>
      <c r="J7" s="24" t="inlineStr">
        <is>
          <t>Sep</t>
        </is>
      </c>
      <c r="K7" s="24" t="inlineStr">
        <is>
          <t>Oct</t>
        </is>
      </c>
      <c r="L7" s="24" t="inlineStr">
        <is>
          <t>Nov</t>
        </is>
      </c>
      <c r="M7" s="24" t="inlineStr">
        <is>
          <t>Dic</t>
        </is>
      </c>
      <c r="N7" s="24" t="inlineStr">
        <is>
          <t>TOTAL</t>
        </is>
      </c>
    </row>
    <row r="8">
      <c r="A8" s="25" t="inlineStr">
        <is>
          <t>INGRESOS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</row>
    <row r="9">
      <c r="A9" s="27" t="inlineStr">
        <is>
          <t>Ventas de contado</t>
        </is>
      </c>
      <c r="B9" s="23" t="n">
        <v>109250</v>
      </c>
      <c r="C9" s="23" t="n">
        <v>126500</v>
      </c>
      <c r="D9" s="23" t="n">
        <v>138000</v>
      </c>
      <c r="E9" s="23" t="n">
        <v>120750</v>
      </c>
      <c r="F9" s="23" t="n">
        <v>149500</v>
      </c>
      <c r="G9" s="23" t="n">
        <v>161000</v>
      </c>
      <c r="H9" s="23" t="n">
        <v>143750</v>
      </c>
      <c r="I9" s="23" t="n">
        <v>155250</v>
      </c>
      <c r="J9" s="23" t="n">
        <v>172500</v>
      </c>
      <c r="K9" s="23" t="n">
        <v>166750</v>
      </c>
      <c r="L9" s="23" t="n">
        <v>184000</v>
      </c>
      <c r="M9" s="23" t="n">
        <v>207000</v>
      </c>
      <c r="N9" s="28">
        <f>SUM(B9:M9)</f>
        <v/>
      </c>
    </row>
    <row r="10">
      <c r="A10" s="27" t="inlineStr">
        <is>
          <t>Cobranza de crédito</t>
        </is>
      </c>
      <c r="B10" s="23" t="n">
        <v>69000</v>
      </c>
      <c r="C10" s="23" t="n">
        <v>74750</v>
      </c>
      <c r="D10" s="23" t="n">
        <v>80500</v>
      </c>
      <c r="E10" s="23" t="n">
        <v>82800</v>
      </c>
      <c r="F10" s="23" t="n">
        <v>86250</v>
      </c>
      <c r="G10" s="23" t="n">
        <v>92000</v>
      </c>
      <c r="H10" s="23" t="n">
        <v>89700</v>
      </c>
      <c r="I10" s="23" t="n">
        <v>94300</v>
      </c>
      <c r="J10" s="23" t="n">
        <v>103500</v>
      </c>
      <c r="K10" s="23" t="n">
        <v>101200</v>
      </c>
      <c r="L10" s="23" t="n">
        <v>109250</v>
      </c>
      <c r="M10" s="23" t="n">
        <v>115000</v>
      </c>
      <c r="N10" s="28">
        <f>SUM(B10:M10)</f>
        <v/>
      </c>
    </row>
    <row r="11">
      <c r="A11" s="27" t="inlineStr">
        <is>
          <t>Servicios</t>
        </is>
      </c>
      <c r="B11" s="23" t="n">
        <v>23000</v>
      </c>
      <c r="C11" s="23" t="n">
        <v>20700</v>
      </c>
      <c r="D11" s="23" t="n">
        <v>28750</v>
      </c>
      <c r="E11" s="23" t="n">
        <v>25300</v>
      </c>
      <c r="F11" s="23" t="n">
        <v>32200</v>
      </c>
      <c r="G11" s="23" t="n">
        <v>34500</v>
      </c>
      <c r="H11" s="23" t="n">
        <v>29900</v>
      </c>
      <c r="I11" s="23" t="n">
        <v>36800</v>
      </c>
      <c r="J11" s="23" t="n">
        <v>40250</v>
      </c>
      <c r="K11" s="23" t="n">
        <v>37950</v>
      </c>
      <c r="L11" s="23" t="n">
        <v>43700</v>
      </c>
      <c r="M11" s="23" t="n">
        <v>51750</v>
      </c>
      <c r="N11" s="28">
        <f>SUM(B11:M11)</f>
        <v/>
      </c>
    </row>
    <row r="12">
      <c r="A12" s="27" t="inlineStr">
        <is>
          <t>Otros ingresos</t>
        </is>
      </c>
      <c r="B12" s="23" t="n">
        <v>3450</v>
      </c>
      <c r="C12" s="23" t="n">
        <v>2300</v>
      </c>
      <c r="D12" s="23" t="n">
        <v>4600</v>
      </c>
      <c r="E12" s="23" t="n">
        <v>3450</v>
      </c>
      <c r="F12" s="23" t="n">
        <v>5750</v>
      </c>
      <c r="G12" s="23" t="n">
        <v>4600</v>
      </c>
      <c r="H12" s="23" t="n">
        <v>3450</v>
      </c>
      <c r="I12" s="23" t="n">
        <v>6900</v>
      </c>
      <c r="J12" s="23" t="n">
        <v>5750</v>
      </c>
      <c r="K12" s="23" t="n">
        <v>4600</v>
      </c>
      <c r="L12" s="23" t="n">
        <v>6900</v>
      </c>
      <c r="M12" s="23" t="n">
        <v>9200</v>
      </c>
      <c r="N12" s="28">
        <f>SUM(B12:M12)</f>
        <v/>
      </c>
    </row>
    <row r="13">
      <c r="A13" s="29" t="inlineStr">
        <is>
          <t>Total ingresos</t>
        </is>
      </c>
      <c r="B13" s="28">
        <f>SUM(B9:B12)</f>
        <v/>
      </c>
      <c r="C13" s="28">
        <f>SUM(C9:C12)</f>
        <v/>
      </c>
      <c r="D13" s="28">
        <f>SUM(D9:D12)</f>
        <v/>
      </c>
      <c r="E13" s="28">
        <f>SUM(E9:E12)</f>
        <v/>
      </c>
      <c r="F13" s="28">
        <f>SUM(F9:F12)</f>
        <v/>
      </c>
      <c r="G13" s="28">
        <f>SUM(G9:G12)</f>
        <v/>
      </c>
      <c r="H13" s="28">
        <f>SUM(H9:H12)</f>
        <v/>
      </c>
      <c r="I13" s="28">
        <f>SUM(I9:I12)</f>
        <v/>
      </c>
      <c r="J13" s="28">
        <f>SUM(J9:J12)</f>
        <v/>
      </c>
      <c r="K13" s="28">
        <f>SUM(K9:K12)</f>
        <v/>
      </c>
      <c r="L13" s="28">
        <f>SUM(L9:L12)</f>
        <v/>
      </c>
      <c r="M13" s="28">
        <f>SUM(M9:M12)</f>
        <v/>
      </c>
      <c r="N13" s="28">
        <f>SUM(N9:N12)</f>
        <v/>
      </c>
    </row>
    <row r="15">
      <c r="A15" s="25" t="inlineStr">
        <is>
          <t>EGRESOS</t>
        </is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</row>
    <row r="16">
      <c r="A16" s="27" t="inlineStr">
        <is>
          <t>Nómina y cargas sociales</t>
        </is>
      </c>
      <c r="B16" s="23" t="n">
        <v>70000</v>
      </c>
      <c r="C16" s="23" t="n">
        <v>70000</v>
      </c>
      <c r="D16" s="23" t="n">
        <v>72000</v>
      </c>
      <c r="E16" s="23" t="n">
        <v>72000</v>
      </c>
      <c r="F16" s="23" t="n">
        <v>74000</v>
      </c>
      <c r="G16" s="23" t="n">
        <v>74000</v>
      </c>
      <c r="H16" s="23" t="n">
        <v>76000</v>
      </c>
      <c r="I16" s="23" t="n">
        <v>76000</v>
      </c>
      <c r="J16" s="23" t="n">
        <v>78000</v>
      </c>
      <c r="K16" s="23" t="n">
        <v>78000</v>
      </c>
      <c r="L16" s="23" t="n">
        <v>80000</v>
      </c>
      <c r="M16" s="23" t="n">
        <v>95000</v>
      </c>
      <c r="N16" s="28">
        <f>SUM(B16:M16)</f>
        <v/>
      </c>
    </row>
    <row r="17">
      <c r="A17" s="27" t="inlineStr">
        <is>
          <t>Renta</t>
        </is>
      </c>
      <c r="B17" s="23" t="n">
        <v>22000</v>
      </c>
      <c r="C17" s="23" t="n">
        <v>22000</v>
      </c>
      <c r="D17" s="23" t="n">
        <v>22000</v>
      </c>
      <c r="E17" s="23" t="n">
        <v>22000</v>
      </c>
      <c r="F17" s="23" t="n">
        <v>22000</v>
      </c>
      <c r="G17" s="23" t="n">
        <v>22000</v>
      </c>
      <c r="H17" s="23" t="n">
        <v>24000</v>
      </c>
      <c r="I17" s="23" t="n">
        <v>24000</v>
      </c>
      <c r="J17" s="23" t="n">
        <v>24000</v>
      </c>
      <c r="K17" s="23" t="n">
        <v>24000</v>
      </c>
      <c r="L17" s="23" t="n">
        <v>24000</v>
      </c>
      <c r="M17" s="23" t="n">
        <v>24000</v>
      </c>
      <c r="N17" s="28">
        <f>SUM(B17:M17)</f>
        <v/>
      </c>
    </row>
    <row r="18">
      <c r="A18" s="27" t="inlineStr">
        <is>
          <t>Proveedores</t>
        </is>
      </c>
      <c r="B18" s="23" t="n">
        <v>80000</v>
      </c>
      <c r="C18" s="23" t="n">
        <v>85000</v>
      </c>
      <c r="D18" s="23" t="n">
        <v>92000</v>
      </c>
      <c r="E18" s="23" t="n">
        <v>88000</v>
      </c>
      <c r="F18" s="23" t="n">
        <v>98000</v>
      </c>
      <c r="G18" s="23" t="n">
        <v>105000</v>
      </c>
      <c r="H18" s="23" t="n">
        <v>96000</v>
      </c>
      <c r="I18" s="23" t="n">
        <v>104000</v>
      </c>
      <c r="J18" s="23" t="n">
        <v>112000</v>
      </c>
      <c r="K18" s="23" t="n">
        <v>108000</v>
      </c>
      <c r="L18" s="23" t="n">
        <v>118000</v>
      </c>
      <c r="M18" s="23" t="n">
        <v>130000</v>
      </c>
      <c r="N18" s="28">
        <f>SUM(B18:M18)</f>
        <v/>
      </c>
    </row>
    <row r="19">
      <c r="A19" s="27" t="inlineStr">
        <is>
          <t>Servicios (luz, agua, internet)</t>
        </is>
      </c>
      <c r="B19" s="23" t="n">
        <v>9000</v>
      </c>
      <c r="C19" s="23" t="n">
        <v>9000</v>
      </c>
      <c r="D19" s="23" t="n">
        <v>9000</v>
      </c>
      <c r="E19" s="23" t="n">
        <v>10000</v>
      </c>
      <c r="F19" s="23" t="n">
        <v>10000</v>
      </c>
      <c r="G19" s="23" t="n">
        <v>10000</v>
      </c>
      <c r="H19" s="23" t="n">
        <v>10000</v>
      </c>
      <c r="I19" s="23" t="n">
        <v>10000</v>
      </c>
      <c r="J19" s="23" t="n">
        <v>11000</v>
      </c>
      <c r="K19" s="23" t="n">
        <v>11000</v>
      </c>
      <c r="L19" s="23" t="n">
        <v>11000</v>
      </c>
      <c r="M19" s="23" t="n">
        <v>11000</v>
      </c>
      <c r="N19" s="28">
        <f>SUM(B19:M19)</f>
        <v/>
      </c>
    </row>
    <row r="20">
      <c r="A20" s="27" t="inlineStr">
        <is>
          <t>Impuestos (IVA/ISR)</t>
        </is>
      </c>
      <c r="B20" s="23" t="n">
        <v>18000</v>
      </c>
      <c r="C20" s="23" t="n">
        <v>20000</v>
      </c>
      <c r="D20" s="23" t="n">
        <v>24000</v>
      </c>
      <c r="E20" s="23" t="n">
        <v>22000</v>
      </c>
      <c r="F20" s="23" t="n">
        <v>26000</v>
      </c>
      <c r="G20" s="23" t="n">
        <v>28000</v>
      </c>
      <c r="H20" s="23" t="n">
        <v>25000</v>
      </c>
      <c r="I20" s="23" t="n">
        <v>28000</v>
      </c>
      <c r="J20" s="23" t="n">
        <v>32000</v>
      </c>
      <c r="K20" s="23" t="n">
        <v>30000</v>
      </c>
      <c r="L20" s="23" t="n">
        <v>34000</v>
      </c>
      <c r="M20" s="23" t="n">
        <v>40000</v>
      </c>
      <c r="N20" s="28">
        <f>SUM(B20:M20)</f>
        <v/>
      </c>
    </row>
    <row r="21">
      <c r="A21" s="27" t="inlineStr">
        <is>
          <t>Publicidad</t>
        </is>
      </c>
      <c r="B21" s="23" t="n">
        <v>6000</v>
      </c>
      <c r="C21" s="23" t="n">
        <v>6000</v>
      </c>
      <c r="D21" s="23" t="n">
        <v>8000</v>
      </c>
      <c r="E21" s="23" t="n">
        <v>6000</v>
      </c>
      <c r="F21" s="23" t="n">
        <v>8000</v>
      </c>
      <c r="G21" s="23" t="n">
        <v>8000</v>
      </c>
      <c r="H21" s="23" t="n">
        <v>6000</v>
      </c>
      <c r="I21" s="23" t="n">
        <v>8000</v>
      </c>
      <c r="J21" s="23" t="n">
        <v>10000</v>
      </c>
      <c r="K21" s="23" t="n">
        <v>8000</v>
      </c>
      <c r="L21" s="23" t="n">
        <v>10000</v>
      </c>
      <c r="M21" s="23" t="n">
        <v>14000</v>
      </c>
      <c r="N21" s="28">
        <f>SUM(B21:M21)</f>
        <v/>
      </c>
    </row>
    <row r="22">
      <c r="A22" s="27" t="inlineStr">
        <is>
          <t>Otros egresos</t>
        </is>
      </c>
      <c r="B22" s="23" t="n">
        <v>5000</v>
      </c>
      <c r="C22" s="23" t="n">
        <v>4000</v>
      </c>
      <c r="D22" s="23" t="n">
        <v>6000</v>
      </c>
      <c r="E22" s="23" t="n">
        <v>5000</v>
      </c>
      <c r="F22" s="23" t="n">
        <v>6000</v>
      </c>
      <c r="G22" s="23" t="n">
        <v>7000</v>
      </c>
      <c r="H22" s="23" t="n">
        <v>5000</v>
      </c>
      <c r="I22" s="23" t="n">
        <v>7000</v>
      </c>
      <c r="J22" s="23" t="n">
        <v>8000</v>
      </c>
      <c r="K22" s="23" t="n">
        <v>6000</v>
      </c>
      <c r="L22" s="23" t="n">
        <v>8000</v>
      </c>
      <c r="M22" s="23" t="n">
        <v>9000</v>
      </c>
      <c r="N22" s="28">
        <f>SUM(B22:M22)</f>
        <v/>
      </c>
    </row>
    <row r="23">
      <c r="A23" s="29" t="inlineStr">
        <is>
          <t>Total egresos</t>
        </is>
      </c>
      <c r="B23" s="28">
        <f>SUM(B16:B22)</f>
        <v/>
      </c>
      <c r="C23" s="28">
        <f>SUM(C16:C22)</f>
        <v/>
      </c>
      <c r="D23" s="28">
        <f>SUM(D16:D22)</f>
        <v/>
      </c>
      <c r="E23" s="28">
        <f>SUM(E16:E22)</f>
        <v/>
      </c>
      <c r="F23" s="28">
        <f>SUM(F16:F22)</f>
        <v/>
      </c>
      <c r="G23" s="28">
        <f>SUM(G16:G22)</f>
        <v/>
      </c>
      <c r="H23" s="28">
        <f>SUM(H16:H22)</f>
        <v/>
      </c>
      <c r="I23" s="28">
        <f>SUM(I16:I22)</f>
        <v/>
      </c>
      <c r="J23" s="28">
        <f>SUM(J16:J22)</f>
        <v/>
      </c>
      <c r="K23" s="28">
        <f>SUM(K16:K22)</f>
        <v/>
      </c>
      <c r="L23" s="28">
        <f>SUM(L16:L22)</f>
        <v/>
      </c>
      <c r="M23" s="28">
        <f>SUM(M16:M22)</f>
        <v/>
      </c>
      <c r="N23" s="28">
        <f>SUM(N16:N22)</f>
        <v/>
      </c>
    </row>
    <row r="25">
      <c r="A25" s="29" t="inlineStr">
        <is>
          <t>FLUJO NETO DEL MES</t>
        </is>
      </c>
      <c r="B25" s="30">
        <f>B13-B23</f>
        <v/>
      </c>
      <c r="C25" s="30">
        <f>C13-C23</f>
        <v/>
      </c>
      <c r="D25" s="30">
        <f>D13-D23</f>
        <v/>
      </c>
      <c r="E25" s="30">
        <f>E13-E23</f>
        <v/>
      </c>
      <c r="F25" s="30">
        <f>F13-F23</f>
        <v/>
      </c>
      <c r="G25" s="30">
        <f>G13-G23</f>
        <v/>
      </c>
      <c r="H25" s="30">
        <f>H13-H23</f>
        <v/>
      </c>
      <c r="I25" s="30">
        <f>I13-I23</f>
        <v/>
      </c>
      <c r="J25" s="30">
        <f>J13-J23</f>
        <v/>
      </c>
      <c r="K25" s="30">
        <f>K13-K23</f>
        <v/>
      </c>
      <c r="L25" s="30">
        <f>L13-L23</f>
        <v/>
      </c>
      <c r="M25" s="30">
        <f>M13-M23</f>
        <v/>
      </c>
      <c r="N25" s="31">
        <f>SUM(B25:M25)</f>
        <v/>
      </c>
    </row>
    <row r="26">
      <c r="A26" s="29" t="inlineStr">
        <is>
          <t>SALDO FINAL ACUMULADO</t>
        </is>
      </c>
      <c r="B26" s="30">
        <f>$B$5+B25</f>
        <v/>
      </c>
      <c r="C26" s="30">
        <f>B26+C25</f>
        <v/>
      </c>
      <c r="D26" s="30">
        <f>C26+D25</f>
        <v/>
      </c>
      <c r="E26" s="30">
        <f>D26+E25</f>
        <v/>
      </c>
      <c r="F26" s="30">
        <f>E26+F25</f>
        <v/>
      </c>
      <c r="G26" s="30">
        <f>F26+G25</f>
        <v/>
      </c>
      <c r="H26" s="30">
        <f>G26+H25</f>
        <v/>
      </c>
      <c r="I26" s="30">
        <f>H26+I25</f>
        <v/>
      </c>
      <c r="J26" s="30">
        <f>I26+J25</f>
        <v/>
      </c>
      <c r="K26" s="30">
        <f>J26+K25</f>
        <v/>
      </c>
      <c r="L26" s="30">
        <f>K26+L25</f>
        <v/>
      </c>
      <c r="M26" s="30">
        <f>L26+M25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:L2"/>
    <mergeCell ref="M1:N2"/>
    <mergeCell ref="A1:L1"/>
    <mergeCell ref="B4:D4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15" t="inlineStr">
        <is>
          <t>RESUMEN DE FLUJO DE EFECTIVO</t>
        </is>
      </c>
      <c r="H1" s="38" t="inlineStr">
        <is>
          <t>INSERTE SU LOGO
(clic derecho &gt; Insertar imagen)</t>
        </is>
      </c>
      <c r="I1" s="45" t="n"/>
      <c r="J1" s="39" t="n"/>
    </row>
    <row r="2" ht="26" customHeight="1">
      <c r="A2" s="40" t="inlineStr">
        <is>
          <t>Ingresos, egresos y saldo acumulado por mes</t>
        </is>
      </c>
      <c r="B2" s="19" t="n"/>
      <c r="C2" s="19" t="n"/>
      <c r="D2" s="19" t="n"/>
      <c r="E2" s="19" t="n"/>
      <c r="F2" s="19" t="n"/>
      <c r="G2" s="19" t="n"/>
      <c r="H2" s="41" t="n"/>
      <c r="I2" s="46" t="n"/>
      <c r="J2" s="42" t="n"/>
    </row>
    <row r="4" ht="20" customHeight="1">
      <c r="B4" s="47" t="inlineStr">
        <is>
          <t>INGRESOS DEL AÑO</t>
        </is>
      </c>
      <c r="C4" s="48" t="n"/>
      <c r="D4" s="47" t="inlineStr">
        <is>
          <t>EGRESOS DEL AÑO</t>
        </is>
      </c>
      <c r="E4" s="48" t="n"/>
      <c r="F4" s="47" t="inlineStr">
        <is>
          <t>FLUJO NETO</t>
        </is>
      </c>
      <c r="G4" s="48" t="n"/>
      <c r="H4" s="47" t="inlineStr">
        <is>
          <t>SALDO FINAL</t>
        </is>
      </c>
      <c r="I4" s="48" t="n"/>
    </row>
    <row r="5" ht="36" customHeight="1">
      <c r="B5" s="49">
        <f>Formato!N13</f>
        <v/>
      </c>
      <c r="C5" s="50" t="n"/>
      <c r="D5" s="49">
        <f>Formato!N23</f>
        <v/>
      </c>
      <c r="E5" s="50" t="n"/>
      <c r="F5" s="49">
        <f>Formato!N25</f>
        <v/>
      </c>
      <c r="G5" s="50" t="n"/>
      <c r="H5" s="49">
        <f>Formato!M26</f>
        <v/>
      </c>
      <c r="I5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2026-10-07T18:10:58Z</dcterms:modified>
</cp:coreProperties>
</file>