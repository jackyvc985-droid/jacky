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TASA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AYUDA" sheetId="5" state="visible" r:id="rId5"/>
  </sheets>
  <definedNames>
    <definedName name="_xlnm.Print_Titles" localSheetId="1">'FORMATO'!$6:$6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$&quot;#,##0.00"/>
  </numFmts>
  <fonts count="2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B78"/>
      <sz val="10"/>
    </font>
    <font>
      <name val="Arial"/>
      <i val="1"/>
      <color rgb="00A6A6A6"/>
      <sz val="8"/>
    </font>
    <font>
      <name val="Arial"/>
      <b val="1"/>
      <color rgb="000E7C8B"/>
    </font>
    <font>
      <name val="Arial"/>
      <b val="1"/>
      <color rgb="00FFFFFF"/>
    </font>
    <font>
      <name val="Arial"/>
      <b val="1"/>
    </font>
    <font>
      <name val="Arial"/>
      <b val="1"/>
      <color rgb="000B2A4A"/>
    </font>
    <font>
      <name val="Arial"/>
      <b val="1"/>
      <color rgb="000E7C8B"/>
      <sz val="9"/>
    </font>
    <font>
      <name val="Arial"/>
      <b val="1"/>
      <color rgb="000B2A4A"/>
      <sz val="24"/>
    </font>
    <font>
      <name val="Arial"/>
      <b val="1"/>
      <color rgb="00C9A227"/>
      <sz val="11"/>
    </font>
    <font>
      <name val="Arial"/>
      <b val="1"/>
      <color rgb="00C9D3DB"/>
      <sz val="9"/>
    </font>
    <font>
      <name val="Arial"/>
      <b val="1"/>
      <color rgb="00FFFFFF"/>
      <sz val="30"/>
    </font>
    <font>
      <name val="Arial"/>
      <i val="1"/>
      <color rgb="00C9D3DB"/>
      <sz val="12"/>
    </font>
    <font>
      <name val="Arial"/>
      <b val="1"/>
      <color rgb="00C9A227"/>
      <sz val="9"/>
    </font>
    <font>
      <name val="Arial"/>
      <b val="1"/>
      <color rgb="000E7C8B"/>
      <sz val="12"/>
    </font>
    <font>
      <name val="Arial"/>
      <b val="1"/>
      <color rgb="000E7C8B"/>
      <sz val="10"/>
      <u val="single"/>
    </font>
    <font>
      <name val="Arial"/>
      <color rgb="002B2B2B"/>
      <sz val="10"/>
    </font>
    <font>
      <name val="Arial"/>
      <b val="1"/>
      <color rgb="000B2A4A"/>
      <sz val="10"/>
    </font>
    <font>
      <name val="Arial"/>
      <b val="1"/>
      <color rgb="00C9A227"/>
      <sz val="12"/>
    </font>
    <font>
      <name val="Arial"/>
      <b val="1"/>
      <color rgb="000E7C8B"/>
      <sz val="11"/>
    </font>
    <font>
      <name val="Arial"/>
      <color rgb="005B6B78"/>
      <sz val="10"/>
    </font>
    <font>
      <name val="Arial"/>
      <color rgb="00C9D3DB"/>
      <sz val="9"/>
    </font>
    <font>
      <name val="Arial"/>
      <b val="1"/>
      <color rgb="00FFFFFF"/>
      <sz val="18"/>
    </font>
    <font>
      <name val="Arial"/>
      <b val="1"/>
      <color rgb="00C9A227"/>
      <sz val="10"/>
    </font>
    <font>
      <name val="Arial"/>
      <b val="1"/>
      <color rgb="000E7C8B"/>
      <sz val="10"/>
    </font>
    <font>
      <name val="Arial"/>
      <color rgb="000B2A4A"/>
      <sz val="12"/>
    </font>
    <font>
      <name val="Arial"/>
      <color theme="1"/>
      <sz val="10"/>
    </font>
  </fonts>
  <fills count="8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gradientFill type="linear" degree="90">
        <stop position="0">
          <color rgb="0017426B"/>
        </stop>
        <stop position="1">
          <color rgb="000B2A4A"/>
        </stop>
      </gradientFill>
    </fill>
    <fill>
      <patternFill patternType="solid">
        <fgColor rgb="00EEF2F5"/>
      </patternFill>
    </fill>
    <fill>
      <patternFill patternType="solid">
        <fgColor rgb="00FFFFFF"/>
      </patternFill>
    </fill>
  </fills>
  <borders count="39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left style="thin">
        <color rgb="00C9D3DB"/>
      </left>
      <right style="thin">
        <color rgb="00C9D3DB"/>
      </right>
      <top style="medium">
        <color rgb="00C9A227"/>
      </top>
      <bottom style="thin">
        <color rgb="00C9D3DB"/>
      </bottom>
    </border>
    <border>
      <top style="dashed">
        <color rgb="00A6A6A6"/>
      </top>
    </border>
    <border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E3E8ED"/>
      </bottom>
    </border>
    <border>
      <bottom style="thin">
        <color rgb="00C9D3DB"/>
      </bottom>
    </border>
    <border>
      <left/>
      <right/>
      <top/>
      <bottom style="thin">
        <color rgb="00E3E8ED"/>
      </bottom>
      <diagonal/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left/>
      <right/>
      <top style="thin">
        <color rgb="00C9D3DB"/>
      </top>
      <bottom style="thin">
        <color rgb="00C9D3DB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/>
      <right/>
      <top style="dashed">
        <color rgb="00A6A6A6"/>
      </top>
      <bottom/>
      <diagonal/>
    </border>
    <border>
      <left style="dashed">
        <color rgb="00A6A6A6"/>
      </left>
      <right/>
      <top/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  <border>
      <right/>
      <bottom style="medium">
        <color rgb="00C9A227"/>
      </bottom>
    </border>
    <border>
      <left style="thin">
        <color rgb="00C9D3DB"/>
      </left>
      <right style="thin">
        <color rgb="00C9D3DB"/>
      </right>
      <top style="medium">
        <color rgb="00C9A227"/>
      </top>
    </border>
    <border>
      <left/>
      <right/>
      <top style="medium">
        <color rgb="00C9A227"/>
      </top>
      <bottom/>
      <diagonal/>
    </border>
    <border>
      <left/>
      <right style="thin">
        <color rgb="00C9D3DB"/>
      </right>
      <top style="medium">
        <color rgb="00C9A227"/>
      </top>
      <bottom/>
      <diagonal/>
    </border>
    <border>
      <left/>
      <right/>
      <top/>
      <bottom style="dashed">
        <color rgb="00A6A6A6"/>
      </bottom>
      <diagonal/>
    </border>
    <border>
      <left style="thin">
        <color rgb="00C9D3DB"/>
      </left>
      <right style="thin">
        <color rgb="00C9D3DB"/>
      </right>
      <bottom style="thin">
        <color rgb="00C9D3DB"/>
      </bottom>
    </border>
    <border>
      <left/>
      <right style="thin">
        <color rgb="00C9D3DB"/>
      </right>
      <top/>
      <bottom/>
      <diagonal/>
    </border>
    <border>
      <left/>
      <right style="thin">
        <color rgb="00C9D3DB"/>
      </right>
      <top/>
      <bottom style="thin">
        <color rgb="00C9D3DB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27" fillId="2" borderId="0" pivotButton="0" quotePrefix="0" xfId="0"/>
    <xf numFmtId="0" fontId="10" fillId="2" borderId="0" pivotButton="0" quotePrefix="0" xfId="0"/>
    <xf numFmtId="0" fontId="11" fillId="2" borderId="0" applyAlignment="1" pivotButton="0" quotePrefix="0" xfId="0">
      <alignment horizontal="right" vertical="center"/>
    </xf>
    <xf numFmtId="0" fontId="27" fillId="0" borderId="0" pivotButton="0" quotePrefix="0" xfId="0"/>
    <xf numFmtId="0" fontId="12" fillId="2" borderId="0" applyAlignment="1" pivotButton="0" quotePrefix="0" xfId="0">
      <alignment vertical="center" wrapText="1"/>
    </xf>
    <xf numFmtId="0" fontId="13" fillId="2" borderId="0" pivotButton="0" quotePrefix="0" xfId="0"/>
    <xf numFmtId="0" fontId="14" fillId="2" borderId="15" applyAlignment="1" pivotButton="0" quotePrefix="0" xfId="0">
      <alignment horizontal="center" vertical="center"/>
    </xf>
    <xf numFmtId="0" fontId="27" fillId="0" borderId="16" pivotButton="0" quotePrefix="0" xfId="0"/>
    <xf numFmtId="0" fontId="15" fillId="0" borderId="1" pivotButton="0" quotePrefix="0" xfId="0"/>
    <xf numFmtId="0" fontId="27" fillId="0" borderId="1" pivotButton="0" quotePrefix="0" xfId="0"/>
    <xf numFmtId="0" fontId="1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6" fillId="0" borderId="0" pivotButton="0" quotePrefix="0" xfId="0"/>
    <xf numFmtId="0" fontId="18" fillId="0" borderId="17" applyAlignment="1" pivotButton="0" quotePrefix="0" xfId="0">
      <alignment vertical="center"/>
    </xf>
    <xf numFmtId="0" fontId="17" fillId="0" borderId="17" applyAlignment="1" pivotButton="0" quotePrefix="0" xfId="0">
      <alignment vertical="center" wrapText="1"/>
    </xf>
    <xf numFmtId="0" fontId="27" fillId="0" borderId="17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7" fillId="4" borderId="7" applyProtection="1" pivotButton="0" quotePrefix="0" xfId="0">
      <protection locked="0" hidden="0"/>
    </xf>
    <xf numFmtId="0" fontId="21" fillId="0" borderId="0" pivotButton="0" quotePrefix="0" xfId="0"/>
    <xf numFmtId="0" fontId="27" fillId="6" borderId="7" pivotButton="0" quotePrefix="0" xfId="0"/>
    <xf numFmtId="0" fontId="27" fillId="2" borderId="7" pivotButton="0" quotePrefix="0" xfId="0"/>
    <xf numFmtId="0" fontId="27" fillId="7" borderId="7" pivotButton="0" quotePrefix="0" xfId="0"/>
    <xf numFmtId="0" fontId="22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7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7" fillId="0" borderId="2" pivotButton="0" quotePrefix="0" xfId="0"/>
    <xf numFmtId="0" fontId="27" fillId="0" borderId="5" pivotButton="0" quotePrefix="0" xfId="0"/>
    <xf numFmtId="0" fontId="27" fillId="0" borderId="6" pivotButton="0" quotePrefix="0" xfId="0"/>
    <xf numFmtId="0" fontId="4" fillId="3" borderId="7" pivotButton="0" quotePrefix="0" xfId="0"/>
    <xf numFmtId="164" fontId="27" fillId="4" borderId="7" applyProtection="1" pivotButton="0" quotePrefix="0" xfId="0">
      <protection locked="0" hidden="0"/>
    </xf>
    <xf numFmtId="0" fontId="5" fillId="5" borderId="8" applyAlignment="1" pivotButton="0" quotePrefix="0" xfId="0">
      <alignment horizontal="center" vertical="center" wrapText="1"/>
    </xf>
    <xf numFmtId="0" fontId="27" fillId="6" borderId="7" applyAlignment="1" pivotButton="0" quotePrefix="0" xfId="0">
      <alignment horizontal="center"/>
    </xf>
    <xf numFmtId="0" fontId="27" fillId="4" borderId="7" applyAlignment="1" applyProtection="1" pivotButton="0" quotePrefix="0" xfId="0">
      <alignment vertical="center"/>
      <protection locked="0" hidden="0"/>
    </xf>
    <xf numFmtId="164" fontId="27" fillId="4" borderId="7" applyAlignment="1" applyProtection="1" pivotButton="0" quotePrefix="0" xfId="0">
      <alignment vertical="center"/>
      <protection locked="0" hidden="0"/>
    </xf>
    <xf numFmtId="165" fontId="27" fillId="4" borderId="7" applyAlignment="1" applyProtection="1" pivotButton="0" quotePrefix="0" xfId="0">
      <alignment vertical="center"/>
      <protection locked="0" hidden="0"/>
    </xf>
    <xf numFmtId="9" fontId="27" fillId="6" borderId="7" applyAlignment="1" pivotButton="0" quotePrefix="0" xfId="0">
      <alignment vertical="center"/>
    </xf>
    <xf numFmtId="165" fontId="27" fillId="6" borderId="7" applyAlignment="1" pivotButton="0" quotePrefix="0" xfId="0">
      <alignment vertical="center"/>
    </xf>
    <xf numFmtId="2" fontId="27" fillId="6" borderId="7" applyAlignment="1" pivotButton="0" quotePrefix="0" xfId="0">
      <alignment vertical="center"/>
    </xf>
    <xf numFmtId="0" fontId="6" fillId="0" borderId="0" applyAlignment="1" pivotButton="0" quotePrefix="0" xfId="0">
      <alignment horizontal="right"/>
    </xf>
    <xf numFmtId="165" fontId="7" fillId="3" borderId="7" pivotButton="0" quotePrefix="0" xfId="0"/>
    <xf numFmtId="0" fontId="6" fillId="0" borderId="0" pivotButton="0" quotePrefix="0" xfId="0"/>
    <xf numFmtId="9" fontId="27" fillId="0" borderId="0" pivotButton="0" quotePrefix="0" xfId="0"/>
    <xf numFmtId="0" fontId="27" fillId="0" borderId="9" pivotButton="0" quotePrefix="0" xfId="0"/>
    <xf numFmtId="0" fontId="27" fillId="0" borderId="10" pivotButton="0" quotePrefix="0" xfId="0"/>
    <xf numFmtId="0" fontId="8" fillId="3" borderId="11" applyAlignment="1" pivotButton="0" quotePrefix="0" xfId="0">
      <alignment horizontal="center" vertical="center"/>
    </xf>
    <xf numFmtId="0" fontId="27" fillId="3" borderId="12" pivotButton="0" quotePrefix="0" xfId="0"/>
    <xf numFmtId="165" fontId="9" fillId="7" borderId="13" applyAlignment="1" pivotButton="0" quotePrefix="0" xfId="0">
      <alignment horizontal="center" vertical="center"/>
    </xf>
    <xf numFmtId="0" fontId="27" fillId="7" borderId="14" pivotButton="0" quotePrefix="0" xfId="0"/>
    <xf numFmtId="1" fontId="9" fillId="7" borderId="13" applyAlignment="1" pivotButton="0" quotePrefix="0" xfId="0">
      <alignment horizontal="center" vertical="center"/>
    </xf>
    <xf numFmtId="0" fontId="27" fillId="0" borderId="7" pivotButton="0" quotePrefix="0" xfId="0"/>
    <xf numFmtId="165" fontId="27" fillId="6" borderId="7" pivotButton="0" quotePrefix="0" xfId="0"/>
    <xf numFmtId="0" fontId="23" fillId="2" borderId="0" applyAlignment="1" pivotButton="0" quotePrefix="0" xfId="0">
      <alignment vertical="center"/>
    </xf>
    <xf numFmtId="0" fontId="24" fillId="2" borderId="0" pivotButton="0" quotePrefix="0" xfId="0"/>
    <xf numFmtId="0" fontId="18" fillId="0" borderId="18" applyAlignment="1" pivotButton="0" quotePrefix="0" xfId="0">
      <alignment vertical="top" wrapText="1"/>
    </xf>
    <xf numFmtId="0" fontId="17" fillId="0" borderId="18" applyAlignment="1" pivotButton="0" quotePrefix="0" xfId="0">
      <alignment vertical="top" wrapText="1"/>
    </xf>
    <xf numFmtId="0" fontId="25" fillId="0" borderId="18" pivotButton="0" quotePrefix="0" xfId="0"/>
    <xf numFmtId="0" fontId="17" fillId="0" borderId="18" applyAlignment="1" pivotButton="0" quotePrefix="0" xfId="0">
      <alignment vertical="center" wrapText="1"/>
    </xf>
    <xf numFmtId="0" fontId="26" fillId="4" borderId="7" applyAlignment="1" applyProtection="1" pivotButton="0" quotePrefix="0" xfId="0">
      <alignment horizontal="center"/>
      <protection locked="0" hidden="0"/>
    </xf>
    <xf numFmtId="0" fontId="17" fillId="0" borderId="0" pivotButton="0" quotePrefix="0" xfId="0"/>
    <xf numFmtId="0" fontId="0" fillId="0" borderId="19" pivotButton="0" quotePrefix="0" xfId="0"/>
    <xf numFmtId="0" fontId="3" fillId="0" borderId="24" applyAlignment="1" pivotButton="0" quotePrefix="0" xfId="0">
      <alignment horizontal="center" vertical="center" wrapText="1"/>
    </xf>
    <xf numFmtId="0" fontId="0" fillId="0" borderId="27" pivotButton="0" quotePrefix="0" xfId="0"/>
    <xf numFmtId="0" fontId="2" fillId="0" borderId="3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2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0" fillId="0" borderId="25" pivotButton="0" quotePrefix="0" xfId="0"/>
    <xf numFmtId="0" fontId="0" fillId="0" borderId="35" pivotButton="0" quotePrefix="0" xfId="0"/>
    <xf numFmtId="0" fontId="8" fillId="3" borderId="32" applyAlignment="1" pivotButton="0" quotePrefix="0" xfId="0">
      <alignment horizontal="center" vertical="center"/>
    </xf>
    <xf numFmtId="0" fontId="0" fillId="0" borderId="34" pivotButton="0" quotePrefix="0" xfId="0"/>
    <xf numFmtId="165" fontId="9" fillId="7" borderId="36" applyAlignment="1" pivotButton="0" quotePrefix="0" xfId="0">
      <alignment horizontal="center" vertical="center"/>
    </xf>
    <xf numFmtId="0" fontId="0" fillId="0" borderId="38" pivotButton="0" quotePrefix="0" xfId="0"/>
    <xf numFmtId="1" fontId="9" fillId="7" borderId="3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Costo vs. valor en libros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'RESUMEN'!C25</f>
            </strRef>
          </tx>
          <spPr>
            <a:solidFill xmlns:a="http://schemas.openxmlformats.org/drawingml/2006/main">
              <a:srgbClr val="2A6FBA"/>
            </a:solidFill>
            <a:ln xmlns:a="http://schemas.openxmlformats.org/drawingml/2006/main">
              <a:solidFill>
                <a:srgbClr val="2A6FBA"/>
              </a:solidFill>
              <a:prstDash val="solid"/>
            </a:ln>
          </spPr>
          <cat>
            <numRef>
              <f>'RESUMEN'!$B$26:$B$33</f>
            </numRef>
          </cat>
          <val>
            <numRef>
              <f>'RESUMEN'!$C$26:$C$33</f>
            </numRef>
          </val>
        </ser>
        <ser>
          <idx val="1"/>
          <order val="1"/>
          <tx>
            <strRef>
              <f>'RESUMEN'!D25</f>
            </strRef>
          </tx>
          <spPr>
            <a:solidFill xmlns:a="http://schemas.openxmlformats.org/drawingml/2006/main">
              <a:srgbClr val="E69F00"/>
            </a:solidFill>
            <a:ln xmlns:a="http://schemas.openxmlformats.org/drawingml/2006/main">
              <a:solidFill>
                <a:srgbClr val="E69F00"/>
              </a:solidFill>
              <a:prstDash val="solid"/>
            </a:ln>
          </spPr>
          <cat>
            <numRef>
              <f>'RESUMEN'!$B$26:$B$33</f>
            </numRef>
          </cat>
          <val>
            <numRef>
              <f>'RESUMEN'!$D$26:$D$33</f>
            </numRef>
          </val>
        </ser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3E8ED"/>
              </a:solidFill>
              <a:prstDash val="solid"/>
            </a:ln>
          </spPr>
        </majorGridlines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84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ORMATO'!A1" TargetMode="External" Id="rId1"/><Relationship Type="http://schemas.openxmlformats.org/officeDocument/2006/relationships/hyperlink" Target="#'TASAS'!A1" TargetMode="External" Id="rId2"/><Relationship Type="http://schemas.openxmlformats.org/officeDocument/2006/relationships/hyperlink" Target="#'RESUMEN'!A1" TargetMode="External" Id="rId3"/><Relationship Type="http://schemas.openxmlformats.org/officeDocument/2006/relationships/hyperlink" Target="#'AYUDA'!A1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FORMATOS ADMINISTRATIVOS</t>
        </is>
      </c>
      <c r="C2" s="1" t="n"/>
      <c r="D2" s="1" t="n"/>
      <c r="E2" s="3" t="inlineStr">
        <is>
          <t>VERSIÓN 2.0  ·  MÉXICO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ACTIVOS FIJOS</t>
        </is>
      </c>
      <c r="G4" s="1" t="n"/>
    </row>
    <row r="5" ht="30" customHeight="1">
      <c r="A5" s="1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G16" s="4" t="n"/>
    </row>
    <row r="17" ht="36" customHeight="1">
      <c r="A17" s="4" t="n"/>
      <c r="B17" s="11" t="inlineStr">
        <is>
          <t>▸</t>
        </is>
      </c>
      <c r="C17" s="12" t="inlineStr">
        <is>
          <t>TASAS</t>
        </is>
      </c>
      <c r="D17" s="13" t="inlineStr">
        <is>
          <t>Tabla de tasas de depreciación de referencia; edítala según tu criterio contable.</t>
        </is>
      </c>
      <c r="G17" s="4" t="n"/>
    </row>
    <row r="18" ht="36" customHeight="1">
      <c r="A18" s="4" t="n"/>
      <c r="B18" s="11" t="inlineStr">
        <is>
          <t>▸</t>
        </is>
      </c>
      <c r="C18" s="12" t="inlineStr">
        <is>
          <t>RESUMEN</t>
        </is>
      </c>
      <c r="D18" s="13" t="inlineStr">
        <is>
          <t>Tablero con indicadores y gráficas que se actualizan automáticamente con tus datos.</t>
        </is>
      </c>
      <c r="G18" s="4" t="n"/>
    </row>
    <row r="19" ht="21" customHeight="1">
      <c r="A19" s="4" t="n"/>
      <c r="B19" s="11" t="inlineStr">
        <is>
          <t>▸</t>
        </is>
      </c>
      <c r="C19" s="14" t="inlineStr">
        <is>
          <t>AYUDA</t>
        </is>
      </c>
      <c r="D19" s="13" t="inlineStr">
        <is>
          <t>Preguntas frecuentes, glosario y lista de verificación para cerrar tu periodo.</t>
        </is>
      </c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 ht="24" customHeight="1">
      <c r="A21" s="4" t="n"/>
      <c r="B21" s="9" t="inlineStr">
        <is>
          <t>FICHA TÉCNICA</t>
        </is>
      </c>
      <c r="C21" s="10" t="n"/>
      <c r="D21" s="10" t="n"/>
      <c r="E21" s="10" t="n"/>
      <c r="F21" s="10" t="n"/>
      <c r="G21" s="4" t="n"/>
    </row>
    <row r="22" ht="21" customHeight="1">
      <c r="A22" s="4" t="n"/>
      <c r="B22" s="4" t="n"/>
      <c r="C22" s="15" t="inlineStr">
        <is>
          <t>Capacidad</t>
        </is>
      </c>
      <c r="D22" s="16" t="inlineStr">
        <is>
          <t>150 activos</t>
        </is>
      </c>
      <c r="E22" s="64" t="n"/>
      <c r="F22" s="64" t="n"/>
      <c r="G22" s="4" t="n"/>
    </row>
    <row r="23" ht="21" customHeight="1">
      <c r="A23" s="4" t="n"/>
      <c r="B23" s="4" t="n"/>
      <c r="C23" s="15" t="inlineStr">
        <is>
          <t>Compatibilidad</t>
        </is>
      </c>
      <c r="D23" s="16" t="inlineStr">
        <is>
          <t>Excel 2016, 2019, 2021 y Microsoft 365 (Windows y Mac)</t>
        </is>
      </c>
      <c r="E23" s="64" t="n"/>
      <c r="F23" s="64" t="n"/>
      <c r="G23" s="4" t="n"/>
    </row>
    <row r="24" ht="21" customHeight="1">
      <c r="A24" s="4" t="n"/>
      <c r="B24" s="4" t="n"/>
      <c r="C24" s="15" t="inlineStr">
        <is>
          <t>Idioma y moneda</t>
        </is>
      </c>
      <c r="D24" s="16" t="inlineStr">
        <is>
          <t>Español (México) · Pesos mexicanos (MXN) · IVA 16%</t>
        </is>
      </c>
      <c r="E24" s="64" t="n"/>
      <c r="F24" s="64" t="n"/>
      <c r="G24" s="4" t="n"/>
    </row>
    <row r="25" ht="21" customHeight="1">
      <c r="A25" s="4" t="n"/>
      <c r="B25" s="4" t="n"/>
      <c r="C25" s="15" t="inlineStr">
        <is>
          <t>Protección</t>
        </is>
      </c>
      <c r="D25" s="16" t="inlineStr">
        <is>
          <t>Hojas protegidas sin contraseña (Revisar &gt; Desproteger hoja)</t>
        </is>
      </c>
      <c r="E25" s="64" t="n"/>
      <c r="F25" s="64" t="n"/>
      <c r="G25" s="4" t="n"/>
    </row>
    <row r="26" ht="21" customHeight="1">
      <c r="A26" s="4" t="n"/>
      <c r="B26" s="4" t="n"/>
      <c r="C26" s="15" t="inlineStr">
        <is>
          <t>Fuente</t>
        </is>
      </c>
      <c r="D26" s="16" t="inlineStr">
        <is>
          <t>Arial (disponible en Windows, Mac y Google Sheets)</t>
        </is>
      </c>
      <c r="E26" s="64" t="n"/>
      <c r="F26" s="6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 ht="24" customHeight="1">
      <c r="A28" s="4" t="n"/>
      <c r="B28" s="9" t="inlineStr">
        <is>
          <t>CÓMO USARLO</t>
        </is>
      </c>
      <c r="C28" s="10" t="n"/>
      <c r="D28" s="10" t="n"/>
      <c r="E28" s="10" t="n"/>
      <c r="F28" s="10" t="n"/>
      <c r="G28" s="4" t="n"/>
    </row>
    <row r="29" ht="21" customHeight="1">
      <c r="A29" s="4" t="n"/>
      <c r="B29" s="18" t="n">
        <v>1</v>
      </c>
      <c r="C29" s="13" t="inlineStr">
        <is>
          <t>Registra cada activo con fecha de adquisición, costo (sin IVA) y categoría.</t>
        </is>
      </c>
      <c r="G29" s="4" t="n"/>
    </row>
    <row r="30" ht="36" customHeight="1">
      <c r="A30" s="4" t="n"/>
      <c r="B30" s="18" t="n">
        <v>2</v>
      </c>
      <c r="C30" s="13" t="inlineStr">
        <is>
          <t>La tasa se toma de la hoja 'Tasas' (referencia de porcentajes máximos de la LISR); edítala según tu criterio contable.</t>
        </is>
      </c>
      <c r="G30" s="4" t="n"/>
    </row>
    <row r="31" ht="21" customHeight="1">
      <c r="A31" s="4" t="n"/>
      <c r="B31" s="18" t="n">
        <v>3</v>
      </c>
      <c r="C31" s="13" t="inlineStr">
        <is>
          <t>Depreciación acumulada = depreciación anual x años en uso, sin exceder el costo.</t>
        </is>
      </c>
      <c r="G31" s="4" t="n"/>
    </row>
    <row r="32" ht="21" customHeight="1">
      <c r="A32" s="4" t="n"/>
      <c r="B32" s="18" t="n">
        <v>4</v>
      </c>
      <c r="C32" s="13" t="inlineStr">
        <is>
          <t>Es una herramienta de control administrativo; consulta a tu contador para efectos fiscales.</t>
        </is>
      </c>
      <c r="G32" s="4" t="n"/>
    </row>
    <row r="33" ht="36" customHeight="1">
      <c r="A33" s="4" t="n"/>
      <c r="B33" s="18" t="n">
        <v>5</v>
      </c>
      <c r="C33" s="13" t="inlineStr">
        <is>
          <t>Personaliza: inserta tu logotipo en el recuadro punteado de la esquina superior derecha (Insertar &gt; Imágenes) y captura los datos de tu empresa en las celdas de captura.</t>
        </is>
      </c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 ht="24" customHeight="1">
      <c r="A35" s="4" t="n"/>
      <c r="B35" s="9" t="inlineStr">
        <is>
          <t>RECOMENDACIONES DE USO</t>
        </is>
      </c>
      <c r="C35" s="10" t="n"/>
      <c r="D35" s="10" t="n"/>
      <c r="E35" s="10" t="n"/>
      <c r="F35" s="10" t="n"/>
      <c r="G35" s="4" t="n"/>
    </row>
    <row r="36" ht="21" customHeight="1">
      <c r="A36" s="4" t="n"/>
      <c r="B36" s="19" t="inlineStr">
        <is>
          <t>✓</t>
        </is>
      </c>
      <c r="C36" s="13" t="inlineStr">
        <is>
          <t>Etiqueta físicamente cada activo con su código.</t>
        </is>
      </c>
      <c r="G36" s="4" t="n"/>
    </row>
    <row r="37" ht="21" customHeight="1">
      <c r="A37" s="4" t="n"/>
      <c r="B37" s="19" t="inlineStr">
        <is>
          <t>✓</t>
        </is>
      </c>
      <c r="C37" s="13" t="inlineStr">
        <is>
          <t>Realiza inventario físico de activos al menos una vez al año.</t>
        </is>
      </c>
      <c r="G37" s="4" t="n"/>
    </row>
    <row r="38" ht="21" customHeight="1">
      <c r="A38" s="4" t="n"/>
      <c r="B38" s="19" t="inlineStr">
        <is>
          <t>✓</t>
        </is>
      </c>
      <c r="C38" s="13" t="inlineStr">
        <is>
          <t>Registra bajas y ventas con fecha y documento.</t>
        </is>
      </c>
      <c r="G38" s="4" t="n"/>
    </row>
    <row r="39" ht="21" customHeight="1">
      <c r="A39" s="4" t="n"/>
      <c r="B39" s="19" t="inlineStr">
        <is>
          <t>✓</t>
        </is>
      </c>
      <c r="C39" s="13" t="inlineStr">
        <is>
          <t>Las tasas de la hoja TASAS son una referencia; confirma con tu contador.</t>
        </is>
      </c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 ht="24" customHeight="1">
      <c r="A41" s="4" t="n"/>
      <c r="B41" s="9" t="inlineStr">
        <is>
          <t>LEYENDA DE COLORES</t>
        </is>
      </c>
      <c r="C41" s="10" t="n"/>
      <c r="D41" s="10" t="n"/>
      <c r="E41" s="10" t="n"/>
      <c r="F41" s="10" t="n"/>
      <c r="G41" s="4" t="n"/>
    </row>
    <row r="42">
      <c r="A42" s="4" t="n"/>
      <c r="B42" s="20" t="inlineStr"/>
      <c r="C42" s="21" t="inlineStr">
        <is>
          <t>CELDA DE CAPTURA: escribe aquí.</t>
        </is>
      </c>
      <c r="D42" s="4" t="n"/>
      <c r="E42" s="4" t="n"/>
      <c r="F42" s="4" t="n"/>
      <c r="G42" s="4" t="n"/>
    </row>
    <row r="43">
      <c r="A43" s="4" t="n"/>
      <c r="B43" s="22" t="inlineStr"/>
      <c r="C43" s="21" t="inlineStr">
        <is>
          <t>CÁLCULO AUTOMÁTICO: no la modifiques.</t>
        </is>
      </c>
      <c r="D43" s="4" t="n"/>
      <c r="E43" s="4" t="n"/>
      <c r="F43" s="4" t="n"/>
      <c r="G43" s="4" t="n"/>
    </row>
    <row r="44">
      <c r="A44" s="4" t="n"/>
      <c r="B44" s="23" t="inlineStr"/>
      <c r="C44" s="21" t="inlineStr">
        <is>
          <t>ENCABEZADOS Y TÍTULOS.</t>
        </is>
      </c>
      <c r="D44" s="4" t="n"/>
      <c r="E44" s="4" t="n"/>
      <c r="F44" s="4" t="n"/>
      <c r="G44" s="4" t="n"/>
    </row>
    <row r="45">
      <c r="A45" s="4" t="n"/>
      <c r="B45" s="24" t="inlineStr"/>
      <c r="C45" s="21" t="inlineStr">
        <is>
          <t>* CAMPO OBLIGATORIO: complétalo antes de imprimir o enviar.</t>
        </is>
      </c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 ht="26" customHeight="1">
      <c r="A47" s="1" t="n"/>
      <c r="B47" s="25" t="inlineStr">
        <is>
          <t>Formatos administrativos  ·  Para uso interno de tu empresa</t>
        </is>
      </c>
      <c r="G47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2">
    <mergeCell ref="C39:F39"/>
    <mergeCell ref="B47:F47"/>
    <mergeCell ref="C38:F38"/>
    <mergeCell ref="D17:F17"/>
    <mergeCell ref="C32:F32"/>
    <mergeCell ref="C37:F37"/>
    <mergeCell ref="D16:F16"/>
    <mergeCell ref="D18:F18"/>
    <mergeCell ref="C30:F30"/>
    <mergeCell ref="C33:F33"/>
    <mergeCell ref="D25:F25"/>
    <mergeCell ref="B4:F5"/>
    <mergeCell ref="D24:F24"/>
    <mergeCell ref="D23:F23"/>
    <mergeCell ref="E2:F2"/>
    <mergeCell ref="C29:F29"/>
    <mergeCell ref="D26:F26"/>
    <mergeCell ref="D19:F19"/>
    <mergeCell ref="C31:F31"/>
    <mergeCell ref="B6:F6"/>
    <mergeCell ref="D22:F22"/>
    <mergeCell ref="C36:F36"/>
  </mergeCells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L15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35" customWidth="1" min="1" max="1"/>
    <col width="12" customWidth="1" min="2" max="2"/>
    <col width="30" customWidth="1" min="3" max="3"/>
    <col width="18" customWidth="1" min="4" max="4"/>
    <col width="13" customWidth="1" min="5" max="5"/>
    <col width="18.1" customWidth="1" min="6" max="6"/>
    <col width="10" customWidth="1" min="7" max="7"/>
    <col width="14" customWidth="1" min="8" max="8"/>
    <col width="12" customWidth="1" min="9" max="9"/>
    <col width="15" customWidth="1" min="10" max="10"/>
    <col width="15" customWidth="1" min="11" max="11"/>
    <col width="16" customWidth="1" min="12" max="12"/>
  </cols>
  <sheetData>
    <row r="1" ht="44" customHeight="1">
      <c r="A1" s="26" t="inlineStr">
        <is>
          <t>CONTROL DE ACTIVOS FIJOS Y DEPRECIACIÓN</t>
        </is>
      </c>
      <c r="K1" s="65" t="inlineStr">
        <is>
          <t>INSERTE SU LOGO
(clic derecho &gt; Insertar imagen)</t>
        </is>
      </c>
      <c r="L1" s="66" t="n"/>
    </row>
    <row r="2" ht="26" customHeight="1">
      <c r="A2" s="67" t="inlineStr">
        <is>
          <t>Depreciación en línea recta con tasas máximas de la LISR como referencia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9" t="n"/>
      <c r="L2" s="70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33" t="inlineStr">
        <is>
          <t>EMPRESA *</t>
        </is>
      </c>
      <c r="B4" s="20" t="inlineStr">
        <is>
          <t>COMERCIALIZADORA EJEMPLO S.A. DE C.V.</t>
        </is>
      </c>
      <c r="C4" s="71" t="n"/>
      <c r="D4" s="72" t="n"/>
      <c r="E4" s="4" t="n"/>
      <c r="F4" s="33" t="inlineStr">
        <is>
          <t>FECHA DE CORTE</t>
        </is>
      </c>
      <c r="G4" s="34" t="n">
        <v>46302</v>
      </c>
      <c r="H4" s="72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36" customHeight="1">
      <c r="A6" s="35" t="inlineStr">
        <is>
          <t>NO.</t>
        </is>
      </c>
      <c r="B6" s="35" t="inlineStr">
        <is>
          <t>CÓDIGO</t>
        </is>
      </c>
      <c r="C6" s="35" t="inlineStr">
        <is>
          <t>DESCRIPCIÓN</t>
        </is>
      </c>
      <c r="D6" s="35" t="inlineStr">
        <is>
          <t>CATEGORÍA</t>
        </is>
      </c>
      <c r="E6" s="35" t="inlineStr">
        <is>
          <t>FECHA ADQUISICIÓN</t>
        </is>
      </c>
      <c r="F6" s="35" t="inlineStr">
        <is>
          <t>COSTO (MOI)</t>
        </is>
      </c>
      <c r="G6" s="35" t="inlineStr">
        <is>
          <t>TASA ANUAL</t>
        </is>
      </c>
      <c r="H6" s="35" t="inlineStr">
        <is>
          <t>DEP. ANUAL</t>
        </is>
      </c>
      <c r="I6" s="35" t="inlineStr">
        <is>
          <t>AÑOS EN USO</t>
        </is>
      </c>
      <c r="J6" s="35" t="inlineStr">
        <is>
          <t>DEP. ACUMULADA</t>
        </is>
      </c>
      <c r="K6" s="35" t="inlineStr">
        <is>
          <t>VALOR EN LIBROS</t>
        </is>
      </c>
      <c r="L6" s="35" t="inlineStr">
        <is>
          <t>UBICACIÓN / RESPONSABLE</t>
        </is>
      </c>
    </row>
    <row r="7" ht="20" customHeight="1">
      <c r="A7" s="36" t="n">
        <v>1</v>
      </c>
      <c r="B7" s="37" t="inlineStr">
        <is>
          <t>AF-001</t>
        </is>
      </c>
      <c r="C7" s="37" t="inlineStr">
        <is>
          <t>LAPTOP DELL LATITUDE 5440</t>
        </is>
      </c>
      <c r="D7" s="37" t="inlineStr">
        <is>
          <t>EQUIPO DE CÓMPUTO</t>
        </is>
      </c>
      <c r="E7" s="38" t="n">
        <v>45337</v>
      </c>
      <c r="F7" s="39" t="n">
        <v>28900</v>
      </c>
      <c r="G7" s="40">
        <f>IF(D7="","",IFERROR(VLOOKUP(D7,TASAS!$A$2:$B$10,2,FALSE),0))</f>
        <v/>
      </c>
      <c r="H7" s="41">
        <f>IF(F7="","",F7*G7)</f>
        <v/>
      </c>
      <c r="I7" s="42">
        <f>IF(E7="","",MAX(0,($G$4-E7)/365))</f>
        <v/>
      </c>
      <c r="J7" s="41">
        <f>IF(F7="","",MIN(F7,H7*I7))</f>
        <v/>
      </c>
      <c r="K7" s="41">
        <f>IF(F7="","",F7-J7)</f>
        <v/>
      </c>
      <c r="L7" s="37" t="inlineStr">
        <is>
          <t>ADMINISTRACIÓN</t>
        </is>
      </c>
    </row>
    <row r="8" ht="20" customHeight="1">
      <c r="A8" s="36" t="n">
        <v>2</v>
      </c>
      <c r="B8" s="37" t="inlineStr">
        <is>
          <t>AF-002</t>
        </is>
      </c>
      <c r="C8" s="37" t="inlineStr">
        <is>
          <t>ESCRITORIO EJECUTIVO</t>
        </is>
      </c>
      <c r="D8" s="37" t="inlineStr">
        <is>
          <t>MOBILIARIO Y EQUIPO DE OFICINA</t>
        </is>
      </c>
      <c r="E8" s="38" t="n">
        <v>44713</v>
      </c>
      <c r="F8" s="39" t="n">
        <v>4890</v>
      </c>
      <c r="G8" s="40">
        <f>IF(D8="","",IFERROR(VLOOKUP(D8,TASAS!$A$2:$B$10,2,FALSE),0))</f>
        <v/>
      </c>
      <c r="H8" s="41">
        <f>IF(F8="","",F8*G8)</f>
        <v/>
      </c>
      <c r="I8" s="42">
        <f>IF(E8="","",MAX(0,($G$4-E8)/365))</f>
        <v/>
      </c>
      <c r="J8" s="41">
        <f>IF(F8="","",MIN(F8,H8*I8))</f>
        <v/>
      </c>
      <c r="K8" s="41">
        <f>IF(F8="","",F8-J8)</f>
        <v/>
      </c>
      <c r="L8" s="37" t="inlineStr">
        <is>
          <t>DIRECCIÓN</t>
        </is>
      </c>
    </row>
    <row r="9" ht="20" customHeight="1">
      <c r="A9" s="36" t="n">
        <v>3</v>
      </c>
      <c r="B9" s="37" t="inlineStr">
        <is>
          <t>AF-003</t>
        </is>
      </c>
      <c r="C9" s="37" t="inlineStr">
        <is>
          <t>CAMIONETA NISSAN NP300</t>
        </is>
      </c>
      <c r="D9" s="37" t="inlineStr">
        <is>
          <t>AUTOMÓVILES</t>
        </is>
      </c>
      <c r="E9" s="38" t="n">
        <v>44936</v>
      </c>
      <c r="F9" s="39" t="n">
        <v>389000</v>
      </c>
      <c r="G9" s="40">
        <f>IF(D9="","",IFERROR(VLOOKUP(D9,TASAS!$A$2:$B$10,2,FALSE),0))</f>
        <v/>
      </c>
      <c r="H9" s="41">
        <f>IF(F9="","",F9*G9)</f>
        <v/>
      </c>
      <c r="I9" s="42">
        <f>IF(E9="","",MAX(0,($G$4-E9)/365))</f>
        <v/>
      </c>
      <c r="J9" s="41">
        <f>IF(F9="","",MIN(F9,H9*I9))</f>
        <v/>
      </c>
      <c r="K9" s="41">
        <f>IF(F9="","",F9-J9)</f>
        <v/>
      </c>
      <c r="L9" s="37" t="inlineStr">
        <is>
          <t>REPARTO</t>
        </is>
      </c>
    </row>
    <row r="10" ht="20" customHeight="1">
      <c r="A10" s="36" t="n">
        <v>4</v>
      </c>
      <c r="B10" s="37" t="inlineStr">
        <is>
          <t>AF-004</t>
        </is>
      </c>
      <c r="C10" s="37" t="inlineStr">
        <is>
          <t>IMPRESORA MULTIFUNCIONAL</t>
        </is>
      </c>
      <c r="D10" s="37" t="inlineStr">
        <is>
          <t>EQUIPO DE CÓMPUTO</t>
        </is>
      </c>
      <c r="E10" s="38" t="n">
        <v>45736</v>
      </c>
      <c r="F10" s="39" t="n">
        <v>12800</v>
      </c>
      <c r="G10" s="40">
        <f>IF(D10="","",IFERROR(VLOOKUP(D10,TASAS!$A$2:$B$10,2,FALSE),0))</f>
        <v/>
      </c>
      <c r="H10" s="41">
        <f>IF(F10="","",F10*G10)</f>
        <v/>
      </c>
      <c r="I10" s="42">
        <f>IF(E10="","",MAX(0,($G$4-E10)/365))</f>
        <v/>
      </c>
      <c r="J10" s="41">
        <f>IF(F10="","",MIN(F10,H10*I10))</f>
        <v/>
      </c>
      <c r="K10" s="41">
        <f>IF(F10="","",F10-J10)</f>
        <v/>
      </c>
      <c r="L10" s="37" t="inlineStr">
        <is>
          <t>RECEPCIÓN</t>
        </is>
      </c>
    </row>
    <row r="11" ht="20" customHeight="1">
      <c r="A11" s="36" t="n">
        <v>5</v>
      </c>
      <c r="B11" s="37" t="inlineStr">
        <is>
          <t>AF-005</t>
        </is>
      </c>
      <c r="C11" s="37" t="inlineStr">
        <is>
          <t>AIRE ACONDICIONADO 2 TON</t>
        </is>
      </c>
      <c r="D11" s="37" t="inlineStr">
        <is>
          <t>MAQUINARIA Y EQUIPO</t>
        </is>
      </c>
      <c r="E11" s="38" t="n">
        <v>44328</v>
      </c>
      <c r="F11" s="39" t="n">
        <v>21500</v>
      </c>
      <c r="G11" s="40">
        <f>IF(D11="","",IFERROR(VLOOKUP(D11,TASAS!$A$2:$B$10,2,FALSE),0))</f>
        <v/>
      </c>
      <c r="H11" s="41">
        <f>IF(F11="","",F11*G11)</f>
        <v/>
      </c>
      <c r="I11" s="42">
        <f>IF(E11="","",MAX(0,($G$4-E11)/365))</f>
        <v/>
      </c>
      <c r="J11" s="41">
        <f>IF(F11="","",MIN(F11,H11*I11))</f>
        <v/>
      </c>
      <c r="K11" s="41">
        <f>IF(F11="","",F11-J11)</f>
        <v/>
      </c>
      <c r="L11" s="37" t="inlineStr">
        <is>
          <t>SALA DE JUNTAS</t>
        </is>
      </c>
    </row>
    <row r="12" ht="20" customHeight="1">
      <c r="A12" s="36" t="n">
        <v>6</v>
      </c>
      <c r="B12" s="37" t="n"/>
      <c r="C12" s="37" t="n"/>
      <c r="D12" s="37" t="n"/>
      <c r="E12" s="38" t="n"/>
      <c r="F12" s="39" t="n"/>
      <c r="G12" s="40">
        <f>IF(D12="","",IFERROR(VLOOKUP(D12,TASAS!$A$2:$B$10,2,FALSE),0))</f>
        <v/>
      </c>
      <c r="H12" s="41">
        <f>IF(F12="","",F12*G12)</f>
        <v/>
      </c>
      <c r="I12" s="42">
        <f>IF(E12="","",MAX(0,($G$4-E12)/365))</f>
        <v/>
      </c>
      <c r="J12" s="41">
        <f>IF(F12="","",MIN(F12,H12*I12))</f>
        <v/>
      </c>
      <c r="K12" s="41">
        <f>IF(F12="","",F12-J12)</f>
        <v/>
      </c>
      <c r="L12" s="37" t="n"/>
    </row>
    <row r="13" ht="20" customHeight="1">
      <c r="A13" s="36" t="n">
        <v>7</v>
      </c>
      <c r="B13" s="37" t="n"/>
      <c r="C13" s="37" t="n"/>
      <c r="D13" s="37" t="n"/>
      <c r="E13" s="38" t="n"/>
      <c r="F13" s="39" t="n"/>
      <c r="G13" s="40">
        <f>IF(D13="","",IFERROR(VLOOKUP(D13,TASAS!$A$2:$B$10,2,FALSE),0))</f>
        <v/>
      </c>
      <c r="H13" s="41">
        <f>IF(F13="","",F13*G13)</f>
        <v/>
      </c>
      <c r="I13" s="42">
        <f>IF(E13="","",MAX(0,($G$4-E13)/365))</f>
        <v/>
      </c>
      <c r="J13" s="41">
        <f>IF(F13="","",MIN(F13,H13*I13))</f>
        <v/>
      </c>
      <c r="K13" s="41">
        <f>IF(F13="","",F13-J13)</f>
        <v/>
      </c>
      <c r="L13" s="37" t="n"/>
    </row>
    <row r="14" ht="20" customHeight="1">
      <c r="A14" s="36" t="n">
        <v>8</v>
      </c>
      <c r="B14" s="37" t="n"/>
      <c r="C14" s="37" t="n"/>
      <c r="D14" s="37" t="n"/>
      <c r="E14" s="38" t="n"/>
      <c r="F14" s="39" t="n"/>
      <c r="G14" s="40">
        <f>IF(D14="","",IFERROR(VLOOKUP(D14,TASAS!$A$2:$B$10,2,FALSE),0))</f>
        <v/>
      </c>
      <c r="H14" s="41">
        <f>IF(F14="","",F14*G14)</f>
        <v/>
      </c>
      <c r="I14" s="42">
        <f>IF(E14="","",MAX(0,($G$4-E14)/365))</f>
        <v/>
      </c>
      <c r="J14" s="41">
        <f>IF(F14="","",MIN(F14,H14*I14))</f>
        <v/>
      </c>
      <c r="K14" s="41">
        <f>IF(F14="","",F14-J14)</f>
        <v/>
      </c>
      <c r="L14" s="37" t="n"/>
    </row>
    <row r="15" ht="20" customHeight="1">
      <c r="A15" s="36" t="n">
        <v>9</v>
      </c>
      <c r="B15" s="37" t="n"/>
      <c r="C15" s="37" t="n"/>
      <c r="D15" s="37" t="n"/>
      <c r="E15" s="38" t="n"/>
      <c r="F15" s="39" t="n"/>
      <c r="G15" s="40">
        <f>IF(D15="","",IFERROR(VLOOKUP(D15,TASAS!$A$2:$B$10,2,FALSE),0))</f>
        <v/>
      </c>
      <c r="H15" s="41">
        <f>IF(F15="","",F15*G15)</f>
        <v/>
      </c>
      <c r="I15" s="42">
        <f>IF(E15="","",MAX(0,($G$4-E15)/365))</f>
        <v/>
      </c>
      <c r="J15" s="41">
        <f>IF(F15="","",MIN(F15,H15*I15))</f>
        <v/>
      </c>
      <c r="K15" s="41">
        <f>IF(F15="","",F15-J15)</f>
        <v/>
      </c>
      <c r="L15" s="37" t="n"/>
    </row>
    <row r="16" ht="20" customHeight="1">
      <c r="A16" s="36" t="n">
        <v>10</v>
      </c>
      <c r="B16" s="37" t="n"/>
      <c r="C16" s="37" t="n"/>
      <c r="D16" s="37" t="n"/>
      <c r="E16" s="38" t="n"/>
      <c r="F16" s="39" t="n"/>
      <c r="G16" s="40">
        <f>IF(D16="","",IFERROR(VLOOKUP(D16,TASAS!$A$2:$B$10,2,FALSE),0))</f>
        <v/>
      </c>
      <c r="H16" s="41">
        <f>IF(F16="","",F16*G16)</f>
        <v/>
      </c>
      <c r="I16" s="42">
        <f>IF(E16="","",MAX(0,($G$4-E16)/365))</f>
        <v/>
      </c>
      <c r="J16" s="41">
        <f>IF(F16="","",MIN(F16,H16*I16))</f>
        <v/>
      </c>
      <c r="K16" s="41">
        <f>IF(F16="","",F16-J16)</f>
        <v/>
      </c>
      <c r="L16" s="37" t="n"/>
    </row>
    <row r="17" ht="20" customHeight="1">
      <c r="A17" s="36" t="n">
        <v>11</v>
      </c>
      <c r="B17" s="37" t="n"/>
      <c r="C17" s="37" t="n"/>
      <c r="D17" s="37" t="n"/>
      <c r="E17" s="38" t="n"/>
      <c r="F17" s="39" t="n"/>
      <c r="G17" s="40">
        <f>IF(D17="","",IFERROR(VLOOKUP(D17,TASAS!$A$2:$B$10,2,FALSE),0))</f>
        <v/>
      </c>
      <c r="H17" s="41">
        <f>IF(F17="","",F17*G17)</f>
        <v/>
      </c>
      <c r="I17" s="42">
        <f>IF(E17="","",MAX(0,($G$4-E17)/365))</f>
        <v/>
      </c>
      <c r="J17" s="41">
        <f>IF(F17="","",MIN(F17,H17*I17))</f>
        <v/>
      </c>
      <c r="K17" s="41">
        <f>IF(F17="","",F17-J17)</f>
        <v/>
      </c>
      <c r="L17" s="37" t="n"/>
    </row>
    <row r="18" ht="20" customHeight="1">
      <c r="A18" s="36" t="n">
        <v>12</v>
      </c>
      <c r="B18" s="37" t="n"/>
      <c r="C18" s="37" t="n"/>
      <c r="D18" s="37" t="n"/>
      <c r="E18" s="38" t="n"/>
      <c r="F18" s="39" t="n"/>
      <c r="G18" s="40">
        <f>IF(D18="","",IFERROR(VLOOKUP(D18,TASAS!$A$2:$B$10,2,FALSE),0))</f>
        <v/>
      </c>
      <c r="H18" s="41">
        <f>IF(F18="","",F18*G18)</f>
        <v/>
      </c>
      <c r="I18" s="42">
        <f>IF(E18="","",MAX(0,($G$4-E18)/365))</f>
        <v/>
      </c>
      <c r="J18" s="41">
        <f>IF(F18="","",MIN(F18,H18*I18))</f>
        <v/>
      </c>
      <c r="K18" s="41">
        <f>IF(F18="","",F18-J18)</f>
        <v/>
      </c>
      <c r="L18" s="37" t="n"/>
    </row>
    <row r="19" ht="20" customHeight="1">
      <c r="A19" s="36" t="n">
        <v>13</v>
      </c>
      <c r="B19" s="37" t="n"/>
      <c r="C19" s="37" t="n"/>
      <c r="D19" s="37" t="n"/>
      <c r="E19" s="38" t="n"/>
      <c r="F19" s="39" t="n"/>
      <c r="G19" s="40">
        <f>IF(D19="","",IFERROR(VLOOKUP(D19,TASAS!$A$2:$B$10,2,FALSE),0))</f>
        <v/>
      </c>
      <c r="H19" s="41">
        <f>IF(F19="","",F19*G19)</f>
        <v/>
      </c>
      <c r="I19" s="42">
        <f>IF(E19="","",MAX(0,($G$4-E19)/365))</f>
        <v/>
      </c>
      <c r="J19" s="41">
        <f>IF(F19="","",MIN(F19,H19*I19))</f>
        <v/>
      </c>
      <c r="K19" s="41">
        <f>IF(F19="","",F19-J19)</f>
        <v/>
      </c>
      <c r="L19" s="37" t="n"/>
    </row>
    <row r="20" ht="20" customHeight="1">
      <c r="A20" s="36" t="n">
        <v>14</v>
      </c>
      <c r="B20" s="37" t="n"/>
      <c r="C20" s="37" t="n"/>
      <c r="D20" s="37" t="n"/>
      <c r="E20" s="38" t="n"/>
      <c r="F20" s="39" t="n"/>
      <c r="G20" s="40">
        <f>IF(D20="","",IFERROR(VLOOKUP(D20,TASAS!$A$2:$B$10,2,FALSE),0))</f>
        <v/>
      </c>
      <c r="H20" s="41">
        <f>IF(F20="","",F20*G20)</f>
        <v/>
      </c>
      <c r="I20" s="42">
        <f>IF(E20="","",MAX(0,($G$4-E20)/365))</f>
        <v/>
      </c>
      <c r="J20" s="41">
        <f>IF(F20="","",MIN(F20,H20*I20))</f>
        <v/>
      </c>
      <c r="K20" s="41">
        <f>IF(F20="","",F20-J20)</f>
        <v/>
      </c>
      <c r="L20" s="37" t="n"/>
    </row>
    <row r="21" ht="20" customHeight="1">
      <c r="A21" s="36" t="n">
        <v>15</v>
      </c>
      <c r="B21" s="37" t="n"/>
      <c r="C21" s="37" t="n"/>
      <c r="D21" s="37" t="n"/>
      <c r="E21" s="38" t="n"/>
      <c r="F21" s="39" t="n"/>
      <c r="G21" s="40">
        <f>IF(D21="","",IFERROR(VLOOKUP(D21,TASAS!$A$2:$B$10,2,FALSE),0))</f>
        <v/>
      </c>
      <c r="H21" s="41">
        <f>IF(F21="","",F21*G21)</f>
        <v/>
      </c>
      <c r="I21" s="42">
        <f>IF(E21="","",MAX(0,($G$4-E21)/365))</f>
        <v/>
      </c>
      <c r="J21" s="41">
        <f>IF(F21="","",MIN(F21,H21*I21))</f>
        <v/>
      </c>
      <c r="K21" s="41">
        <f>IF(F21="","",F21-J21)</f>
        <v/>
      </c>
      <c r="L21" s="37" t="n"/>
    </row>
    <row r="22" ht="20" customHeight="1">
      <c r="A22" s="36" t="n">
        <v>16</v>
      </c>
      <c r="B22" s="37" t="n"/>
      <c r="C22" s="37" t="n"/>
      <c r="D22" s="37" t="n"/>
      <c r="E22" s="38" t="n"/>
      <c r="F22" s="39" t="n"/>
      <c r="G22" s="40">
        <f>IF(D22="","",IFERROR(VLOOKUP(D22,TASAS!$A$2:$B$10,2,FALSE),0))</f>
        <v/>
      </c>
      <c r="H22" s="41">
        <f>IF(F22="","",F22*G22)</f>
        <v/>
      </c>
      <c r="I22" s="42">
        <f>IF(E22="","",MAX(0,($G$4-E22)/365))</f>
        <v/>
      </c>
      <c r="J22" s="41">
        <f>IF(F22="","",MIN(F22,H22*I22))</f>
        <v/>
      </c>
      <c r="K22" s="41">
        <f>IF(F22="","",F22-J22)</f>
        <v/>
      </c>
      <c r="L22" s="37" t="n"/>
    </row>
    <row r="23" ht="20" customHeight="1">
      <c r="A23" s="36" t="n">
        <v>17</v>
      </c>
      <c r="B23" s="37" t="n"/>
      <c r="C23" s="37" t="n"/>
      <c r="D23" s="37" t="n"/>
      <c r="E23" s="38" t="n"/>
      <c r="F23" s="39" t="n"/>
      <c r="G23" s="40">
        <f>IF(D23="","",IFERROR(VLOOKUP(D23,TASAS!$A$2:$B$10,2,FALSE),0))</f>
        <v/>
      </c>
      <c r="H23" s="41">
        <f>IF(F23="","",F23*G23)</f>
        <v/>
      </c>
      <c r="I23" s="42">
        <f>IF(E23="","",MAX(0,($G$4-E23)/365))</f>
        <v/>
      </c>
      <c r="J23" s="41">
        <f>IF(F23="","",MIN(F23,H23*I23))</f>
        <v/>
      </c>
      <c r="K23" s="41">
        <f>IF(F23="","",F23-J23)</f>
        <v/>
      </c>
      <c r="L23" s="37" t="n"/>
    </row>
    <row r="24" ht="20" customHeight="1">
      <c r="A24" s="36" t="n">
        <v>18</v>
      </c>
      <c r="B24" s="37" t="n"/>
      <c r="C24" s="37" t="n"/>
      <c r="D24" s="37" t="n"/>
      <c r="E24" s="38" t="n"/>
      <c r="F24" s="39" t="n"/>
      <c r="G24" s="40">
        <f>IF(D24="","",IFERROR(VLOOKUP(D24,TASAS!$A$2:$B$10,2,FALSE),0))</f>
        <v/>
      </c>
      <c r="H24" s="41">
        <f>IF(F24="","",F24*G24)</f>
        <v/>
      </c>
      <c r="I24" s="42">
        <f>IF(E24="","",MAX(0,($G$4-E24)/365))</f>
        <v/>
      </c>
      <c r="J24" s="41">
        <f>IF(F24="","",MIN(F24,H24*I24))</f>
        <v/>
      </c>
      <c r="K24" s="41">
        <f>IF(F24="","",F24-J24)</f>
        <v/>
      </c>
      <c r="L24" s="37" t="n"/>
    </row>
    <row r="25" ht="20" customHeight="1">
      <c r="A25" s="36" t="n">
        <v>19</v>
      </c>
      <c r="B25" s="37" t="n"/>
      <c r="C25" s="37" t="n"/>
      <c r="D25" s="37" t="n"/>
      <c r="E25" s="38" t="n"/>
      <c r="F25" s="39" t="n"/>
      <c r="G25" s="40">
        <f>IF(D25="","",IFERROR(VLOOKUP(D25,TASAS!$A$2:$B$10,2,FALSE),0))</f>
        <v/>
      </c>
      <c r="H25" s="41">
        <f>IF(F25="","",F25*G25)</f>
        <v/>
      </c>
      <c r="I25" s="42">
        <f>IF(E25="","",MAX(0,($G$4-E25)/365))</f>
        <v/>
      </c>
      <c r="J25" s="41">
        <f>IF(F25="","",MIN(F25,H25*I25))</f>
        <v/>
      </c>
      <c r="K25" s="41">
        <f>IF(F25="","",F25-J25)</f>
        <v/>
      </c>
      <c r="L25" s="37" t="n"/>
    </row>
    <row r="26" ht="20" customHeight="1">
      <c r="A26" s="36" t="n">
        <v>20</v>
      </c>
      <c r="B26" s="37" t="n"/>
      <c r="C26" s="37" t="n"/>
      <c r="D26" s="37" t="n"/>
      <c r="E26" s="38" t="n"/>
      <c r="F26" s="39" t="n"/>
      <c r="G26" s="40">
        <f>IF(D26="","",IFERROR(VLOOKUP(D26,TASAS!$A$2:$B$10,2,FALSE),0))</f>
        <v/>
      </c>
      <c r="H26" s="41">
        <f>IF(F26="","",F26*G26)</f>
        <v/>
      </c>
      <c r="I26" s="42">
        <f>IF(E26="","",MAX(0,($G$4-E26)/365))</f>
        <v/>
      </c>
      <c r="J26" s="41">
        <f>IF(F26="","",MIN(F26,H26*I26))</f>
        <v/>
      </c>
      <c r="K26" s="41">
        <f>IF(F26="","",F26-J26)</f>
        <v/>
      </c>
      <c r="L26" s="37" t="n"/>
    </row>
    <row r="27" ht="20" customHeight="1">
      <c r="A27" s="36" t="n">
        <v>21</v>
      </c>
      <c r="B27" s="37" t="n"/>
      <c r="C27" s="37" t="n"/>
      <c r="D27" s="37" t="n"/>
      <c r="E27" s="38" t="n"/>
      <c r="F27" s="39" t="n"/>
      <c r="G27" s="40">
        <f>IF(D27="","",IFERROR(VLOOKUP(D27,TASAS!$A$2:$B$10,2,FALSE),0))</f>
        <v/>
      </c>
      <c r="H27" s="41">
        <f>IF(F27="","",F27*G27)</f>
        <v/>
      </c>
      <c r="I27" s="42">
        <f>IF(E27="","",MAX(0,($G$4-E27)/365))</f>
        <v/>
      </c>
      <c r="J27" s="41">
        <f>IF(F27="","",MIN(F27,H27*I27))</f>
        <v/>
      </c>
      <c r="K27" s="41">
        <f>IF(F27="","",F27-J27)</f>
        <v/>
      </c>
      <c r="L27" s="37" t="n"/>
    </row>
    <row r="28" ht="20" customHeight="1">
      <c r="A28" s="36" t="n">
        <v>22</v>
      </c>
      <c r="B28" s="37" t="n"/>
      <c r="C28" s="37" t="n"/>
      <c r="D28" s="37" t="n"/>
      <c r="E28" s="38" t="n"/>
      <c r="F28" s="39" t="n"/>
      <c r="G28" s="40">
        <f>IF(D28="","",IFERROR(VLOOKUP(D28,TASAS!$A$2:$B$10,2,FALSE),0))</f>
        <v/>
      </c>
      <c r="H28" s="41">
        <f>IF(F28="","",F28*G28)</f>
        <v/>
      </c>
      <c r="I28" s="42">
        <f>IF(E28="","",MAX(0,($G$4-E28)/365))</f>
        <v/>
      </c>
      <c r="J28" s="41">
        <f>IF(F28="","",MIN(F28,H28*I28))</f>
        <v/>
      </c>
      <c r="K28" s="41">
        <f>IF(F28="","",F28-J28)</f>
        <v/>
      </c>
      <c r="L28" s="37" t="n"/>
    </row>
    <row r="29" ht="20" customHeight="1">
      <c r="A29" s="36" t="n">
        <v>23</v>
      </c>
      <c r="B29" s="37" t="n"/>
      <c r="C29" s="37" t="n"/>
      <c r="D29" s="37" t="n"/>
      <c r="E29" s="38" t="n"/>
      <c r="F29" s="39" t="n"/>
      <c r="G29" s="40">
        <f>IF(D29="","",IFERROR(VLOOKUP(D29,TASAS!$A$2:$B$10,2,FALSE),0))</f>
        <v/>
      </c>
      <c r="H29" s="41">
        <f>IF(F29="","",F29*G29)</f>
        <v/>
      </c>
      <c r="I29" s="42">
        <f>IF(E29="","",MAX(0,($G$4-E29)/365))</f>
        <v/>
      </c>
      <c r="J29" s="41">
        <f>IF(F29="","",MIN(F29,H29*I29))</f>
        <v/>
      </c>
      <c r="K29" s="41">
        <f>IF(F29="","",F29-J29)</f>
        <v/>
      </c>
      <c r="L29" s="37" t="n"/>
    </row>
    <row r="30" ht="20" customHeight="1">
      <c r="A30" s="36" t="n">
        <v>24</v>
      </c>
      <c r="B30" s="37" t="n"/>
      <c r="C30" s="37" t="n"/>
      <c r="D30" s="37" t="n"/>
      <c r="E30" s="38" t="n"/>
      <c r="F30" s="39" t="n"/>
      <c r="G30" s="40">
        <f>IF(D30="","",IFERROR(VLOOKUP(D30,TASAS!$A$2:$B$10,2,FALSE),0))</f>
        <v/>
      </c>
      <c r="H30" s="41">
        <f>IF(F30="","",F30*G30)</f>
        <v/>
      </c>
      <c r="I30" s="42">
        <f>IF(E30="","",MAX(0,($G$4-E30)/365))</f>
        <v/>
      </c>
      <c r="J30" s="41">
        <f>IF(F30="","",MIN(F30,H30*I30))</f>
        <v/>
      </c>
      <c r="K30" s="41">
        <f>IF(F30="","",F30-J30)</f>
        <v/>
      </c>
      <c r="L30" s="37" t="n"/>
    </row>
    <row r="31" ht="20" customHeight="1">
      <c r="A31" s="36" t="n">
        <v>25</v>
      </c>
      <c r="B31" s="37" t="n"/>
      <c r="C31" s="37" t="n"/>
      <c r="D31" s="37" t="n"/>
      <c r="E31" s="38" t="n"/>
      <c r="F31" s="39" t="n"/>
      <c r="G31" s="40">
        <f>IF(D31="","",IFERROR(VLOOKUP(D31,TASAS!$A$2:$B$10,2,FALSE),0))</f>
        <v/>
      </c>
      <c r="H31" s="41">
        <f>IF(F31="","",F31*G31)</f>
        <v/>
      </c>
      <c r="I31" s="42">
        <f>IF(E31="","",MAX(0,($G$4-E31)/365))</f>
        <v/>
      </c>
      <c r="J31" s="41">
        <f>IF(F31="","",MIN(F31,H31*I31))</f>
        <v/>
      </c>
      <c r="K31" s="41">
        <f>IF(F31="","",F31-J31)</f>
        <v/>
      </c>
      <c r="L31" s="37" t="n"/>
    </row>
    <row r="32" ht="20" customHeight="1">
      <c r="A32" s="36" t="n">
        <v>26</v>
      </c>
      <c r="B32" s="37" t="n"/>
      <c r="C32" s="37" t="n"/>
      <c r="D32" s="37" t="n"/>
      <c r="E32" s="38" t="n"/>
      <c r="F32" s="39" t="n"/>
      <c r="G32" s="40">
        <f>IF(D32="","",IFERROR(VLOOKUP(D32,TASAS!$A$2:$B$10,2,FALSE),0))</f>
        <v/>
      </c>
      <c r="H32" s="41">
        <f>IF(F32="","",F32*G32)</f>
        <v/>
      </c>
      <c r="I32" s="42">
        <f>IF(E32="","",MAX(0,($G$4-E32)/365))</f>
        <v/>
      </c>
      <c r="J32" s="41">
        <f>IF(F32="","",MIN(F32,H32*I32))</f>
        <v/>
      </c>
      <c r="K32" s="41">
        <f>IF(F32="","",F32-J32)</f>
        <v/>
      </c>
      <c r="L32" s="37" t="n"/>
    </row>
    <row r="33" ht="20" customHeight="1">
      <c r="A33" s="36" t="n">
        <v>27</v>
      </c>
      <c r="B33" s="37" t="n"/>
      <c r="C33" s="37" t="n"/>
      <c r="D33" s="37" t="n"/>
      <c r="E33" s="38" t="n"/>
      <c r="F33" s="39" t="n"/>
      <c r="G33" s="40">
        <f>IF(D33="","",IFERROR(VLOOKUP(D33,TASAS!$A$2:$B$10,2,FALSE),0))</f>
        <v/>
      </c>
      <c r="H33" s="41">
        <f>IF(F33="","",F33*G33)</f>
        <v/>
      </c>
      <c r="I33" s="42">
        <f>IF(E33="","",MAX(0,($G$4-E33)/365))</f>
        <v/>
      </c>
      <c r="J33" s="41">
        <f>IF(F33="","",MIN(F33,H33*I33))</f>
        <v/>
      </c>
      <c r="K33" s="41">
        <f>IF(F33="","",F33-J33)</f>
        <v/>
      </c>
      <c r="L33" s="37" t="n"/>
    </row>
    <row r="34" ht="20" customHeight="1">
      <c r="A34" s="36" t="n">
        <v>28</v>
      </c>
      <c r="B34" s="37" t="n"/>
      <c r="C34" s="37" t="n"/>
      <c r="D34" s="37" t="n"/>
      <c r="E34" s="38" t="n"/>
      <c r="F34" s="39" t="n"/>
      <c r="G34" s="40">
        <f>IF(D34="","",IFERROR(VLOOKUP(D34,TASAS!$A$2:$B$10,2,FALSE),0))</f>
        <v/>
      </c>
      <c r="H34" s="41">
        <f>IF(F34="","",F34*G34)</f>
        <v/>
      </c>
      <c r="I34" s="42">
        <f>IF(E34="","",MAX(0,($G$4-E34)/365))</f>
        <v/>
      </c>
      <c r="J34" s="41">
        <f>IF(F34="","",MIN(F34,H34*I34))</f>
        <v/>
      </c>
      <c r="K34" s="41">
        <f>IF(F34="","",F34-J34)</f>
        <v/>
      </c>
      <c r="L34" s="37" t="n"/>
    </row>
    <row r="35" ht="20" customHeight="1">
      <c r="A35" s="36" t="n">
        <v>29</v>
      </c>
      <c r="B35" s="37" t="n"/>
      <c r="C35" s="37" t="n"/>
      <c r="D35" s="37" t="n"/>
      <c r="E35" s="38" t="n"/>
      <c r="F35" s="39" t="n"/>
      <c r="G35" s="40">
        <f>IF(D35="","",IFERROR(VLOOKUP(D35,TASAS!$A$2:$B$10,2,FALSE),0))</f>
        <v/>
      </c>
      <c r="H35" s="41">
        <f>IF(F35="","",F35*G35)</f>
        <v/>
      </c>
      <c r="I35" s="42">
        <f>IF(E35="","",MAX(0,($G$4-E35)/365))</f>
        <v/>
      </c>
      <c r="J35" s="41">
        <f>IF(F35="","",MIN(F35,H35*I35))</f>
        <v/>
      </c>
      <c r="K35" s="41">
        <f>IF(F35="","",F35-J35)</f>
        <v/>
      </c>
      <c r="L35" s="37" t="n"/>
    </row>
    <row r="36" ht="20" customHeight="1">
      <c r="A36" s="36" t="n">
        <v>30</v>
      </c>
      <c r="B36" s="37" t="n"/>
      <c r="C36" s="37" t="n"/>
      <c r="D36" s="37" t="n"/>
      <c r="E36" s="38" t="n"/>
      <c r="F36" s="39" t="n"/>
      <c r="G36" s="40">
        <f>IF(D36="","",IFERROR(VLOOKUP(D36,TASAS!$A$2:$B$10,2,FALSE),0))</f>
        <v/>
      </c>
      <c r="H36" s="41">
        <f>IF(F36="","",F36*G36)</f>
        <v/>
      </c>
      <c r="I36" s="42">
        <f>IF(E36="","",MAX(0,($G$4-E36)/365))</f>
        <v/>
      </c>
      <c r="J36" s="41">
        <f>IF(F36="","",MIN(F36,H36*I36))</f>
        <v/>
      </c>
      <c r="K36" s="41">
        <f>IF(F36="","",F36-J36)</f>
        <v/>
      </c>
      <c r="L36" s="37" t="n"/>
    </row>
    <row r="37" ht="20" customHeight="1">
      <c r="A37" s="36" t="n">
        <v>31</v>
      </c>
      <c r="B37" s="37" t="n"/>
      <c r="C37" s="37" t="n"/>
      <c r="D37" s="37" t="n"/>
      <c r="E37" s="38" t="n"/>
      <c r="F37" s="39" t="n"/>
      <c r="G37" s="40">
        <f>IF(D37="","",IFERROR(VLOOKUP(D37,TASAS!$A$2:$B$10,2,FALSE),0))</f>
        <v/>
      </c>
      <c r="H37" s="41">
        <f>IF(F37="","",F37*G37)</f>
        <v/>
      </c>
      <c r="I37" s="42">
        <f>IF(E37="","",MAX(0,($G$4-E37)/365))</f>
        <v/>
      </c>
      <c r="J37" s="41">
        <f>IF(F37="","",MIN(F37,H37*I37))</f>
        <v/>
      </c>
      <c r="K37" s="41">
        <f>IF(F37="","",F37-J37)</f>
        <v/>
      </c>
      <c r="L37" s="37" t="n"/>
    </row>
    <row r="38" ht="20" customHeight="1">
      <c r="A38" s="36" t="n">
        <v>32</v>
      </c>
      <c r="B38" s="37" t="n"/>
      <c r="C38" s="37" t="n"/>
      <c r="D38" s="37" t="n"/>
      <c r="E38" s="38" t="n"/>
      <c r="F38" s="39" t="n"/>
      <c r="G38" s="40">
        <f>IF(D38="","",IFERROR(VLOOKUP(D38,TASAS!$A$2:$B$10,2,FALSE),0))</f>
        <v/>
      </c>
      <c r="H38" s="41">
        <f>IF(F38="","",F38*G38)</f>
        <v/>
      </c>
      <c r="I38" s="42">
        <f>IF(E38="","",MAX(0,($G$4-E38)/365))</f>
        <v/>
      </c>
      <c r="J38" s="41">
        <f>IF(F38="","",MIN(F38,H38*I38))</f>
        <v/>
      </c>
      <c r="K38" s="41">
        <f>IF(F38="","",F38-J38)</f>
        <v/>
      </c>
      <c r="L38" s="37" t="n"/>
    </row>
    <row r="39" ht="20" customHeight="1">
      <c r="A39" s="36" t="n">
        <v>33</v>
      </c>
      <c r="B39" s="37" t="n"/>
      <c r="C39" s="37" t="n"/>
      <c r="D39" s="37" t="n"/>
      <c r="E39" s="38" t="n"/>
      <c r="F39" s="39" t="n"/>
      <c r="G39" s="40">
        <f>IF(D39="","",IFERROR(VLOOKUP(D39,TASAS!$A$2:$B$10,2,FALSE),0))</f>
        <v/>
      </c>
      <c r="H39" s="41">
        <f>IF(F39="","",F39*G39)</f>
        <v/>
      </c>
      <c r="I39" s="42">
        <f>IF(E39="","",MAX(0,($G$4-E39)/365))</f>
        <v/>
      </c>
      <c r="J39" s="41">
        <f>IF(F39="","",MIN(F39,H39*I39))</f>
        <v/>
      </c>
      <c r="K39" s="41">
        <f>IF(F39="","",F39-J39)</f>
        <v/>
      </c>
      <c r="L39" s="37" t="n"/>
    </row>
    <row r="40" ht="20" customHeight="1">
      <c r="A40" s="36" t="n">
        <v>34</v>
      </c>
      <c r="B40" s="37" t="n"/>
      <c r="C40" s="37" t="n"/>
      <c r="D40" s="37" t="n"/>
      <c r="E40" s="38" t="n"/>
      <c r="F40" s="39" t="n"/>
      <c r="G40" s="40">
        <f>IF(D40="","",IFERROR(VLOOKUP(D40,TASAS!$A$2:$B$10,2,FALSE),0))</f>
        <v/>
      </c>
      <c r="H40" s="41">
        <f>IF(F40="","",F40*G40)</f>
        <v/>
      </c>
      <c r="I40" s="42">
        <f>IF(E40="","",MAX(0,($G$4-E40)/365))</f>
        <v/>
      </c>
      <c r="J40" s="41">
        <f>IF(F40="","",MIN(F40,H40*I40))</f>
        <v/>
      </c>
      <c r="K40" s="41">
        <f>IF(F40="","",F40-J40)</f>
        <v/>
      </c>
      <c r="L40" s="37" t="n"/>
    </row>
    <row r="41" ht="20" customHeight="1">
      <c r="A41" s="36" t="n">
        <v>35</v>
      </c>
      <c r="B41" s="37" t="n"/>
      <c r="C41" s="37" t="n"/>
      <c r="D41" s="37" t="n"/>
      <c r="E41" s="38" t="n"/>
      <c r="F41" s="39" t="n"/>
      <c r="G41" s="40">
        <f>IF(D41="","",IFERROR(VLOOKUP(D41,TASAS!$A$2:$B$10,2,FALSE),0))</f>
        <v/>
      </c>
      <c r="H41" s="41">
        <f>IF(F41="","",F41*G41)</f>
        <v/>
      </c>
      <c r="I41" s="42">
        <f>IF(E41="","",MAX(0,($G$4-E41)/365))</f>
        <v/>
      </c>
      <c r="J41" s="41">
        <f>IF(F41="","",MIN(F41,H41*I41))</f>
        <v/>
      </c>
      <c r="K41" s="41">
        <f>IF(F41="","",F41-J41)</f>
        <v/>
      </c>
      <c r="L41" s="37" t="n"/>
    </row>
    <row r="42" ht="20" customHeight="1">
      <c r="A42" s="36" t="n">
        <v>36</v>
      </c>
      <c r="B42" s="37" t="n"/>
      <c r="C42" s="37" t="n"/>
      <c r="D42" s="37" t="n"/>
      <c r="E42" s="38" t="n"/>
      <c r="F42" s="39" t="n"/>
      <c r="G42" s="40">
        <f>IF(D42="","",IFERROR(VLOOKUP(D42,TASAS!$A$2:$B$10,2,FALSE),0))</f>
        <v/>
      </c>
      <c r="H42" s="41">
        <f>IF(F42="","",F42*G42)</f>
        <v/>
      </c>
      <c r="I42" s="42">
        <f>IF(E42="","",MAX(0,($G$4-E42)/365))</f>
        <v/>
      </c>
      <c r="J42" s="41">
        <f>IF(F42="","",MIN(F42,H42*I42))</f>
        <v/>
      </c>
      <c r="K42" s="41">
        <f>IF(F42="","",F42-J42)</f>
        <v/>
      </c>
      <c r="L42" s="37" t="n"/>
    </row>
    <row r="43" ht="20" customHeight="1">
      <c r="A43" s="36" t="n">
        <v>37</v>
      </c>
      <c r="B43" s="37" t="n"/>
      <c r="C43" s="37" t="n"/>
      <c r="D43" s="37" t="n"/>
      <c r="E43" s="38" t="n"/>
      <c r="F43" s="39" t="n"/>
      <c r="G43" s="40">
        <f>IF(D43="","",IFERROR(VLOOKUP(D43,TASAS!$A$2:$B$10,2,FALSE),0))</f>
        <v/>
      </c>
      <c r="H43" s="41">
        <f>IF(F43="","",F43*G43)</f>
        <v/>
      </c>
      <c r="I43" s="42">
        <f>IF(E43="","",MAX(0,($G$4-E43)/365))</f>
        <v/>
      </c>
      <c r="J43" s="41">
        <f>IF(F43="","",MIN(F43,H43*I43))</f>
        <v/>
      </c>
      <c r="K43" s="41">
        <f>IF(F43="","",F43-J43)</f>
        <v/>
      </c>
      <c r="L43" s="37" t="n"/>
    </row>
    <row r="44" ht="20" customHeight="1">
      <c r="A44" s="36" t="n">
        <v>38</v>
      </c>
      <c r="B44" s="37" t="n"/>
      <c r="C44" s="37" t="n"/>
      <c r="D44" s="37" t="n"/>
      <c r="E44" s="38" t="n"/>
      <c r="F44" s="39" t="n"/>
      <c r="G44" s="40">
        <f>IF(D44="","",IFERROR(VLOOKUP(D44,TASAS!$A$2:$B$10,2,FALSE),0))</f>
        <v/>
      </c>
      <c r="H44" s="41">
        <f>IF(F44="","",F44*G44)</f>
        <v/>
      </c>
      <c r="I44" s="42">
        <f>IF(E44="","",MAX(0,($G$4-E44)/365))</f>
        <v/>
      </c>
      <c r="J44" s="41">
        <f>IF(F44="","",MIN(F44,H44*I44))</f>
        <v/>
      </c>
      <c r="K44" s="41">
        <f>IF(F44="","",F44-J44)</f>
        <v/>
      </c>
      <c r="L44" s="37" t="n"/>
    </row>
    <row r="45" ht="20" customHeight="1">
      <c r="A45" s="36" t="n">
        <v>39</v>
      </c>
      <c r="B45" s="37" t="n"/>
      <c r="C45" s="37" t="n"/>
      <c r="D45" s="37" t="n"/>
      <c r="E45" s="38" t="n"/>
      <c r="F45" s="39" t="n"/>
      <c r="G45" s="40">
        <f>IF(D45="","",IFERROR(VLOOKUP(D45,TASAS!$A$2:$B$10,2,FALSE),0))</f>
        <v/>
      </c>
      <c r="H45" s="41">
        <f>IF(F45="","",F45*G45)</f>
        <v/>
      </c>
      <c r="I45" s="42">
        <f>IF(E45="","",MAX(0,($G$4-E45)/365))</f>
        <v/>
      </c>
      <c r="J45" s="41">
        <f>IF(F45="","",MIN(F45,H45*I45))</f>
        <v/>
      </c>
      <c r="K45" s="41">
        <f>IF(F45="","",F45-J45)</f>
        <v/>
      </c>
      <c r="L45" s="37" t="n"/>
    </row>
    <row r="46" ht="20" customHeight="1">
      <c r="A46" s="36" t="n">
        <v>40</v>
      </c>
      <c r="B46" s="37" t="n"/>
      <c r="C46" s="37" t="n"/>
      <c r="D46" s="37" t="n"/>
      <c r="E46" s="38" t="n"/>
      <c r="F46" s="39" t="n"/>
      <c r="G46" s="40">
        <f>IF(D46="","",IFERROR(VLOOKUP(D46,TASAS!$A$2:$B$10,2,FALSE),0))</f>
        <v/>
      </c>
      <c r="H46" s="41">
        <f>IF(F46="","",F46*G46)</f>
        <v/>
      </c>
      <c r="I46" s="42">
        <f>IF(E46="","",MAX(0,($G$4-E46)/365))</f>
        <v/>
      </c>
      <c r="J46" s="41">
        <f>IF(F46="","",MIN(F46,H46*I46))</f>
        <v/>
      </c>
      <c r="K46" s="41">
        <f>IF(F46="","",F46-J46)</f>
        <v/>
      </c>
      <c r="L46" s="37" t="n"/>
    </row>
    <row r="47" ht="20" customHeight="1">
      <c r="A47" s="36" t="n">
        <v>41</v>
      </c>
      <c r="B47" s="37" t="n"/>
      <c r="C47" s="37" t="n"/>
      <c r="D47" s="37" t="n"/>
      <c r="E47" s="38" t="n"/>
      <c r="F47" s="39" t="n"/>
      <c r="G47" s="40">
        <f>IF(D47="","",IFERROR(VLOOKUP(D47,TASAS!$A$2:$B$10,2,FALSE),0))</f>
        <v/>
      </c>
      <c r="H47" s="41">
        <f>IF(F47="","",F47*G47)</f>
        <v/>
      </c>
      <c r="I47" s="42">
        <f>IF(E47="","",MAX(0,($G$4-E47)/365))</f>
        <v/>
      </c>
      <c r="J47" s="41">
        <f>IF(F47="","",MIN(F47,H47*I47))</f>
        <v/>
      </c>
      <c r="K47" s="41">
        <f>IF(F47="","",F47-J47)</f>
        <v/>
      </c>
      <c r="L47" s="37" t="n"/>
    </row>
    <row r="48" ht="20" customHeight="1">
      <c r="A48" s="36" t="n">
        <v>42</v>
      </c>
      <c r="B48" s="37" t="n"/>
      <c r="C48" s="37" t="n"/>
      <c r="D48" s="37" t="n"/>
      <c r="E48" s="38" t="n"/>
      <c r="F48" s="39" t="n"/>
      <c r="G48" s="40">
        <f>IF(D48="","",IFERROR(VLOOKUP(D48,TASAS!$A$2:$B$10,2,FALSE),0))</f>
        <v/>
      </c>
      <c r="H48" s="41">
        <f>IF(F48="","",F48*G48)</f>
        <v/>
      </c>
      <c r="I48" s="42">
        <f>IF(E48="","",MAX(0,($G$4-E48)/365))</f>
        <v/>
      </c>
      <c r="J48" s="41">
        <f>IF(F48="","",MIN(F48,H48*I48))</f>
        <v/>
      </c>
      <c r="K48" s="41">
        <f>IF(F48="","",F48-J48)</f>
        <v/>
      </c>
      <c r="L48" s="37" t="n"/>
    </row>
    <row r="49" ht="20" customHeight="1">
      <c r="A49" s="36" t="n">
        <v>43</v>
      </c>
      <c r="B49" s="37" t="n"/>
      <c r="C49" s="37" t="n"/>
      <c r="D49" s="37" t="n"/>
      <c r="E49" s="38" t="n"/>
      <c r="F49" s="39" t="n"/>
      <c r="G49" s="40">
        <f>IF(D49="","",IFERROR(VLOOKUP(D49,TASAS!$A$2:$B$10,2,FALSE),0))</f>
        <v/>
      </c>
      <c r="H49" s="41">
        <f>IF(F49="","",F49*G49)</f>
        <v/>
      </c>
      <c r="I49" s="42">
        <f>IF(E49="","",MAX(0,($G$4-E49)/365))</f>
        <v/>
      </c>
      <c r="J49" s="41">
        <f>IF(F49="","",MIN(F49,H49*I49))</f>
        <v/>
      </c>
      <c r="K49" s="41">
        <f>IF(F49="","",F49-J49)</f>
        <v/>
      </c>
      <c r="L49" s="37" t="n"/>
    </row>
    <row r="50" ht="20" customHeight="1">
      <c r="A50" s="36" t="n">
        <v>44</v>
      </c>
      <c r="B50" s="37" t="n"/>
      <c r="C50" s="37" t="n"/>
      <c r="D50" s="37" t="n"/>
      <c r="E50" s="38" t="n"/>
      <c r="F50" s="39" t="n"/>
      <c r="G50" s="40">
        <f>IF(D50="","",IFERROR(VLOOKUP(D50,TASAS!$A$2:$B$10,2,FALSE),0))</f>
        <v/>
      </c>
      <c r="H50" s="41">
        <f>IF(F50="","",F50*G50)</f>
        <v/>
      </c>
      <c r="I50" s="42">
        <f>IF(E50="","",MAX(0,($G$4-E50)/365))</f>
        <v/>
      </c>
      <c r="J50" s="41">
        <f>IF(F50="","",MIN(F50,H50*I50))</f>
        <v/>
      </c>
      <c r="K50" s="41">
        <f>IF(F50="","",F50-J50)</f>
        <v/>
      </c>
      <c r="L50" s="37" t="n"/>
    </row>
    <row r="51" ht="20" customHeight="1">
      <c r="A51" s="36" t="n">
        <v>45</v>
      </c>
      <c r="B51" s="37" t="n"/>
      <c r="C51" s="37" t="n"/>
      <c r="D51" s="37" t="n"/>
      <c r="E51" s="38" t="n"/>
      <c r="F51" s="39" t="n"/>
      <c r="G51" s="40">
        <f>IF(D51="","",IFERROR(VLOOKUP(D51,TASAS!$A$2:$B$10,2,FALSE),0))</f>
        <v/>
      </c>
      <c r="H51" s="41">
        <f>IF(F51="","",F51*G51)</f>
        <v/>
      </c>
      <c r="I51" s="42">
        <f>IF(E51="","",MAX(0,($G$4-E51)/365))</f>
        <v/>
      </c>
      <c r="J51" s="41">
        <f>IF(F51="","",MIN(F51,H51*I51))</f>
        <v/>
      </c>
      <c r="K51" s="41">
        <f>IF(F51="","",F51-J51)</f>
        <v/>
      </c>
      <c r="L51" s="37" t="n"/>
    </row>
    <row r="52" ht="20" customHeight="1">
      <c r="A52" s="36" t="n">
        <v>46</v>
      </c>
      <c r="B52" s="37" t="n"/>
      <c r="C52" s="37" t="n"/>
      <c r="D52" s="37" t="n"/>
      <c r="E52" s="38" t="n"/>
      <c r="F52" s="39" t="n"/>
      <c r="G52" s="40">
        <f>IF(D52="","",IFERROR(VLOOKUP(D52,TASAS!$A$2:$B$10,2,FALSE),0))</f>
        <v/>
      </c>
      <c r="H52" s="41">
        <f>IF(F52="","",F52*G52)</f>
        <v/>
      </c>
      <c r="I52" s="42">
        <f>IF(E52="","",MAX(0,($G$4-E52)/365))</f>
        <v/>
      </c>
      <c r="J52" s="41">
        <f>IF(F52="","",MIN(F52,H52*I52))</f>
        <v/>
      </c>
      <c r="K52" s="41">
        <f>IF(F52="","",F52-J52)</f>
        <v/>
      </c>
      <c r="L52" s="37" t="n"/>
    </row>
    <row r="53" ht="20" customHeight="1">
      <c r="A53" s="36" t="n">
        <v>47</v>
      </c>
      <c r="B53" s="37" t="n"/>
      <c r="C53" s="37" t="n"/>
      <c r="D53" s="37" t="n"/>
      <c r="E53" s="38" t="n"/>
      <c r="F53" s="39" t="n"/>
      <c r="G53" s="40">
        <f>IF(D53="","",IFERROR(VLOOKUP(D53,TASAS!$A$2:$B$10,2,FALSE),0))</f>
        <v/>
      </c>
      <c r="H53" s="41">
        <f>IF(F53="","",F53*G53)</f>
        <v/>
      </c>
      <c r="I53" s="42">
        <f>IF(E53="","",MAX(0,($G$4-E53)/365))</f>
        <v/>
      </c>
      <c r="J53" s="41">
        <f>IF(F53="","",MIN(F53,H53*I53))</f>
        <v/>
      </c>
      <c r="K53" s="41">
        <f>IF(F53="","",F53-J53)</f>
        <v/>
      </c>
      <c r="L53" s="37" t="n"/>
    </row>
    <row r="54" ht="20" customHeight="1">
      <c r="A54" s="36" t="n">
        <v>48</v>
      </c>
      <c r="B54" s="37" t="n"/>
      <c r="C54" s="37" t="n"/>
      <c r="D54" s="37" t="n"/>
      <c r="E54" s="38" t="n"/>
      <c r="F54" s="39" t="n"/>
      <c r="G54" s="40">
        <f>IF(D54="","",IFERROR(VLOOKUP(D54,TASAS!$A$2:$B$10,2,FALSE),0))</f>
        <v/>
      </c>
      <c r="H54" s="41">
        <f>IF(F54="","",F54*G54)</f>
        <v/>
      </c>
      <c r="I54" s="42">
        <f>IF(E54="","",MAX(0,($G$4-E54)/365))</f>
        <v/>
      </c>
      <c r="J54" s="41">
        <f>IF(F54="","",MIN(F54,H54*I54))</f>
        <v/>
      </c>
      <c r="K54" s="41">
        <f>IF(F54="","",F54-J54)</f>
        <v/>
      </c>
      <c r="L54" s="37" t="n"/>
    </row>
    <row r="55" ht="20" customHeight="1">
      <c r="A55" s="36" t="n">
        <v>49</v>
      </c>
      <c r="B55" s="37" t="n"/>
      <c r="C55" s="37" t="n"/>
      <c r="D55" s="37" t="n"/>
      <c r="E55" s="38" t="n"/>
      <c r="F55" s="39" t="n"/>
      <c r="G55" s="40">
        <f>IF(D55="","",IFERROR(VLOOKUP(D55,TASAS!$A$2:$B$10,2,FALSE),0))</f>
        <v/>
      </c>
      <c r="H55" s="41">
        <f>IF(F55="","",F55*G55)</f>
        <v/>
      </c>
      <c r="I55" s="42">
        <f>IF(E55="","",MAX(0,($G$4-E55)/365))</f>
        <v/>
      </c>
      <c r="J55" s="41">
        <f>IF(F55="","",MIN(F55,H55*I55))</f>
        <v/>
      </c>
      <c r="K55" s="41">
        <f>IF(F55="","",F55-J55)</f>
        <v/>
      </c>
      <c r="L55" s="37" t="n"/>
    </row>
    <row r="56" ht="20" customHeight="1">
      <c r="A56" s="36" t="n">
        <v>50</v>
      </c>
      <c r="B56" s="37" t="n"/>
      <c r="C56" s="37" t="n"/>
      <c r="D56" s="37" t="n"/>
      <c r="E56" s="38" t="n"/>
      <c r="F56" s="39" t="n"/>
      <c r="G56" s="40">
        <f>IF(D56="","",IFERROR(VLOOKUP(D56,TASAS!$A$2:$B$10,2,FALSE),0))</f>
        <v/>
      </c>
      <c r="H56" s="41">
        <f>IF(F56="","",F56*G56)</f>
        <v/>
      </c>
      <c r="I56" s="42">
        <f>IF(E56="","",MAX(0,($G$4-E56)/365))</f>
        <v/>
      </c>
      <c r="J56" s="41">
        <f>IF(F56="","",MIN(F56,H56*I56))</f>
        <v/>
      </c>
      <c r="K56" s="41">
        <f>IF(F56="","",F56-J56)</f>
        <v/>
      </c>
      <c r="L56" s="37" t="n"/>
    </row>
    <row r="57" ht="20" customHeight="1">
      <c r="A57" s="36" t="n">
        <v>51</v>
      </c>
      <c r="B57" s="37" t="n"/>
      <c r="C57" s="37" t="n"/>
      <c r="D57" s="37" t="n"/>
      <c r="E57" s="38" t="n"/>
      <c r="F57" s="39" t="n"/>
      <c r="G57" s="40">
        <f>IF(D57="","",IFERROR(VLOOKUP(D57,TASAS!$A$2:$B$10,2,FALSE),0))</f>
        <v/>
      </c>
      <c r="H57" s="41">
        <f>IF(F57="","",F57*G57)</f>
        <v/>
      </c>
      <c r="I57" s="42">
        <f>IF(E57="","",MAX(0,($G$4-E57)/365))</f>
        <v/>
      </c>
      <c r="J57" s="41">
        <f>IF(F57="","",MIN(F57,H57*I57))</f>
        <v/>
      </c>
      <c r="K57" s="41">
        <f>IF(F57="","",F57-J57)</f>
        <v/>
      </c>
      <c r="L57" s="37" t="n"/>
    </row>
    <row r="58" ht="20" customHeight="1">
      <c r="A58" s="36" t="n">
        <v>52</v>
      </c>
      <c r="B58" s="37" t="n"/>
      <c r="C58" s="37" t="n"/>
      <c r="D58" s="37" t="n"/>
      <c r="E58" s="38" t="n"/>
      <c r="F58" s="39" t="n"/>
      <c r="G58" s="40">
        <f>IF(D58="","",IFERROR(VLOOKUP(D58,TASAS!$A$2:$B$10,2,FALSE),0))</f>
        <v/>
      </c>
      <c r="H58" s="41">
        <f>IF(F58="","",F58*G58)</f>
        <v/>
      </c>
      <c r="I58" s="42">
        <f>IF(E58="","",MAX(0,($G$4-E58)/365))</f>
        <v/>
      </c>
      <c r="J58" s="41">
        <f>IF(F58="","",MIN(F58,H58*I58))</f>
        <v/>
      </c>
      <c r="K58" s="41">
        <f>IF(F58="","",F58-J58)</f>
        <v/>
      </c>
      <c r="L58" s="37" t="n"/>
    </row>
    <row r="59" ht="20" customHeight="1">
      <c r="A59" s="36" t="n">
        <v>53</v>
      </c>
      <c r="B59" s="37" t="n"/>
      <c r="C59" s="37" t="n"/>
      <c r="D59" s="37" t="n"/>
      <c r="E59" s="38" t="n"/>
      <c r="F59" s="39" t="n"/>
      <c r="G59" s="40">
        <f>IF(D59="","",IFERROR(VLOOKUP(D59,TASAS!$A$2:$B$10,2,FALSE),0))</f>
        <v/>
      </c>
      <c r="H59" s="41">
        <f>IF(F59="","",F59*G59)</f>
        <v/>
      </c>
      <c r="I59" s="42">
        <f>IF(E59="","",MAX(0,($G$4-E59)/365))</f>
        <v/>
      </c>
      <c r="J59" s="41">
        <f>IF(F59="","",MIN(F59,H59*I59))</f>
        <v/>
      </c>
      <c r="K59" s="41">
        <f>IF(F59="","",F59-J59)</f>
        <v/>
      </c>
      <c r="L59" s="37" t="n"/>
    </row>
    <row r="60" ht="20" customHeight="1">
      <c r="A60" s="36" t="n">
        <v>54</v>
      </c>
      <c r="B60" s="37" t="n"/>
      <c r="C60" s="37" t="n"/>
      <c r="D60" s="37" t="n"/>
      <c r="E60" s="38" t="n"/>
      <c r="F60" s="39" t="n"/>
      <c r="G60" s="40">
        <f>IF(D60="","",IFERROR(VLOOKUP(D60,TASAS!$A$2:$B$10,2,FALSE),0))</f>
        <v/>
      </c>
      <c r="H60" s="41">
        <f>IF(F60="","",F60*G60)</f>
        <v/>
      </c>
      <c r="I60" s="42">
        <f>IF(E60="","",MAX(0,($G$4-E60)/365))</f>
        <v/>
      </c>
      <c r="J60" s="41">
        <f>IF(F60="","",MIN(F60,H60*I60))</f>
        <v/>
      </c>
      <c r="K60" s="41">
        <f>IF(F60="","",F60-J60)</f>
        <v/>
      </c>
      <c r="L60" s="37" t="n"/>
    </row>
    <row r="61" ht="20" customHeight="1">
      <c r="A61" s="36" t="n">
        <v>55</v>
      </c>
      <c r="B61" s="37" t="n"/>
      <c r="C61" s="37" t="n"/>
      <c r="D61" s="37" t="n"/>
      <c r="E61" s="38" t="n"/>
      <c r="F61" s="39" t="n"/>
      <c r="G61" s="40">
        <f>IF(D61="","",IFERROR(VLOOKUP(D61,TASAS!$A$2:$B$10,2,FALSE),0))</f>
        <v/>
      </c>
      <c r="H61" s="41">
        <f>IF(F61="","",F61*G61)</f>
        <v/>
      </c>
      <c r="I61" s="42">
        <f>IF(E61="","",MAX(0,($G$4-E61)/365))</f>
        <v/>
      </c>
      <c r="J61" s="41">
        <f>IF(F61="","",MIN(F61,H61*I61))</f>
        <v/>
      </c>
      <c r="K61" s="41">
        <f>IF(F61="","",F61-J61)</f>
        <v/>
      </c>
      <c r="L61" s="37" t="n"/>
    </row>
    <row r="62" ht="20" customHeight="1">
      <c r="A62" s="36" t="n">
        <v>56</v>
      </c>
      <c r="B62" s="37" t="n"/>
      <c r="C62" s="37" t="n"/>
      <c r="D62" s="37" t="n"/>
      <c r="E62" s="38" t="n"/>
      <c r="F62" s="39" t="n"/>
      <c r="G62" s="40">
        <f>IF(D62="","",IFERROR(VLOOKUP(D62,TASAS!$A$2:$B$10,2,FALSE),0))</f>
        <v/>
      </c>
      <c r="H62" s="41">
        <f>IF(F62="","",F62*G62)</f>
        <v/>
      </c>
      <c r="I62" s="42">
        <f>IF(E62="","",MAX(0,($G$4-E62)/365))</f>
        <v/>
      </c>
      <c r="J62" s="41">
        <f>IF(F62="","",MIN(F62,H62*I62))</f>
        <v/>
      </c>
      <c r="K62" s="41">
        <f>IF(F62="","",F62-J62)</f>
        <v/>
      </c>
      <c r="L62" s="37" t="n"/>
    </row>
    <row r="63" ht="20" customHeight="1">
      <c r="A63" s="36" t="n">
        <v>57</v>
      </c>
      <c r="B63" s="37" t="n"/>
      <c r="C63" s="37" t="n"/>
      <c r="D63" s="37" t="n"/>
      <c r="E63" s="38" t="n"/>
      <c r="F63" s="39" t="n"/>
      <c r="G63" s="40">
        <f>IF(D63="","",IFERROR(VLOOKUP(D63,TASAS!$A$2:$B$10,2,FALSE),0))</f>
        <v/>
      </c>
      <c r="H63" s="41">
        <f>IF(F63="","",F63*G63)</f>
        <v/>
      </c>
      <c r="I63" s="42">
        <f>IF(E63="","",MAX(0,($G$4-E63)/365))</f>
        <v/>
      </c>
      <c r="J63" s="41">
        <f>IF(F63="","",MIN(F63,H63*I63))</f>
        <v/>
      </c>
      <c r="K63" s="41">
        <f>IF(F63="","",F63-J63)</f>
        <v/>
      </c>
      <c r="L63" s="37" t="n"/>
    </row>
    <row r="64" ht="20" customHeight="1">
      <c r="A64" s="36" t="n">
        <v>58</v>
      </c>
      <c r="B64" s="37" t="n"/>
      <c r="C64" s="37" t="n"/>
      <c r="D64" s="37" t="n"/>
      <c r="E64" s="38" t="n"/>
      <c r="F64" s="39" t="n"/>
      <c r="G64" s="40">
        <f>IF(D64="","",IFERROR(VLOOKUP(D64,TASAS!$A$2:$B$10,2,FALSE),0))</f>
        <v/>
      </c>
      <c r="H64" s="41">
        <f>IF(F64="","",F64*G64)</f>
        <v/>
      </c>
      <c r="I64" s="42">
        <f>IF(E64="","",MAX(0,($G$4-E64)/365))</f>
        <v/>
      </c>
      <c r="J64" s="41">
        <f>IF(F64="","",MIN(F64,H64*I64))</f>
        <v/>
      </c>
      <c r="K64" s="41">
        <f>IF(F64="","",F64-J64)</f>
        <v/>
      </c>
      <c r="L64" s="37" t="n"/>
    </row>
    <row r="65" ht="20" customHeight="1">
      <c r="A65" s="36" t="n">
        <v>59</v>
      </c>
      <c r="B65" s="37" t="n"/>
      <c r="C65" s="37" t="n"/>
      <c r="D65" s="37" t="n"/>
      <c r="E65" s="38" t="n"/>
      <c r="F65" s="39" t="n"/>
      <c r="G65" s="40">
        <f>IF(D65="","",IFERROR(VLOOKUP(D65,TASAS!$A$2:$B$10,2,FALSE),0))</f>
        <v/>
      </c>
      <c r="H65" s="41">
        <f>IF(F65="","",F65*G65)</f>
        <v/>
      </c>
      <c r="I65" s="42">
        <f>IF(E65="","",MAX(0,($G$4-E65)/365))</f>
        <v/>
      </c>
      <c r="J65" s="41">
        <f>IF(F65="","",MIN(F65,H65*I65))</f>
        <v/>
      </c>
      <c r="K65" s="41">
        <f>IF(F65="","",F65-J65)</f>
        <v/>
      </c>
      <c r="L65" s="37" t="n"/>
    </row>
    <row r="66" ht="20" customHeight="1">
      <c r="A66" s="36" t="n">
        <v>60</v>
      </c>
      <c r="B66" s="37" t="n"/>
      <c r="C66" s="37" t="n"/>
      <c r="D66" s="37" t="n"/>
      <c r="E66" s="38" t="n"/>
      <c r="F66" s="39" t="n"/>
      <c r="G66" s="40">
        <f>IF(D66="","",IFERROR(VLOOKUP(D66,TASAS!$A$2:$B$10,2,FALSE),0))</f>
        <v/>
      </c>
      <c r="H66" s="41">
        <f>IF(F66="","",F66*G66)</f>
        <v/>
      </c>
      <c r="I66" s="42">
        <f>IF(E66="","",MAX(0,($G$4-E66)/365))</f>
        <v/>
      </c>
      <c r="J66" s="41">
        <f>IF(F66="","",MIN(F66,H66*I66))</f>
        <v/>
      </c>
      <c r="K66" s="41">
        <f>IF(F66="","",F66-J66)</f>
        <v/>
      </c>
      <c r="L66" s="37" t="n"/>
    </row>
    <row r="67" ht="20" customHeight="1">
      <c r="A67" s="36" t="n">
        <v>61</v>
      </c>
      <c r="B67" s="37" t="n"/>
      <c r="C67" s="37" t="n"/>
      <c r="D67" s="37" t="n"/>
      <c r="E67" s="38" t="n"/>
      <c r="F67" s="39" t="n"/>
      <c r="G67" s="40">
        <f>IF(D67="","",IFERROR(VLOOKUP(D67,TASAS!$A$2:$B$10,2,FALSE),0))</f>
        <v/>
      </c>
      <c r="H67" s="41">
        <f>IF(F67="","",F67*G67)</f>
        <v/>
      </c>
      <c r="I67" s="42">
        <f>IF(E67="","",MAX(0,($G$4-E67)/365))</f>
        <v/>
      </c>
      <c r="J67" s="41">
        <f>IF(F67="","",MIN(F67,H67*I67))</f>
        <v/>
      </c>
      <c r="K67" s="41">
        <f>IF(F67="","",F67-J67)</f>
        <v/>
      </c>
      <c r="L67" s="37" t="n"/>
    </row>
    <row r="68" ht="20" customHeight="1">
      <c r="A68" s="36" t="n">
        <v>62</v>
      </c>
      <c r="B68" s="37" t="n"/>
      <c r="C68" s="37" t="n"/>
      <c r="D68" s="37" t="n"/>
      <c r="E68" s="38" t="n"/>
      <c r="F68" s="39" t="n"/>
      <c r="G68" s="40">
        <f>IF(D68="","",IFERROR(VLOOKUP(D68,TASAS!$A$2:$B$10,2,FALSE),0))</f>
        <v/>
      </c>
      <c r="H68" s="41">
        <f>IF(F68="","",F68*G68)</f>
        <v/>
      </c>
      <c r="I68" s="42">
        <f>IF(E68="","",MAX(0,($G$4-E68)/365))</f>
        <v/>
      </c>
      <c r="J68" s="41">
        <f>IF(F68="","",MIN(F68,H68*I68))</f>
        <v/>
      </c>
      <c r="K68" s="41">
        <f>IF(F68="","",F68-J68)</f>
        <v/>
      </c>
      <c r="L68" s="37" t="n"/>
    </row>
    <row r="69" ht="20" customHeight="1">
      <c r="A69" s="36" t="n">
        <v>63</v>
      </c>
      <c r="B69" s="37" t="n"/>
      <c r="C69" s="37" t="n"/>
      <c r="D69" s="37" t="n"/>
      <c r="E69" s="38" t="n"/>
      <c r="F69" s="39" t="n"/>
      <c r="G69" s="40">
        <f>IF(D69="","",IFERROR(VLOOKUP(D69,TASAS!$A$2:$B$10,2,FALSE),0))</f>
        <v/>
      </c>
      <c r="H69" s="41">
        <f>IF(F69="","",F69*G69)</f>
        <v/>
      </c>
      <c r="I69" s="42">
        <f>IF(E69="","",MAX(0,($G$4-E69)/365))</f>
        <v/>
      </c>
      <c r="J69" s="41">
        <f>IF(F69="","",MIN(F69,H69*I69))</f>
        <v/>
      </c>
      <c r="K69" s="41">
        <f>IF(F69="","",F69-J69)</f>
        <v/>
      </c>
      <c r="L69" s="37" t="n"/>
    </row>
    <row r="70" ht="20" customHeight="1">
      <c r="A70" s="36" t="n">
        <v>64</v>
      </c>
      <c r="B70" s="37" t="n"/>
      <c r="C70" s="37" t="n"/>
      <c r="D70" s="37" t="n"/>
      <c r="E70" s="38" t="n"/>
      <c r="F70" s="39" t="n"/>
      <c r="G70" s="40">
        <f>IF(D70="","",IFERROR(VLOOKUP(D70,TASAS!$A$2:$B$10,2,FALSE),0))</f>
        <v/>
      </c>
      <c r="H70" s="41">
        <f>IF(F70="","",F70*G70)</f>
        <v/>
      </c>
      <c r="I70" s="42">
        <f>IF(E70="","",MAX(0,($G$4-E70)/365))</f>
        <v/>
      </c>
      <c r="J70" s="41">
        <f>IF(F70="","",MIN(F70,H70*I70))</f>
        <v/>
      </c>
      <c r="K70" s="41">
        <f>IF(F70="","",F70-J70)</f>
        <v/>
      </c>
      <c r="L70" s="37" t="n"/>
    </row>
    <row r="71" ht="20" customHeight="1">
      <c r="A71" s="36" t="n">
        <v>65</v>
      </c>
      <c r="B71" s="37" t="n"/>
      <c r="C71" s="37" t="n"/>
      <c r="D71" s="37" t="n"/>
      <c r="E71" s="38" t="n"/>
      <c r="F71" s="39" t="n"/>
      <c r="G71" s="40">
        <f>IF(D71="","",IFERROR(VLOOKUP(D71,TASAS!$A$2:$B$10,2,FALSE),0))</f>
        <v/>
      </c>
      <c r="H71" s="41">
        <f>IF(F71="","",F71*G71)</f>
        <v/>
      </c>
      <c r="I71" s="42">
        <f>IF(E71="","",MAX(0,($G$4-E71)/365))</f>
        <v/>
      </c>
      <c r="J71" s="41">
        <f>IF(F71="","",MIN(F71,H71*I71))</f>
        <v/>
      </c>
      <c r="K71" s="41">
        <f>IF(F71="","",F71-J71)</f>
        <v/>
      </c>
      <c r="L71" s="37" t="n"/>
    </row>
    <row r="72" ht="20" customHeight="1">
      <c r="A72" s="36" t="n">
        <v>66</v>
      </c>
      <c r="B72" s="37" t="n"/>
      <c r="C72" s="37" t="n"/>
      <c r="D72" s="37" t="n"/>
      <c r="E72" s="38" t="n"/>
      <c r="F72" s="39" t="n"/>
      <c r="G72" s="40">
        <f>IF(D72="","",IFERROR(VLOOKUP(D72,TASAS!$A$2:$B$10,2,FALSE),0))</f>
        <v/>
      </c>
      <c r="H72" s="41">
        <f>IF(F72="","",F72*G72)</f>
        <v/>
      </c>
      <c r="I72" s="42">
        <f>IF(E72="","",MAX(0,($G$4-E72)/365))</f>
        <v/>
      </c>
      <c r="J72" s="41">
        <f>IF(F72="","",MIN(F72,H72*I72))</f>
        <v/>
      </c>
      <c r="K72" s="41">
        <f>IF(F72="","",F72-J72)</f>
        <v/>
      </c>
      <c r="L72" s="37" t="n"/>
    </row>
    <row r="73" ht="20" customHeight="1">
      <c r="A73" s="36" t="n">
        <v>67</v>
      </c>
      <c r="B73" s="37" t="n"/>
      <c r="C73" s="37" t="n"/>
      <c r="D73" s="37" t="n"/>
      <c r="E73" s="38" t="n"/>
      <c r="F73" s="39" t="n"/>
      <c r="G73" s="40">
        <f>IF(D73="","",IFERROR(VLOOKUP(D73,TASAS!$A$2:$B$10,2,FALSE),0))</f>
        <v/>
      </c>
      <c r="H73" s="41">
        <f>IF(F73="","",F73*G73)</f>
        <v/>
      </c>
      <c r="I73" s="42">
        <f>IF(E73="","",MAX(0,($G$4-E73)/365))</f>
        <v/>
      </c>
      <c r="J73" s="41">
        <f>IF(F73="","",MIN(F73,H73*I73))</f>
        <v/>
      </c>
      <c r="K73" s="41">
        <f>IF(F73="","",F73-J73)</f>
        <v/>
      </c>
      <c r="L73" s="37" t="n"/>
    </row>
    <row r="74" ht="20" customHeight="1">
      <c r="A74" s="36" t="n">
        <v>68</v>
      </c>
      <c r="B74" s="37" t="n"/>
      <c r="C74" s="37" t="n"/>
      <c r="D74" s="37" t="n"/>
      <c r="E74" s="38" t="n"/>
      <c r="F74" s="39" t="n"/>
      <c r="G74" s="40">
        <f>IF(D74="","",IFERROR(VLOOKUP(D74,TASAS!$A$2:$B$10,2,FALSE),0))</f>
        <v/>
      </c>
      <c r="H74" s="41">
        <f>IF(F74="","",F74*G74)</f>
        <v/>
      </c>
      <c r="I74" s="42">
        <f>IF(E74="","",MAX(0,($G$4-E74)/365))</f>
        <v/>
      </c>
      <c r="J74" s="41">
        <f>IF(F74="","",MIN(F74,H74*I74))</f>
        <v/>
      </c>
      <c r="K74" s="41">
        <f>IF(F74="","",F74-J74)</f>
        <v/>
      </c>
      <c r="L74" s="37" t="n"/>
    </row>
    <row r="75" ht="20" customHeight="1">
      <c r="A75" s="36" t="n">
        <v>69</v>
      </c>
      <c r="B75" s="37" t="n"/>
      <c r="C75" s="37" t="n"/>
      <c r="D75" s="37" t="n"/>
      <c r="E75" s="38" t="n"/>
      <c r="F75" s="39" t="n"/>
      <c r="G75" s="40">
        <f>IF(D75="","",IFERROR(VLOOKUP(D75,TASAS!$A$2:$B$10,2,FALSE),0))</f>
        <v/>
      </c>
      <c r="H75" s="41">
        <f>IF(F75="","",F75*G75)</f>
        <v/>
      </c>
      <c r="I75" s="42">
        <f>IF(E75="","",MAX(0,($G$4-E75)/365))</f>
        <v/>
      </c>
      <c r="J75" s="41">
        <f>IF(F75="","",MIN(F75,H75*I75))</f>
        <v/>
      </c>
      <c r="K75" s="41">
        <f>IF(F75="","",F75-J75)</f>
        <v/>
      </c>
      <c r="L75" s="37" t="n"/>
    </row>
    <row r="76" ht="20" customHeight="1">
      <c r="A76" s="36" t="n">
        <v>70</v>
      </c>
      <c r="B76" s="37" t="n"/>
      <c r="C76" s="37" t="n"/>
      <c r="D76" s="37" t="n"/>
      <c r="E76" s="38" t="n"/>
      <c r="F76" s="39" t="n"/>
      <c r="G76" s="40">
        <f>IF(D76="","",IFERROR(VLOOKUP(D76,TASAS!$A$2:$B$10,2,FALSE),0))</f>
        <v/>
      </c>
      <c r="H76" s="41">
        <f>IF(F76="","",F76*G76)</f>
        <v/>
      </c>
      <c r="I76" s="42">
        <f>IF(E76="","",MAX(0,($G$4-E76)/365))</f>
        <v/>
      </c>
      <c r="J76" s="41">
        <f>IF(F76="","",MIN(F76,H76*I76))</f>
        <v/>
      </c>
      <c r="K76" s="41">
        <f>IF(F76="","",F76-J76)</f>
        <v/>
      </c>
      <c r="L76" s="37" t="n"/>
    </row>
    <row r="77" ht="20" customHeight="1">
      <c r="A77" s="36" t="n">
        <v>71</v>
      </c>
      <c r="B77" s="37" t="n"/>
      <c r="C77" s="37" t="n"/>
      <c r="D77" s="37" t="n"/>
      <c r="E77" s="38" t="n"/>
      <c r="F77" s="39" t="n"/>
      <c r="G77" s="40">
        <f>IF(D77="","",IFERROR(VLOOKUP(D77,TASAS!$A$2:$B$10,2,FALSE),0))</f>
        <v/>
      </c>
      <c r="H77" s="41">
        <f>IF(F77="","",F77*G77)</f>
        <v/>
      </c>
      <c r="I77" s="42">
        <f>IF(E77="","",MAX(0,($G$4-E77)/365))</f>
        <v/>
      </c>
      <c r="J77" s="41">
        <f>IF(F77="","",MIN(F77,H77*I77))</f>
        <v/>
      </c>
      <c r="K77" s="41">
        <f>IF(F77="","",F77-J77)</f>
        <v/>
      </c>
      <c r="L77" s="37" t="n"/>
    </row>
    <row r="78" ht="20" customHeight="1">
      <c r="A78" s="36" t="n">
        <v>72</v>
      </c>
      <c r="B78" s="37" t="n"/>
      <c r="C78" s="37" t="n"/>
      <c r="D78" s="37" t="n"/>
      <c r="E78" s="38" t="n"/>
      <c r="F78" s="39" t="n"/>
      <c r="G78" s="40">
        <f>IF(D78="","",IFERROR(VLOOKUP(D78,TASAS!$A$2:$B$10,2,FALSE),0))</f>
        <v/>
      </c>
      <c r="H78" s="41">
        <f>IF(F78="","",F78*G78)</f>
        <v/>
      </c>
      <c r="I78" s="42">
        <f>IF(E78="","",MAX(0,($G$4-E78)/365))</f>
        <v/>
      </c>
      <c r="J78" s="41">
        <f>IF(F78="","",MIN(F78,H78*I78))</f>
        <v/>
      </c>
      <c r="K78" s="41">
        <f>IF(F78="","",F78-J78)</f>
        <v/>
      </c>
      <c r="L78" s="37" t="n"/>
    </row>
    <row r="79" ht="20" customHeight="1">
      <c r="A79" s="36" t="n">
        <v>73</v>
      </c>
      <c r="B79" s="37" t="n"/>
      <c r="C79" s="37" t="n"/>
      <c r="D79" s="37" t="n"/>
      <c r="E79" s="38" t="n"/>
      <c r="F79" s="39" t="n"/>
      <c r="G79" s="40">
        <f>IF(D79="","",IFERROR(VLOOKUP(D79,TASAS!$A$2:$B$10,2,FALSE),0))</f>
        <v/>
      </c>
      <c r="H79" s="41">
        <f>IF(F79="","",F79*G79)</f>
        <v/>
      </c>
      <c r="I79" s="42">
        <f>IF(E79="","",MAX(0,($G$4-E79)/365))</f>
        <v/>
      </c>
      <c r="J79" s="41">
        <f>IF(F79="","",MIN(F79,H79*I79))</f>
        <v/>
      </c>
      <c r="K79" s="41">
        <f>IF(F79="","",F79-J79)</f>
        <v/>
      </c>
      <c r="L79" s="37" t="n"/>
    </row>
    <row r="80" ht="20" customHeight="1">
      <c r="A80" s="36" t="n">
        <v>74</v>
      </c>
      <c r="B80" s="37" t="n"/>
      <c r="C80" s="37" t="n"/>
      <c r="D80" s="37" t="n"/>
      <c r="E80" s="38" t="n"/>
      <c r="F80" s="39" t="n"/>
      <c r="G80" s="40">
        <f>IF(D80="","",IFERROR(VLOOKUP(D80,TASAS!$A$2:$B$10,2,FALSE),0))</f>
        <v/>
      </c>
      <c r="H80" s="41">
        <f>IF(F80="","",F80*G80)</f>
        <v/>
      </c>
      <c r="I80" s="42">
        <f>IF(E80="","",MAX(0,($G$4-E80)/365))</f>
        <v/>
      </c>
      <c r="J80" s="41">
        <f>IF(F80="","",MIN(F80,H80*I80))</f>
        <v/>
      </c>
      <c r="K80" s="41">
        <f>IF(F80="","",F80-J80)</f>
        <v/>
      </c>
      <c r="L80" s="37" t="n"/>
    </row>
    <row r="81" ht="20" customHeight="1">
      <c r="A81" s="36" t="n">
        <v>75</v>
      </c>
      <c r="B81" s="37" t="n"/>
      <c r="C81" s="37" t="n"/>
      <c r="D81" s="37" t="n"/>
      <c r="E81" s="38" t="n"/>
      <c r="F81" s="39" t="n"/>
      <c r="G81" s="40">
        <f>IF(D81="","",IFERROR(VLOOKUP(D81,TASAS!$A$2:$B$10,2,FALSE),0))</f>
        <v/>
      </c>
      <c r="H81" s="41">
        <f>IF(F81="","",F81*G81)</f>
        <v/>
      </c>
      <c r="I81" s="42">
        <f>IF(E81="","",MAX(0,($G$4-E81)/365))</f>
        <v/>
      </c>
      <c r="J81" s="41">
        <f>IF(F81="","",MIN(F81,H81*I81))</f>
        <v/>
      </c>
      <c r="K81" s="41">
        <f>IF(F81="","",F81-J81)</f>
        <v/>
      </c>
      <c r="L81" s="37" t="n"/>
    </row>
    <row r="82" ht="20" customHeight="1">
      <c r="A82" s="36" t="n">
        <v>76</v>
      </c>
      <c r="B82" s="37" t="n"/>
      <c r="C82" s="37" t="n"/>
      <c r="D82" s="37" t="n"/>
      <c r="E82" s="38" t="n"/>
      <c r="F82" s="39" t="n"/>
      <c r="G82" s="40">
        <f>IF(D82="","",IFERROR(VLOOKUP(D82,TASAS!$A$2:$B$10,2,FALSE),0))</f>
        <v/>
      </c>
      <c r="H82" s="41">
        <f>IF(F82="","",F82*G82)</f>
        <v/>
      </c>
      <c r="I82" s="42">
        <f>IF(E82="","",MAX(0,($G$4-E82)/365))</f>
        <v/>
      </c>
      <c r="J82" s="41">
        <f>IF(F82="","",MIN(F82,H82*I82))</f>
        <v/>
      </c>
      <c r="K82" s="41">
        <f>IF(F82="","",F82-J82)</f>
        <v/>
      </c>
      <c r="L82" s="37" t="n"/>
    </row>
    <row r="83" ht="20" customHeight="1">
      <c r="A83" s="36" t="n">
        <v>77</v>
      </c>
      <c r="B83" s="37" t="n"/>
      <c r="C83" s="37" t="n"/>
      <c r="D83" s="37" t="n"/>
      <c r="E83" s="38" t="n"/>
      <c r="F83" s="39" t="n"/>
      <c r="G83" s="40">
        <f>IF(D83="","",IFERROR(VLOOKUP(D83,TASAS!$A$2:$B$10,2,FALSE),0))</f>
        <v/>
      </c>
      <c r="H83" s="41">
        <f>IF(F83="","",F83*G83)</f>
        <v/>
      </c>
      <c r="I83" s="42">
        <f>IF(E83="","",MAX(0,($G$4-E83)/365))</f>
        <v/>
      </c>
      <c r="J83" s="41">
        <f>IF(F83="","",MIN(F83,H83*I83))</f>
        <v/>
      </c>
      <c r="K83" s="41">
        <f>IF(F83="","",F83-J83)</f>
        <v/>
      </c>
      <c r="L83" s="37" t="n"/>
    </row>
    <row r="84" ht="20" customHeight="1">
      <c r="A84" s="36" t="n">
        <v>78</v>
      </c>
      <c r="B84" s="37" t="n"/>
      <c r="C84" s="37" t="n"/>
      <c r="D84" s="37" t="n"/>
      <c r="E84" s="38" t="n"/>
      <c r="F84" s="39" t="n"/>
      <c r="G84" s="40">
        <f>IF(D84="","",IFERROR(VLOOKUP(D84,TASAS!$A$2:$B$10,2,FALSE),0))</f>
        <v/>
      </c>
      <c r="H84" s="41">
        <f>IF(F84="","",F84*G84)</f>
        <v/>
      </c>
      <c r="I84" s="42">
        <f>IF(E84="","",MAX(0,($G$4-E84)/365))</f>
        <v/>
      </c>
      <c r="J84" s="41">
        <f>IF(F84="","",MIN(F84,H84*I84))</f>
        <v/>
      </c>
      <c r="K84" s="41">
        <f>IF(F84="","",F84-J84)</f>
        <v/>
      </c>
      <c r="L84" s="37" t="n"/>
    </row>
    <row r="85" ht="20" customHeight="1">
      <c r="A85" s="36" t="n">
        <v>79</v>
      </c>
      <c r="B85" s="37" t="n"/>
      <c r="C85" s="37" t="n"/>
      <c r="D85" s="37" t="n"/>
      <c r="E85" s="38" t="n"/>
      <c r="F85" s="39" t="n"/>
      <c r="G85" s="40">
        <f>IF(D85="","",IFERROR(VLOOKUP(D85,TASAS!$A$2:$B$10,2,FALSE),0))</f>
        <v/>
      </c>
      <c r="H85" s="41">
        <f>IF(F85="","",F85*G85)</f>
        <v/>
      </c>
      <c r="I85" s="42">
        <f>IF(E85="","",MAX(0,($G$4-E85)/365))</f>
        <v/>
      </c>
      <c r="J85" s="41">
        <f>IF(F85="","",MIN(F85,H85*I85))</f>
        <v/>
      </c>
      <c r="K85" s="41">
        <f>IF(F85="","",F85-J85)</f>
        <v/>
      </c>
      <c r="L85" s="37" t="n"/>
    </row>
    <row r="86" ht="20" customHeight="1">
      <c r="A86" s="36" t="n">
        <v>80</v>
      </c>
      <c r="B86" s="37" t="n"/>
      <c r="C86" s="37" t="n"/>
      <c r="D86" s="37" t="n"/>
      <c r="E86" s="38" t="n"/>
      <c r="F86" s="39" t="n"/>
      <c r="G86" s="40">
        <f>IF(D86="","",IFERROR(VLOOKUP(D86,TASAS!$A$2:$B$10,2,FALSE),0))</f>
        <v/>
      </c>
      <c r="H86" s="41">
        <f>IF(F86="","",F86*G86)</f>
        <v/>
      </c>
      <c r="I86" s="42">
        <f>IF(E86="","",MAX(0,($G$4-E86)/365))</f>
        <v/>
      </c>
      <c r="J86" s="41">
        <f>IF(F86="","",MIN(F86,H86*I86))</f>
        <v/>
      </c>
      <c r="K86" s="41">
        <f>IF(F86="","",F86-J86)</f>
        <v/>
      </c>
      <c r="L86" s="37" t="n"/>
    </row>
    <row r="87" ht="20" customHeight="1">
      <c r="A87" s="36" t="n">
        <v>81</v>
      </c>
      <c r="B87" s="37" t="n"/>
      <c r="C87" s="37" t="n"/>
      <c r="D87" s="37" t="n"/>
      <c r="E87" s="38" t="n"/>
      <c r="F87" s="39" t="n"/>
      <c r="G87" s="40">
        <f>IF(D87="","",IFERROR(VLOOKUP(D87,TASAS!$A$2:$B$10,2,FALSE),0))</f>
        <v/>
      </c>
      <c r="H87" s="41">
        <f>IF(F87="","",F87*G87)</f>
        <v/>
      </c>
      <c r="I87" s="42">
        <f>IF(E87="","",MAX(0,($G$4-E87)/365))</f>
        <v/>
      </c>
      <c r="J87" s="41">
        <f>IF(F87="","",MIN(F87,H87*I87))</f>
        <v/>
      </c>
      <c r="K87" s="41">
        <f>IF(F87="","",F87-J87)</f>
        <v/>
      </c>
      <c r="L87" s="37" t="n"/>
    </row>
    <row r="88" ht="20" customHeight="1">
      <c r="A88" s="36" t="n">
        <v>82</v>
      </c>
      <c r="B88" s="37" t="n"/>
      <c r="C88" s="37" t="n"/>
      <c r="D88" s="37" t="n"/>
      <c r="E88" s="38" t="n"/>
      <c r="F88" s="39" t="n"/>
      <c r="G88" s="40">
        <f>IF(D88="","",IFERROR(VLOOKUP(D88,TASAS!$A$2:$B$10,2,FALSE),0))</f>
        <v/>
      </c>
      <c r="H88" s="41">
        <f>IF(F88="","",F88*G88)</f>
        <v/>
      </c>
      <c r="I88" s="42">
        <f>IF(E88="","",MAX(0,($G$4-E88)/365))</f>
        <v/>
      </c>
      <c r="J88" s="41">
        <f>IF(F88="","",MIN(F88,H88*I88))</f>
        <v/>
      </c>
      <c r="K88" s="41">
        <f>IF(F88="","",F88-J88)</f>
        <v/>
      </c>
      <c r="L88" s="37" t="n"/>
    </row>
    <row r="89" ht="20" customHeight="1">
      <c r="A89" s="36" t="n">
        <v>83</v>
      </c>
      <c r="B89" s="37" t="n"/>
      <c r="C89" s="37" t="n"/>
      <c r="D89" s="37" t="n"/>
      <c r="E89" s="38" t="n"/>
      <c r="F89" s="39" t="n"/>
      <c r="G89" s="40">
        <f>IF(D89="","",IFERROR(VLOOKUP(D89,TASAS!$A$2:$B$10,2,FALSE),0))</f>
        <v/>
      </c>
      <c r="H89" s="41">
        <f>IF(F89="","",F89*G89)</f>
        <v/>
      </c>
      <c r="I89" s="42">
        <f>IF(E89="","",MAX(0,($G$4-E89)/365))</f>
        <v/>
      </c>
      <c r="J89" s="41">
        <f>IF(F89="","",MIN(F89,H89*I89))</f>
        <v/>
      </c>
      <c r="K89" s="41">
        <f>IF(F89="","",F89-J89)</f>
        <v/>
      </c>
      <c r="L89" s="37" t="n"/>
    </row>
    <row r="90" ht="20" customHeight="1">
      <c r="A90" s="36" t="n">
        <v>84</v>
      </c>
      <c r="B90" s="37" t="n"/>
      <c r="C90" s="37" t="n"/>
      <c r="D90" s="37" t="n"/>
      <c r="E90" s="38" t="n"/>
      <c r="F90" s="39" t="n"/>
      <c r="G90" s="40">
        <f>IF(D90="","",IFERROR(VLOOKUP(D90,TASAS!$A$2:$B$10,2,FALSE),0))</f>
        <v/>
      </c>
      <c r="H90" s="41">
        <f>IF(F90="","",F90*G90)</f>
        <v/>
      </c>
      <c r="I90" s="42">
        <f>IF(E90="","",MAX(0,($G$4-E90)/365))</f>
        <v/>
      </c>
      <c r="J90" s="41">
        <f>IF(F90="","",MIN(F90,H90*I90))</f>
        <v/>
      </c>
      <c r="K90" s="41">
        <f>IF(F90="","",F90-J90)</f>
        <v/>
      </c>
      <c r="L90" s="37" t="n"/>
    </row>
    <row r="91" ht="20" customHeight="1">
      <c r="A91" s="36" t="n">
        <v>85</v>
      </c>
      <c r="B91" s="37" t="n"/>
      <c r="C91" s="37" t="n"/>
      <c r="D91" s="37" t="n"/>
      <c r="E91" s="38" t="n"/>
      <c r="F91" s="39" t="n"/>
      <c r="G91" s="40">
        <f>IF(D91="","",IFERROR(VLOOKUP(D91,TASAS!$A$2:$B$10,2,FALSE),0))</f>
        <v/>
      </c>
      <c r="H91" s="41">
        <f>IF(F91="","",F91*G91)</f>
        <v/>
      </c>
      <c r="I91" s="42">
        <f>IF(E91="","",MAX(0,($G$4-E91)/365))</f>
        <v/>
      </c>
      <c r="J91" s="41">
        <f>IF(F91="","",MIN(F91,H91*I91))</f>
        <v/>
      </c>
      <c r="K91" s="41">
        <f>IF(F91="","",F91-J91)</f>
        <v/>
      </c>
      <c r="L91" s="37" t="n"/>
    </row>
    <row r="92" ht="20" customHeight="1">
      <c r="A92" s="36" t="n">
        <v>86</v>
      </c>
      <c r="B92" s="37" t="n"/>
      <c r="C92" s="37" t="n"/>
      <c r="D92" s="37" t="n"/>
      <c r="E92" s="38" t="n"/>
      <c r="F92" s="39" t="n"/>
      <c r="G92" s="40">
        <f>IF(D92="","",IFERROR(VLOOKUP(D92,TASAS!$A$2:$B$10,2,FALSE),0))</f>
        <v/>
      </c>
      <c r="H92" s="41">
        <f>IF(F92="","",F92*G92)</f>
        <v/>
      </c>
      <c r="I92" s="42">
        <f>IF(E92="","",MAX(0,($G$4-E92)/365))</f>
        <v/>
      </c>
      <c r="J92" s="41">
        <f>IF(F92="","",MIN(F92,H92*I92))</f>
        <v/>
      </c>
      <c r="K92" s="41">
        <f>IF(F92="","",F92-J92)</f>
        <v/>
      </c>
      <c r="L92" s="37" t="n"/>
    </row>
    <row r="93" ht="20" customHeight="1">
      <c r="A93" s="36" t="n">
        <v>87</v>
      </c>
      <c r="B93" s="37" t="n"/>
      <c r="C93" s="37" t="n"/>
      <c r="D93" s="37" t="n"/>
      <c r="E93" s="38" t="n"/>
      <c r="F93" s="39" t="n"/>
      <c r="G93" s="40">
        <f>IF(D93="","",IFERROR(VLOOKUP(D93,TASAS!$A$2:$B$10,2,FALSE),0))</f>
        <v/>
      </c>
      <c r="H93" s="41">
        <f>IF(F93="","",F93*G93)</f>
        <v/>
      </c>
      <c r="I93" s="42">
        <f>IF(E93="","",MAX(0,($G$4-E93)/365))</f>
        <v/>
      </c>
      <c r="J93" s="41">
        <f>IF(F93="","",MIN(F93,H93*I93))</f>
        <v/>
      </c>
      <c r="K93" s="41">
        <f>IF(F93="","",F93-J93)</f>
        <v/>
      </c>
      <c r="L93" s="37" t="n"/>
    </row>
    <row r="94" ht="20" customHeight="1">
      <c r="A94" s="36" t="n">
        <v>88</v>
      </c>
      <c r="B94" s="37" t="n"/>
      <c r="C94" s="37" t="n"/>
      <c r="D94" s="37" t="n"/>
      <c r="E94" s="38" t="n"/>
      <c r="F94" s="39" t="n"/>
      <c r="G94" s="40">
        <f>IF(D94="","",IFERROR(VLOOKUP(D94,TASAS!$A$2:$B$10,2,FALSE),0))</f>
        <v/>
      </c>
      <c r="H94" s="41">
        <f>IF(F94="","",F94*G94)</f>
        <v/>
      </c>
      <c r="I94" s="42">
        <f>IF(E94="","",MAX(0,($G$4-E94)/365))</f>
        <v/>
      </c>
      <c r="J94" s="41">
        <f>IF(F94="","",MIN(F94,H94*I94))</f>
        <v/>
      </c>
      <c r="K94" s="41">
        <f>IF(F94="","",F94-J94)</f>
        <v/>
      </c>
      <c r="L94" s="37" t="n"/>
    </row>
    <row r="95" ht="20" customHeight="1">
      <c r="A95" s="36" t="n">
        <v>89</v>
      </c>
      <c r="B95" s="37" t="n"/>
      <c r="C95" s="37" t="n"/>
      <c r="D95" s="37" t="n"/>
      <c r="E95" s="38" t="n"/>
      <c r="F95" s="39" t="n"/>
      <c r="G95" s="40">
        <f>IF(D95="","",IFERROR(VLOOKUP(D95,TASAS!$A$2:$B$10,2,FALSE),0))</f>
        <v/>
      </c>
      <c r="H95" s="41">
        <f>IF(F95="","",F95*G95)</f>
        <v/>
      </c>
      <c r="I95" s="42">
        <f>IF(E95="","",MAX(0,($G$4-E95)/365))</f>
        <v/>
      </c>
      <c r="J95" s="41">
        <f>IF(F95="","",MIN(F95,H95*I95))</f>
        <v/>
      </c>
      <c r="K95" s="41">
        <f>IF(F95="","",F95-J95)</f>
        <v/>
      </c>
      <c r="L95" s="37" t="n"/>
    </row>
    <row r="96" ht="20" customHeight="1">
      <c r="A96" s="36" t="n">
        <v>90</v>
      </c>
      <c r="B96" s="37" t="n"/>
      <c r="C96" s="37" t="n"/>
      <c r="D96" s="37" t="n"/>
      <c r="E96" s="38" t="n"/>
      <c r="F96" s="39" t="n"/>
      <c r="G96" s="40">
        <f>IF(D96="","",IFERROR(VLOOKUP(D96,TASAS!$A$2:$B$10,2,FALSE),0))</f>
        <v/>
      </c>
      <c r="H96" s="41">
        <f>IF(F96="","",F96*G96)</f>
        <v/>
      </c>
      <c r="I96" s="42">
        <f>IF(E96="","",MAX(0,($G$4-E96)/365))</f>
        <v/>
      </c>
      <c r="J96" s="41">
        <f>IF(F96="","",MIN(F96,H96*I96))</f>
        <v/>
      </c>
      <c r="K96" s="41">
        <f>IF(F96="","",F96-J96)</f>
        <v/>
      </c>
      <c r="L96" s="37" t="n"/>
    </row>
    <row r="97" ht="20" customHeight="1">
      <c r="A97" s="36" t="n">
        <v>91</v>
      </c>
      <c r="B97" s="37" t="n"/>
      <c r="C97" s="37" t="n"/>
      <c r="D97" s="37" t="n"/>
      <c r="E97" s="38" t="n"/>
      <c r="F97" s="39" t="n"/>
      <c r="G97" s="40">
        <f>IF(D97="","",IFERROR(VLOOKUP(D97,TASAS!$A$2:$B$10,2,FALSE),0))</f>
        <v/>
      </c>
      <c r="H97" s="41">
        <f>IF(F97="","",F97*G97)</f>
        <v/>
      </c>
      <c r="I97" s="42">
        <f>IF(E97="","",MAX(0,($G$4-E97)/365))</f>
        <v/>
      </c>
      <c r="J97" s="41">
        <f>IF(F97="","",MIN(F97,H97*I97))</f>
        <v/>
      </c>
      <c r="K97" s="41">
        <f>IF(F97="","",F97-J97)</f>
        <v/>
      </c>
      <c r="L97" s="37" t="n"/>
    </row>
    <row r="98" ht="20" customHeight="1">
      <c r="A98" s="36" t="n">
        <v>92</v>
      </c>
      <c r="B98" s="37" t="n"/>
      <c r="C98" s="37" t="n"/>
      <c r="D98" s="37" t="n"/>
      <c r="E98" s="38" t="n"/>
      <c r="F98" s="39" t="n"/>
      <c r="G98" s="40">
        <f>IF(D98="","",IFERROR(VLOOKUP(D98,TASAS!$A$2:$B$10,2,FALSE),0))</f>
        <v/>
      </c>
      <c r="H98" s="41">
        <f>IF(F98="","",F98*G98)</f>
        <v/>
      </c>
      <c r="I98" s="42">
        <f>IF(E98="","",MAX(0,($G$4-E98)/365))</f>
        <v/>
      </c>
      <c r="J98" s="41">
        <f>IF(F98="","",MIN(F98,H98*I98))</f>
        <v/>
      </c>
      <c r="K98" s="41">
        <f>IF(F98="","",F98-J98)</f>
        <v/>
      </c>
      <c r="L98" s="37" t="n"/>
    </row>
    <row r="99" ht="20" customHeight="1">
      <c r="A99" s="36" t="n">
        <v>93</v>
      </c>
      <c r="B99" s="37" t="n"/>
      <c r="C99" s="37" t="n"/>
      <c r="D99" s="37" t="n"/>
      <c r="E99" s="38" t="n"/>
      <c r="F99" s="39" t="n"/>
      <c r="G99" s="40">
        <f>IF(D99="","",IFERROR(VLOOKUP(D99,TASAS!$A$2:$B$10,2,FALSE),0))</f>
        <v/>
      </c>
      <c r="H99" s="41">
        <f>IF(F99="","",F99*G99)</f>
        <v/>
      </c>
      <c r="I99" s="42">
        <f>IF(E99="","",MAX(0,($G$4-E99)/365))</f>
        <v/>
      </c>
      <c r="J99" s="41">
        <f>IF(F99="","",MIN(F99,H99*I99))</f>
        <v/>
      </c>
      <c r="K99" s="41">
        <f>IF(F99="","",F99-J99)</f>
        <v/>
      </c>
      <c r="L99" s="37" t="n"/>
    </row>
    <row r="100" ht="20" customHeight="1">
      <c r="A100" s="36" t="n">
        <v>94</v>
      </c>
      <c r="B100" s="37" t="n"/>
      <c r="C100" s="37" t="n"/>
      <c r="D100" s="37" t="n"/>
      <c r="E100" s="38" t="n"/>
      <c r="F100" s="39" t="n"/>
      <c r="G100" s="40">
        <f>IF(D100="","",IFERROR(VLOOKUP(D100,TASAS!$A$2:$B$10,2,FALSE),0))</f>
        <v/>
      </c>
      <c r="H100" s="41">
        <f>IF(F100="","",F100*G100)</f>
        <v/>
      </c>
      <c r="I100" s="42">
        <f>IF(E100="","",MAX(0,($G$4-E100)/365))</f>
        <v/>
      </c>
      <c r="J100" s="41">
        <f>IF(F100="","",MIN(F100,H100*I100))</f>
        <v/>
      </c>
      <c r="K100" s="41">
        <f>IF(F100="","",F100-J100)</f>
        <v/>
      </c>
      <c r="L100" s="37" t="n"/>
    </row>
    <row r="101" ht="20" customHeight="1">
      <c r="A101" s="36" t="n">
        <v>95</v>
      </c>
      <c r="B101" s="37" t="n"/>
      <c r="C101" s="37" t="n"/>
      <c r="D101" s="37" t="n"/>
      <c r="E101" s="38" t="n"/>
      <c r="F101" s="39" t="n"/>
      <c r="G101" s="40">
        <f>IF(D101="","",IFERROR(VLOOKUP(D101,TASAS!$A$2:$B$10,2,FALSE),0))</f>
        <v/>
      </c>
      <c r="H101" s="41">
        <f>IF(F101="","",F101*G101)</f>
        <v/>
      </c>
      <c r="I101" s="42">
        <f>IF(E101="","",MAX(0,($G$4-E101)/365))</f>
        <v/>
      </c>
      <c r="J101" s="41">
        <f>IF(F101="","",MIN(F101,H101*I101))</f>
        <v/>
      </c>
      <c r="K101" s="41">
        <f>IF(F101="","",F101-J101)</f>
        <v/>
      </c>
      <c r="L101" s="37" t="n"/>
    </row>
    <row r="102" ht="20" customHeight="1">
      <c r="A102" s="36" t="n">
        <v>96</v>
      </c>
      <c r="B102" s="37" t="n"/>
      <c r="C102" s="37" t="n"/>
      <c r="D102" s="37" t="n"/>
      <c r="E102" s="38" t="n"/>
      <c r="F102" s="39" t="n"/>
      <c r="G102" s="40">
        <f>IF(D102="","",IFERROR(VLOOKUP(D102,TASAS!$A$2:$B$10,2,FALSE),0))</f>
        <v/>
      </c>
      <c r="H102" s="41">
        <f>IF(F102="","",F102*G102)</f>
        <v/>
      </c>
      <c r="I102" s="42">
        <f>IF(E102="","",MAX(0,($G$4-E102)/365))</f>
        <v/>
      </c>
      <c r="J102" s="41">
        <f>IF(F102="","",MIN(F102,H102*I102))</f>
        <v/>
      </c>
      <c r="K102" s="41">
        <f>IF(F102="","",F102-J102)</f>
        <v/>
      </c>
      <c r="L102" s="37" t="n"/>
    </row>
    <row r="103" ht="20" customHeight="1">
      <c r="A103" s="36" t="n">
        <v>97</v>
      </c>
      <c r="B103" s="37" t="n"/>
      <c r="C103" s="37" t="n"/>
      <c r="D103" s="37" t="n"/>
      <c r="E103" s="38" t="n"/>
      <c r="F103" s="39" t="n"/>
      <c r="G103" s="40">
        <f>IF(D103="","",IFERROR(VLOOKUP(D103,TASAS!$A$2:$B$10,2,FALSE),0))</f>
        <v/>
      </c>
      <c r="H103" s="41">
        <f>IF(F103="","",F103*G103)</f>
        <v/>
      </c>
      <c r="I103" s="42">
        <f>IF(E103="","",MAX(0,($G$4-E103)/365))</f>
        <v/>
      </c>
      <c r="J103" s="41">
        <f>IF(F103="","",MIN(F103,H103*I103))</f>
        <v/>
      </c>
      <c r="K103" s="41">
        <f>IF(F103="","",F103-J103)</f>
        <v/>
      </c>
      <c r="L103" s="37" t="n"/>
    </row>
    <row r="104" ht="20" customHeight="1">
      <c r="A104" s="36" t="n">
        <v>98</v>
      </c>
      <c r="B104" s="37" t="n"/>
      <c r="C104" s="37" t="n"/>
      <c r="D104" s="37" t="n"/>
      <c r="E104" s="38" t="n"/>
      <c r="F104" s="39" t="n"/>
      <c r="G104" s="40">
        <f>IF(D104="","",IFERROR(VLOOKUP(D104,TASAS!$A$2:$B$10,2,FALSE),0))</f>
        <v/>
      </c>
      <c r="H104" s="41">
        <f>IF(F104="","",F104*G104)</f>
        <v/>
      </c>
      <c r="I104" s="42">
        <f>IF(E104="","",MAX(0,($G$4-E104)/365))</f>
        <v/>
      </c>
      <c r="J104" s="41">
        <f>IF(F104="","",MIN(F104,H104*I104))</f>
        <v/>
      </c>
      <c r="K104" s="41">
        <f>IF(F104="","",F104-J104)</f>
        <v/>
      </c>
      <c r="L104" s="37" t="n"/>
    </row>
    <row r="105" ht="20" customHeight="1">
      <c r="A105" s="36" t="n">
        <v>99</v>
      </c>
      <c r="B105" s="37" t="n"/>
      <c r="C105" s="37" t="n"/>
      <c r="D105" s="37" t="n"/>
      <c r="E105" s="38" t="n"/>
      <c r="F105" s="39" t="n"/>
      <c r="G105" s="40">
        <f>IF(D105="","",IFERROR(VLOOKUP(D105,TASAS!$A$2:$B$10,2,FALSE),0))</f>
        <v/>
      </c>
      <c r="H105" s="41">
        <f>IF(F105="","",F105*G105)</f>
        <v/>
      </c>
      <c r="I105" s="42">
        <f>IF(E105="","",MAX(0,($G$4-E105)/365))</f>
        <v/>
      </c>
      <c r="J105" s="41">
        <f>IF(F105="","",MIN(F105,H105*I105))</f>
        <v/>
      </c>
      <c r="K105" s="41">
        <f>IF(F105="","",F105-J105)</f>
        <v/>
      </c>
      <c r="L105" s="37" t="n"/>
    </row>
    <row r="106" ht="20" customHeight="1">
      <c r="A106" s="36" t="n">
        <v>100</v>
      </c>
      <c r="B106" s="37" t="n"/>
      <c r="C106" s="37" t="n"/>
      <c r="D106" s="37" t="n"/>
      <c r="E106" s="38" t="n"/>
      <c r="F106" s="39" t="n"/>
      <c r="G106" s="40">
        <f>IF(D106="","",IFERROR(VLOOKUP(D106,TASAS!$A$2:$B$10,2,FALSE),0))</f>
        <v/>
      </c>
      <c r="H106" s="41">
        <f>IF(F106="","",F106*G106)</f>
        <v/>
      </c>
      <c r="I106" s="42">
        <f>IF(E106="","",MAX(0,($G$4-E106)/365))</f>
        <v/>
      </c>
      <c r="J106" s="41">
        <f>IF(F106="","",MIN(F106,H106*I106))</f>
        <v/>
      </c>
      <c r="K106" s="41">
        <f>IF(F106="","",F106-J106)</f>
        <v/>
      </c>
      <c r="L106" s="37" t="n"/>
    </row>
    <row r="107" ht="20" customHeight="1">
      <c r="A107" s="36" t="n">
        <v>101</v>
      </c>
      <c r="B107" s="37" t="n"/>
      <c r="C107" s="37" t="n"/>
      <c r="D107" s="37" t="n"/>
      <c r="E107" s="38" t="n"/>
      <c r="F107" s="39" t="n"/>
      <c r="G107" s="40">
        <f>IF(D107="","",IFERROR(VLOOKUP(D107,TASAS!$A$2:$B$10,2,FALSE),0))</f>
        <v/>
      </c>
      <c r="H107" s="41">
        <f>IF(F107="","",F107*G107)</f>
        <v/>
      </c>
      <c r="I107" s="42">
        <f>IF(E107="","",MAX(0,($G$4-E107)/365))</f>
        <v/>
      </c>
      <c r="J107" s="41">
        <f>IF(F107="","",MIN(F107,H107*I107))</f>
        <v/>
      </c>
      <c r="K107" s="41">
        <f>IF(F107="","",F107-J107)</f>
        <v/>
      </c>
      <c r="L107" s="37" t="n"/>
    </row>
    <row r="108" ht="20" customHeight="1">
      <c r="A108" s="36" t="n">
        <v>102</v>
      </c>
      <c r="B108" s="37" t="n"/>
      <c r="C108" s="37" t="n"/>
      <c r="D108" s="37" t="n"/>
      <c r="E108" s="38" t="n"/>
      <c r="F108" s="39" t="n"/>
      <c r="G108" s="40">
        <f>IF(D108="","",IFERROR(VLOOKUP(D108,TASAS!$A$2:$B$10,2,FALSE),0))</f>
        <v/>
      </c>
      <c r="H108" s="41">
        <f>IF(F108="","",F108*G108)</f>
        <v/>
      </c>
      <c r="I108" s="42">
        <f>IF(E108="","",MAX(0,($G$4-E108)/365))</f>
        <v/>
      </c>
      <c r="J108" s="41">
        <f>IF(F108="","",MIN(F108,H108*I108))</f>
        <v/>
      </c>
      <c r="K108" s="41">
        <f>IF(F108="","",F108-J108)</f>
        <v/>
      </c>
      <c r="L108" s="37" t="n"/>
    </row>
    <row r="109" ht="20" customHeight="1">
      <c r="A109" s="36" t="n">
        <v>103</v>
      </c>
      <c r="B109" s="37" t="n"/>
      <c r="C109" s="37" t="n"/>
      <c r="D109" s="37" t="n"/>
      <c r="E109" s="38" t="n"/>
      <c r="F109" s="39" t="n"/>
      <c r="G109" s="40">
        <f>IF(D109="","",IFERROR(VLOOKUP(D109,TASAS!$A$2:$B$10,2,FALSE),0))</f>
        <v/>
      </c>
      <c r="H109" s="41">
        <f>IF(F109="","",F109*G109)</f>
        <v/>
      </c>
      <c r="I109" s="42">
        <f>IF(E109="","",MAX(0,($G$4-E109)/365))</f>
        <v/>
      </c>
      <c r="J109" s="41">
        <f>IF(F109="","",MIN(F109,H109*I109))</f>
        <v/>
      </c>
      <c r="K109" s="41">
        <f>IF(F109="","",F109-J109)</f>
        <v/>
      </c>
      <c r="L109" s="37" t="n"/>
    </row>
    <row r="110" ht="20" customHeight="1">
      <c r="A110" s="36" t="n">
        <v>104</v>
      </c>
      <c r="B110" s="37" t="n"/>
      <c r="C110" s="37" t="n"/>
      <c r="D110" s="37" t="n"/>
      <c r="E110" s="38" t="n"/>
      <c r="F110" s="39" t="n"/>
      <c r="G110" s="40">
        <f>IF(D110="","",IFERROR(VLOOKUP(D110,TASAS!$A$2:$B$10,2,FALSE),0))</f>
        <v/>
      </c>
      <c r="H110" s="41">
        <f>IF(F110="","",F110*G110)</f>
        <v/>
      </c>
      <c r="I110" s="42">
        <f>IF(E110="","",MAX(0,($G$4-E110)/365))</f>
        <v/>
      </c>
      <c r="J110" s="41">
        <f>IF(F110="","",MIN(F110,H110*I110))</f>
        <v/>
      </c>
      <c r="K110" s="41">
        <f>IF(F110="","",F110-J110)</f>
        <v/>
      </c>
      <c r="L110" s="37" t="n"/>
    </row>
    <row r="111" ht="20" customHeight="1">
      <c r="A111" s="36" t="n">
        <v>105</v>
      </c>
      <c r="B111" s="37" t="n"/>
      <c r="C111" s="37" t="n"/>
      <c r="D111" s="37" t="n"/>
      <c r="E111" s="38" t="n"/>
      <c r="F111" s="39" t="n"/>
      <c r="G111" s="40">
        <f>IF(D111="","",IFERROR(VLOOKUP(D111,TASAS!$A$2:$B$10,2,FALSE),0))</f>
        <v/>
      </c>
      <c r="H111" s="41">
        <f>IF(F111="","",F111*G111)</f>
        <v/>
      </c>
      <c r="I111" s="42">
        <f>IF(E111="","",MAX(0,($G$4-E111)/365))</f>
        <v/>
      </c>
      <c r="J111" s="41">
        <f>IF(F111="","",MIN(F111,H111*I111))</f>
        <v/>
      </c>
      <c r="K111" s="41">
        <f>IF(F111="","",F111-J111)</f>
        <v/>
      </c>
      <c r="L111" s="37" t="n"/>
    </row>
    <row r="112" ht="20" customHeight="1">
      <c r="A112" s="36" t="n">
        <v>106</v>
      </c>
      <c r="B112" s="37" t="n"/>
      <c r="C112" s="37" t="n"/>
      <c r="D112" s="37" t="n"/>
      <c r="E112" s="38" t="n"/>
      <c r="F112" s="39" t="n"/>
      <c r="G112" s="40">
        <f>IF(D112="","",IFERROR(VLOOKUP(D112,TASAS!$A$2:$B$10,2,FALSE),0))</f>
        <v/>
      </c>
      <c r="H112" s="41">
        <f>IF(F112="","",F112*G112)</f>
        <v/>
      </c>
      <c r="I112" s="42">
        <f>IF(E112="","",MAX(0,($G$4-E112)/365))</f>
        <v/>
      </c>
      <c r="J112" s="41">
        <f>IF(F112="","",MIN(F112,H112*I112))</f>
        <v/>
      </c>
      <c r="K112" s="41">
        <f>IF(F112="","",F112-J112)</f>
        <v/>
      </c>
      <c r="L112" s="37" t="n"/>
    </row>
    <row r="113" ht="20" customHeight="1">
      <c r="A113" s="36" t="n">
        <v>107</v>
      </c>
      <c r="B113" s="37" t="n"/>
      <c r="C113" s="37" t="n"/>
      <c r="D113" s="37" t="n"/>
      <c r="E113" s="38" t="n"/>
      <c r="F113" s="39" t="n"/>
      <c r="G113" s="40">
        <f>IF(D113="","",IFERROR(VLOOKUP(D113,TASAS!$A$2:$B$10,2,FALSE),0))</f>
        <v/>
      </c>
      <c r="H113" s="41">
        <f>IF(F113="","",F113*G113)</f>
        <v/>
      </c>
      <c r="I113" s="42">
        <f>IF(E113="","",MAX(0,($G$4-E113)/365))</f>
        <v/>
      </c>
      <c r="J113" s="41">
        <f>IF(F113="","",MIN(F113,H113*I113))</f>
        <v/>
      </c>
      <c r="K113" s="41">
        <f>IF(F113="","",F113-J113)</f>
        <v/>
      </c>
      <c r="L113" s="37" t="n"/>
    </row>
    <row r="114" ht="20" customHeight="1">
      <c r="A114" s="36" t="n">
        <v>108</v>
      </c>
      <c r="B114" s="37" t="n"/>
      <c r="C114" s="37" t="n"/>
      <c r="D114" s="37" t="n"/>
      <c r="E114" s="38" t="n"/>
      <c r="F114" s="39" t="n"/>
      <c r="G114" s="40">
        <f>IF(D114="","",IFERROR(VLOOKUP(D114,TASAS!$A$2:$B$10,2,FALSE),0))</f>
        <v/>
      </c>
      <c r="H114" s="41">
        <f>IF(F114="","",F114*G114)</f>
        <v/>
      </c>
      <c r="I114" s="42">
        <f>IF(E114="","",MAX(0,($G$4-E114)/365))</f>
        <v/>
      </c>
      <c r="J114" s="41">
        <f>IF(F114="","",MIN(F114,H114*I114))</f>
        <v/>
      </c>
      <c r="K114" s="41">
        <f>IF(F114="","",F114-J114)</f>
        <v/>
      </c>
      <c r="L114" s="37" t="n"/>
    </row>
    <row r="115" ht="20" customHeight="1">
      <c r="A115" s="36" t="n">
        <v>109</v>
      </c>
      <c r="B115" s="37" t="n"/>
      <c r="C115" s="37" t="n"/>
      <c r="D115" s="37" t="n"/>
      <c r="E115" s="38" t="n"/>
      <c r="F115" s="39" t="n"/>
      <c r="G115" s="40">
        <f>IF(D115="","",IFERROR(VLOOKUP(D115,TASAS!$A$2:$B$10,2,FALSE),0))</f>
        <v/>
      </c>
      <c r="H115" s="41">
        <f>IF(F115="","",F115*G115)</f>
        <v/>
      </c>
      <c r="I115" s="42">
        <f>IF(E115="","",MAX(0,($G$4-E115)/365))</f>
        <v/>
      </c>
      <c r="J115" s="41">
        <f>IF(F115="","",MIN(F115,H115*I115))</f>
        <v/>
      </c>
      <c r="K115" s="41">
        <f>IF(F115="","",F115-J115)</f>
        <v/>
      </c>
      <c r="L115" s="37" t="n"/>
    </row>
    <row r="116" ht="20" customHeight="1">
      <c r="A116" s="36" t="n">
        <v>110</v>
      </c>
      <c r="B116" s="37" t="n"/>
      <c r="C116" s="37" t="n"/>
      <c r="D116" s="37" t="n"/>
      <c r="E116" s="38" t="n"/>
      <c r="F116" s="39" t="n"/>
      <c r="G116" s="40">
        <f>IF(D116="","",IFERROR(VLOOKUP(D116,TASAS!$A$2:$B$10,2,FALSE),0))</f>
        <v/>
      </c>
      <c r="H116" s="41">
        <f>IF(F116="","",F116*G116)</f>
        <v/>
      </c>
      <c r="I116" s="42">
        <f>IF(E116="","",MAX(0,($G$4-E116)/365))</f>
        <v/>
      </c>
      <c r="J116" s="41">
        <f>IF(F116="","",MIN(F116,H116*I116))</f>
        <v/>
      </c>
      <c r="K116" s="41">
        <f>IF(F116="","",F116-J116)</f>
        <v/>
      </c>
      <c r="L116" s="37" t="n"/>
    </row>
    <row r="117" ht="20" customHeight="1">
      <c r="A117" s="36" t="n">
        <v>111</v>
      </c>
      <c r="B117" s="37" t="n"/>
      <c r="C117" s="37" t="n"/>
      <c r="D117" s="37" t="n"/>
      <c r="E117" s="38" t="n"/>
      <c r="F117" s="39" t="n"/>
      <c r="G117" s="40">
        <f>IF(D117="","",IFERROR(VLOOKUP(D117,TASAS!$A$2:$B$10,2,FALSE),0))</f>
        <v/>
      </c>
      <c r="H117" s="41">
        <f>IF(F117="","",F117*G117)</f>
        <v/>
      </c>
      <c r="I117" s="42">
        <f>IF(E117="","",MAX(0,($G$4-E117)/365))</f>
        <v/>
      </c>
      <c r="J117" s="41">
        <f>IF(F117="","",MIN(F117,H117*I117))</f>
        <v/>
      </c>
      <c r="K117" s="41">
        <f>IF(F117="","",F117-J117)</f>
        <v/>
      </c>
      <c r="L117" s="37" t="n"/>
    </row>
    <row r="118" ht="20" customHeight="1">
      <c r="A118" s="36" t="n">
        <v>112</v>
      </c>
      <c r="B118" s="37" t="n"/>
      <c r="C118" s="37" t="n"/>
      <c r="D118" s="37" t="n"/>
      <c r="E118" s="38" t="n"/>
      <c r="F118" s="39" t="n"/>
      <c r="G118" s="40">
        <f>IF(D118="","",IFERROR(VLOOKUP(D118,TASAS!$A$2:$B$10,2,FALSE),0))</f>
        <v/>
      </c>
      <c r="H118" s="41">
        <f>IF(F118="","",F118*G118)</f>
        <v/>
      </c>
      <c r="I118" s="42">
        <f>IF(E118="","",MAX(0,($G$4-E118)/365))</f>
        <v/>
      </c>
      <c r="J118" s="41">
        <f>IF(F118="","",MIN(F118,H118*I118))</f>
        <v/>
      </c>
      <c r="K118" s="41">
        <f>IF(F118="","",F118-J118)</f>
        <v/>
      </c>
      <c r="L118" s="37" t="n"/>
    </row>
    <row r="119" ht="20" customHeight="1">
      <c r="A119" s="36" t="n">
        <v>113</v>
      </c>
      <c r="B119" s="37" t="n"/>
      <c r="C119" s="37" t="n"/>
      <c r="D119" s="37" t="n"/>
      <c r="E119" s="38" t="n"/>
      <c r="F119" s="39" t="n"/>
      <c r="G119" s="40">
        <f>IF(D119="","",IFERROR(VLOOKUP(D119,TASAS!$A$2:$B$10,2,FALSE),0))</f>
        <v/>
      </c>
      <c r="H119" s="41">
        <f>IF(F119="","",F119*G119)</f>
        <v/>
      </c>
      <c r="I119" s="42">
        <f>IF(E119="","",MAX(0,($G$4-E119)/365))</f>
        <v/>
      </c>
      <c r="J119" s="41">
        <f>IF(F119="","",MIN(F119,H119*I119))</f>
        <v/>
      </c>
      <c r="K119" s="41">
        <f>IF(F119="","",F119-J119)</f>
        <v/>
      </c>
      <c r="L119" s="37" t="n"/>
    </row>
    <row r="120" ht="20" customHeight="1">
      <c r="A120" s="36" t="n">
        <v>114</v>
      </c>
      <c r="B120" s="37" t="n"/>
      <c r="C120" s="37" t="n"/>
      <c r="D120" s="37" t="n"/>
      <c r="E120" s="38" t="n"/>
      <c r="F120" s="39" t="n"/>
      <c r="G120" s="40">
        <f>IF(D120="","",IFERROR(VLOOKUP(D120,TASAS!$A$2:$B$10,2,FALSE),0))</f>
        <v/>
      </c>
      <c r="H120" s="41">
        <f>IF(F120="","",F120*G120)</f>
        <v/>
      </c>
      <c r="I120" s="42">
        <f>IF(E120="","",MAX(0,($G$4-E120)/365))</f>
        <v/>
      </c>
      <c r="J120" s="41">
        <f>IF(F120="","",MIN(F120,H120*I120))</f>
        <v/>
      </c>
      <c r="K120" s="41">
        <f>IF(F120="","",F120-J120)</f>
        <v/>
      </c>
      <c r="L120" s="37" t="n"/>
    </row>
    <row r="121" ht="20" customHeight="1">
      <c r="A121" s="36" t="n">
        <v>115</v>
      </c>
      <c r="B121" s="37" t="n"/>
      <c r="C121" s="37" t="n"/>
      <c r="D121" s="37" t="n"/>
      <c r="E121" s="38" t="n"/>
      <c r="F121" s="39" t="n"/>
      <c r="G121" s="40">
        <f>IF(D121="","",IFERROR(VLOOKUP(D121,TASAS!$A$2:$B$10,2,FALSE),0))</f>
        <v/>
      </c>
      <c r="H121" s="41">
        <f>IF(F121="","",F121*G121)</f>
        <v/>
      </c>
      <c r="I121" s="42">
        <f>IF(E121="","",MAX(0,($G$4-E121)/365))</f>
        <v/>
      </c>
      <c r="J121" s="41">
        <f>IF(F121="","",MIN(F121,H121*I121))</f>
        <v/>
      </c>
      <c r="K121" s="41">
        <f>IF(F121="","",F121-J121)</f>
        <v/>
      </c>
      <c r="L121" s="37" t="n"/>
    </row>
    <row r="122" ht="20" customHeight="1">
      <c r="A122" s="36" t="n">
        <v>116</v>
      </c>
      <c r="B122" s="37" t="n"/>
      <c r="C122" s="37" t="n"/>
      <c r="D122" s="37" t="n"/>
      <c r="E122" s="38" t="n"/>
      <c r="F122" s="39" t="n"/>
      <c r="G122" s="40">
        <f>IF(D122="","",IFERROR(VLOOKUP(D122,TASAS!$A$2:$B$10,2,FALSE),0))</f>
        <v/>
      </c>
      <c r="H122" s="41">
        <f>IF(F122="","",F122*G122)</f>
        <v/>
      </c>
      <c r="I122" s="42">
        <f>IF(E122="","",MAX(0,($G$4-E122)/365))</f>
        <v/>
      </c>
      <c r="J122" s="41">
        <f>IF(F122="","",MIN(F122,H122*I122))</f>
        <v/>
      </c>
      <c r="K122" s="41">
        <f>IF(F122="","",F122-J122)</f>
        <v/>
      </c>
      <c r="L122" s="37" t="n"/>
    </row>
    <row r="123" ht="20" customHeight="1">
      <c r="A123" s="36" t="n">
        <v>117</v>
      </c>
      <c r="B123" s="37" t="n"/>
      <c r="C123" s="37" t="n"/>
      <c r="D123" s="37" t="n"/>
      <c r="E123" s="38" t="n"/>
      <c r="F123" s="39" t="n"/>
      <c r="G123" s="40">
        <f>IF(D123="","",IFERROR(VLOOKUP(D123,TASAS!$A$2:$B$10,2,FALSE),0))</f>
        <v/>
      </c>
      <c r="H123" s="41">
        <f>IF(F123="","",F123*G123)</f>
        <v/>
      </c>
      <c r="I123" s="42">
        <f>IF(E123="","",MAX(0,($G$4-E123)/365))</f>
        <v/>
      </c>
      <c r="J123" s="41">
        <f>IF(F123="","",MIN(F123,H123*I123))</f>
        <v/>
      </c>
      <c r="K123" s="41">
        <f>IF(F123="","",F123-J123)</f>
        <v/>
      </c>
      <c r="L123" s="37" t="n"/>
    </row>
    <row r="124" ht="20" customHeight="1">
      <c r="A124" s="36" t="n">
        <v>118</v>
      </c>
      <c r="B124" s="37" t="n"/>
      <c r="C124" s="37" t="n"/>
      <c r="D124" s="37" t="n"/>
      <c r="E124" s="38" t="n"/>
      <c r="F124" s="39" t="n"/>
      <c r="G124" s="40">
        <f>IF(D124="","",IFERROR(VLOOKUP(D124,TASAS!$A$2:$B$10,2,FALSE),0))</f>
        <v/>
      </c>
      <c r="H124" s="41">
        <f>IF(F124="","",F124*G124)</f>
        <v/>
      </c>
      <c r="I124" s="42">
        <f>IF(E124="","",MAX(0,($G$4-E124)/365))</f>
        <v/>
      </c>
      <c r="J124" s="41">
        <f>IF(F124="","",MIN(F124,H124*I124))</f>
        <v/>
      </c>
      <c r="K124" s="41">
        <f>IF(F124="","",F124-J124)</f>
        <v/>
      </c>
      <c r="L124" s="37" t="n"/>
    </row>
    <row r="125" ht="20" customHeight="1">
      <c r="A125" s="36" t="n">
        <v>119</v>
      </c>
      <c r="B125" s="37" t="n"/>
      <c r="C125" s="37" t="n"/>
      <c r="D125" s="37" t="n"/>
      <c r="E125" s="38" t="n"/>
      <c r="F125" s="39" t="n"/>
      <c r="G125" s="40">
        <f>IF(D125="","",IFERROR(VLOOKUP(D125,TASAS!$A$2:$B$10,2,FALSE),0))</f>
        <v/>
      </c>
      <c r="H125" s="41">
        <f>IF(F125="","",F125*G125)</f>
        <v/>
      </c>
      <c r="I125" s="42">
        <f>IF(E125="","",MAX(0,($G$4-E125)/365))</f>
        <v/>
      </c>
      <c r="J125" s="41">
        <f>IF(F125="","",MIN(F125,H125*I125))</f>
        <v/>
      </c>
      <c r="K125" s="41">
        <f>IF(F125="","",F125-J125)</f>
        <v/>
      </c>
      <c r="L125" s="37" t="n"/>
    </row>
    <row r="126" ht="20" customHeight="1">
      <c r="A126" s="36" t="n">
        <v>120</v>
      </c>
      <c r="B126" s="37" t="n"/>
      <c r="C126" s="37" t="n"/>
      <c r="D126" s="37" t="n"/>
      <c r="E126" s="38" t="n"/>
      <c r="F126" s="39" t="n"/>
      <c r="G126" s="40">
        <f>IF(D126="","",IFERROR(VLOOKUP(D126,TASAS!$A$2:$B$10,2,FALSE),0))</f>
        <v/>
      </c>
      <c r="H126" s="41">
        <f>IF(F126="","",F126*G126)</f>
        <v/>
      </c>
      <c r="I126" s="42">
        <f>IF(E126="","",MAX(0,($G$4-E126)/365))</f>
        <v/>
      </c>
      <c r="J126" s="41">
        <f>IF(F126="","",MIN(F126,H126*I126))</f>
        <v/>
      </c>
      <c r="K126" s="41">
        <f>IF(F126="","",F126-J126)</f>
        <v/>
      </c>
      <c r="L126" s="37" t="n"/>
    </row>
    <row r="127" ht="20" customHeight="1">
      <c r="A127" s="36" t="n">
        <v>121</v>
      </c>
      <c r="B127" s="37" t="n"/>
      <c r="C127" s="37" t="n"/>
      <c r="D127" s="37" t="n"/>
      <c r="E127" s="38" t="n"/>
      <c r="F127" s="39" t="n"/>
      <c r="G127" s="40">
        <f>IF(D127="","",IFERROR(VLOOKUP(D127,TASAS!$A$2:$B$10,2,FALSE),0))</f>
        <v/>
      </c>
      <c r="H127" s="41">
        <f>IF(F127="","",F127*G127)</f>
        <v/>
      </c>
      <c r="I127" s="42">
        <f>IF(E127="","",MAX(0,($G$4-E127)/365))</f>
        <v/>
      </c>
      <c r="J127" s="41">
        <f>IF(F127="","",MIN(F127,H127*I127))</f>
        <v/>
      </c>
      <c r="K127" s="41">
        <f>IF(F127="","",F127-J127)</f>
        <v/>
      </c>
      <c r="L127" s="37" t="n"/>
    </row>
    <row r="128" ht="20" customHeight="1">
      <c r="A128" s="36" t="n">
        <v>122</v>
      </c>
      <c r="B128" s="37" t="n"/>
      <c r="C128" s="37" t="n"/>
      <c r="D128" s="37" t="n"/>
      <c r="E128" s="38" t="n"/>
      <c r="F128" s="39" t="n"/>
      <c r="G128" s="40">
        <f>IF(D128="","",IFERROR(VLOOKUP(D128,TASAS!$A$2:$B$10,2,FALSE),0))</f>
        <v/>
      </c>
      <c r="H128" s="41">
        <f>IF(F128="","",F128*G128)</f>
        <v/>
      </c>
      <c r="I128" s="42">
        <f>IF(E128="","",MAX(0,($G$4-E128)/365))</f>
        <v/>
      </c>
      <c r="J128" s="41">
        <f>IF(F128="","",MIN(F128,H128*I128))</f>
        <v/>
      </c>
      <c r="K128" s="41">
        <f>IF(F128="","",F128-J128)</f>
        <v/>
      </c>
      <c r="L128" s="37" t="n"/>
    </row>
    <row r="129" ht="20" customHeight="1">
      <c r="A129" s="36" t="n">
        <v>123</v>
      </c>
      <c r="B129" s="37" t="n"/>
      <c r="C129" s="37" t="n"/>
      <c r="D129" s="37" t="n"/>
      <c r="E129" s="38" t="n"/>
      <c r="F129" s="39" t="n"/>
      <c r="G129" s="40">
        <f>IF(D129="","",IFERROR(VLOOKUP(D129,TASAS!$A$2:$B$10,2,FALSE),0))</f>
        <v/>
      </c>
      <c r="H129" s="41">
        <f>IF(F129="","",F129*G129)</f>
        <v/>
      </c>
      <c r="I129" s="42">
        <f>IF(E129="","",MAX(0,($G$4-E129)/365))</f>
        <v/>
      </c>
      <c r="J129" s="41">
        <f>IF(F129="","",MIN(F129,H129*I129))</f>
        <v/>
      </c>
      <c r="K129" s="41">
        <f>IF(F129="","",F129-J129)</f>
        <v/>
      </c>
      <c r="L129" s="37" t="n"/>
    </row>
    <row r="130" ht="20" customHeight="1">
      <c r="A130" s="36" t="n">
        <v>124</v>
      </c>
      <c r="B130" s="37" t="n"/>
      <c r="C130" s="37" t="n"/>
      <c r="D130" s="37" t="n"/>
      <c r="E130" s="38" t="n"/>
      <c r="F130" s="39" t="n"/>
      <c r="G130" s="40">
        <f>IF(D130="","",IFERROR(VLOOKUP(D130,TASAS!$A$2:$B$10,2,FALSE),0))</f>
        <v/>
      </c>
      <c r="H130" s="41">
        <f>IF(F130="","",F130*G130)</f>
        <v/>
      </c>
      <c r="I130" s="42">
        <f>IF(E130="","",MAX(0,($G$4-E130)/365))</f>
        <v/>
      </c>
      <c r="J130" s="41">
        <f>IF(F130="","",MIN(F130,H130*I130))</f>
        <v/>
      </c>
      <c r="K130" s="41">
        <f>IF(F130="","",F130-J130)</f>
        <v/>
      </c>
      <c r="L130" s="37" t="n"/>
    </row>
    <row r="131" ht="20" customHeight="1">
      <c r="A131" s="36" t="n">
        <v>125</v>
      </c>
      <c r="B131" s="37" t="n"/>
      <c r="C131" s="37" t="n"/>
      <c r="D131" s="37" t="n"/>
      <c r="E131" s="38" t="n"/>
      <c r="F131" s="39" t="n"/>
      <c r="G131" s="40">
        <f>IF(D131="","",IFERROR(VLOOKUP(D131,TASAS!$A$2:$B$10,2,FALSE),0))</f>
        <v/>
      </c>
      <c r="H131" s="41">
        <f>IF(F131="","",F131*G131)</f>
        <v/>
      </c>
      <c r="I131" s="42">
        <f>IF(E131="","",MAX(0,($G$4-E131)/365))</f>
        <v/>
      </c>
      <c r="J131" s="41">
        <f>IF(F131="","",MIN(F131,H131*I131))</f>
        <v/>
      </c>
      <c r="K131" s="41">
        <f>IF(F131="","",F131-J131)</f>
        <v/>
      </c>
      <c r="L131" s="37" t="n"/>
    </row>
    <row r="132" ht="20" customHeight="1">
      <c r="A132" s="36" t="n">
        <v>126</v>
      </c>
      <c r="B132" s="37" t="n"/>
      <c r="C132" s="37" t="n"/>
      <c r="D132" s="37" t="n"/>
      <c r="E132" s="38" t="n"/>
      <c r="F132" s="39" t="n"/>
      <c r="G132" s="40">
        <f>IF(D132="","",IFERROR(VLOOKUP(D132,TASAS!$A$2:$B$10,2,FALSE),0))</f>
        <v/>
      </c>
      <c r="H132" s="41">
        <f>IF(F132="","",F132*G132)</f>
        <v/>
      </c>
      <c r="I132" s="42">
        <f>IF(E132="","",MAX(0,($G$4-E132)/365))</f>
        <v/>
      </c>
      <c r="J132" s="41">
        <f>IF(F132="","",MIN(F132,H132*I132))</f>
        <v/>
      </c>
      <c r="K132" s="41">
        <f>IF(F132="","",F132-J132)</f>
        <v/>
      </c>
      <c r="L132" s="37" t="n"/>
    </row>
    <row r="133" ht="20" customHeight="1">
      <c r="A133" s="36" t="n">
        <v>127</v>
      </c>
      <c r="B133" s="37" t="n"/>
      <c r="C133" s="37" t="n"/>
      <c r="D133" s="37" t="n"/>
      <c r="E133" s="38" t="n"/>
      <c r="F133" s="39" t="n"/>
      <c r="G133" s="40">
        <f>IF(D133="","",IFERROR(VLOOKUP(D133,TASAS!$A$2:$B$10,2,FALSE),0))</f>
        <v/>
      </c>
      <c r="H133" s="41">
        <f>IF(F133="","",F133*G133)</f>
        <v/>
      </c>
      <c r="I133" s="42">
        <f>IF(E133="","",MAX(0,($G$4-E133)/365))</f>
        <v/>
      </c>
      <c r="J133" s="41">
        <f>IF(F133="","",MIN(F133,H133*I133))</f>
        <v/>
      </c>
      <c r="K133" s="41">
        <f>IF(F133="","",F133-J133)</f>
        <v/>
      </c>
      <c r="L133" s="37" t="n"/>
    </row>
    <row r="134" ht="20" customHeight="1">
      <c r="A134" s="36" t="n">
        <v>128</v>
      </c>
      <c r="B134" s="37" t="n"/>
      <c r="C134" s="37" t="n"/>
      <c r="D134" s="37" t="n"/>
      <c r="E134" s="38" t="n"/>
      <c r="F134" s="39" t="n"/>
      <c r="G134" s="40">
        <f>IF(D134="","",IFERROR(VLOOKUP(D134,TASAS!$A$2:$B$10,2,FALSE),0))</f>
        <v/>
      </c>
      <c r="H134" s="41">
        <f>IF(F134="","",F134*G134)</f>
        <v/>
      </c>
      <c r="I134" s="42">
        <f>IF(E134="","",MAX(0,($G$4-E134)/365))</f>
        <v/>
      </c>
      <c r="J134" s="41">
        <f>IF(F134="","",MIN(F134,H134*I134))</f>
        <v/>
      </c>
      <c r="K134" s="41">
        <f>IF(F134="","",F134-J134)</f>
        <v/>
      </c>
      <c r="L134" s="37" t="n"/>
    </row>
    <row r="135" ht="20" customHeight="1">
      <c r="A135" s="36" t="n">
        <v>129</v>
      </c>
      <c r="B135" s="37" t="n"/>
      <c r="C135" s="37" t="n"/>
      <c r="D135" s="37" t="n"/>
      <c r="E135" s="38" t="n"/>
      <c r="F135" s="39" t="n"/>
      <c r="G135" s="40">
        <f>IF(D135="","",IFERROR(VLOOKUP(D135,TASAS!$A$2:$B$10,2,FALSE),0))</f>
        <v/>
      </c>
      <c r="H135" s="41">
        <f>IF(F135="","",F135*G135)</f>
        <v/>
      </c>
      <c r="I135" s="42">
        <f>IF(E135="","",MAX(0,($G$4-E135)/365))</f>
        <v/>
      </c>
      <c r="J135" s="41">
        <f>IF(F135="","",MIN(F135,H135*I135))</f>
        <v/>
      </c>
      <c r="K135" s="41">
        <f>IF(F135="","",F135-J135)</f>
        <v/>
      </c>
      <c r="L135" s="37" t="n"/>
    </row>
    <row r="136" ht="20" customHeight="1">
      <c r="A136" s="36" t="n">
        <v>130</v>
      </c>
      <c r="B136" s="37" t="n"/>
      <c r="C136" s="37" t="n"/>
      <c r="D136" s="37" t="n"/>
      <c r="E136" s="38" t="n"/>
      <c r="F136" s="39" t="n"/>
      <c r="G136" s="40">
        <f>IF(D136="","",IFERROR(VLOOKUP(D136,TASAS!$A$2:$B$10,2,FALSE),0))</f>
        <v/>
      </c>
      <c r="H136" s="41">
        <f>IF(F136="","",F136*G136)</f>
        <v/>
      </c>
      <c r="I136" s="42">
        <f>IF(E136="","",MAX(0,($G$4-E136)/365))</f>
        <v/>
      </c>
      <c r="J136" s="41">
        <f>IF(F136="","",MIN(F136,H136*I136))</f>
        <v/>
      </c>
      <c r="K136" s="41">
        <f>IF(F136="","",F136-J136)</f>
        <v/>
      </c>
      <c r="L136" s="37" t="n"/>
    </row>
    <row r="137" ht="20" customHeight="1">
      <c r="A137" s="36" t="n">
        <v>131</v>
      </c>
      <c r="B137" s="37" t="n"/>
      <c r="C137" s="37" t="n"/>
      <c r="D137" s="37" t="n"/>
      <c r="E137" s="38" t="n"/>
      <c r="F137" s="39" t="n"/>
      <c r="G137" s="40">
        <f>IF(D137="","",IFERROR(VLOOKUP(D137,TASAS!$A$2:$B$10,2,FALSE),0))</f>
        <v/>
      </c>
      <c r="H137" s="41">
        <f>IF(F137="","",F137*G137)</f>
        <v/>
      </c>
      <c r="I137" s="42">
        <f>IF(E137="","",MAX(0,($G$4-E137)/365))</f>
        <v/>
      </c>
      <c r="J137" s="41">
        <f>IF(F137="","",MIN(F137,H137*I137))</f>
        <v/>
      </c>
      <c r="K137" s="41">
        <f>IF(F137="","",F137-J137)</f>
        <v/>
      </c>
      <c r="L137" s="37" t="n"/>
    </row>
    <row r="138" ht="20" customHeight="1">
      <c r="A138" s="36" t="n">
        <v>132</v>
      </c>
      <c r="B138" s="37" t="n"/>
      <c r="C138" s="37" t="n"/>
      <c r="D138" s="37" t="n"/>
      <c r="E138" s="38" t="n"/>
      <c r="F138" s="39" t="n"/>
      <c r="G138" s="40">
        <f>IF(D138="","",IFERROR(VLOOKUP(D138,TASAS!$A$2:$B$10,2,FALSE),0))</f>
        <v/>
      </c>
      <c r="H138" s="41">
        <f>IF(F138="","",F138*G138)</f>
        <v/>
      </c>
      <c r="I138" s="42">
        <f>IF(E138="","",MAX(0,($G$4-E138)/365))</f>
        <v/>
      </c>
      <c r="J138" s="41">
        <f>IF(F138="","",MIN(F138,H138*I138))</f>
        <v/>
      </c>
      <c r="K138" s="41">
        <f>IF(F138="","",F138-J138)</f>
        <v/>
      </c>
      <c r="L138" s="37" t="n"/>
    </row>
    <row r="139" ht="20" customHeight="1">
      <c r="A139" s="36" t="n">
        <v>133</v>
      </c>
      <c r="B139" s="37" t="n"/>
      <c r="C139" s="37" t="n"/>
      <c r="D139" s="37" t="n"/>
      <c r="E139" s="38" t="n"/>
      <c r="F139" s="39" t="n"/>
      <c r="G139" s="40">
        <f>IF(D139="","",IFERROR(VLOOKUP(D139,TASAS!$A$2:$B$10,2,FALSE),0))</f>
        <v/>
      </c>
      <c r="H139" s="41">
        <f>IF(F139="","",F139*G139)</f>
        <v/>
      </c>
      <c r="I139" s="42">
        <f>IF(E139="","",MAX(0,($G$4-E139)/365))</f>
        <v/>
      </c>
      <c r="J139" s="41">
        <f>IF(F139="","",MIN(F139,H139*I139))</f>
        <v/>
      </c>
      <c r="K139" s="41">
        <f>IF(F139="","",F139-J139)</f>
        <v/>
      </c>
      <c r="L139" s="37" t="n"/>
    </row>
    <row r="140" ht="20" customHeight="1">
      <c r="A140" s="36" t="n">
        <v>134</v>
      </c>
      <c r="B140" s="37" t="n"/>
      <c r="C140" s="37" t="n"/>
      <c r="D140" s="37" t="n"/>
      <c r="E140" s="38" t="n"/>
      <c r="F140" s="39" t="n"/>
      <c r="G140" s="40">
        <f>IF(D140="","",IFERROR(VLOOKUP(D140,TASAS!$A$2:$B$10,2,FALSE),0))</f>
        <v/>
      </c>
      <c r="H140" s="41">
        <f>IF(F140="","",F140*G140)</f>
        <v/>
      </c>
      <c r="I140" s="42">
        <f>IF(E140="","",MAX(0,($G$4-E140)/365))</f>
        <v/>
      </c>
      <c r="J140" s="41">
        <f>IF(F140="","",MIN(F140,H140*I140))</f>
        <v/>
      </c>
      <c r="K140" s="41">
        <f>IF(F140="","",F140-J140)</f>
        <v/>
      </c>
      <c r="L140" s="37" t="n"/>
    </row>
    <row r="141" ht="20" customHeight="1">
      <c r="A141" s="36" t="n">
        <v>135</v>
      </c>
      <c r="B141" s="37" t="n"/>
      <c r="C141" s="37" t="n"/>
      <c r="D141" s="37" t="n"/>
      <c r="E141" s="38" t="n"/>
      <c r="F141" s="39" t="n"/>
      <c r="G141" s="40">
        <f>IF(D141="","",IFERROR(VLOOKUP(D141,TASAS!$A$2:$B$10,2,FALSE),0))</f>
        <v/>
      </c>
      <c r="H141" s="41">
        <f>IF(F141="","",F141*G141)</f>
        <v/>
      </c>
      <c r="I141" s="42">
        <f>IF(E141="","",MAX(0,($G$4-E141)/365))</f>
        <v/>
      </c>
      <c r="J141" s="41">
        <f>IF(F141="","",MIN(F141,H141*I141))</f>
        <v/>
      </c>
      <c r="K141" s="41">
        <f>IF(F141="","",F141-J141)</f>
        <v/>
      </c>
      <c r="L141" s="37" t="n"/>
    </row>
    <row r="142" ht="20" customHeight="1">
      <c r="A142" s="36" t="n">
        <v>136</v>
      </c>
      <c r="B142" s="37" t="n"/>
      <c r="C142" s="37" t="n"/>
      <c r="D142" s="37" t="n"/>
      <c r="E142" s="38" t="n"/>
      <c r="F142" s="39" t="n"/>
      <c r="G142" s="40">
        <f>IF(D142="","",IFERROR(VLOOKUP(D142,TASAS!$A$2:$B$10,2,FALSE),0))</f>
        <v/>
      </c>
      <c r="H142" s="41">
        <f>IF(F142="","",F142*G142)</f>
        <v/>
      </c>
      <c r="I142" s="42">
        <f>IF(E142="","",MAX(0,($G$4-E142)/365))</f>
        <v/>
      </c>
      <c r="J142" s="41">
        <f>IF(F142="","",MIN(F142,H142*I142))</f>
        <v/>
      </c>
      <c r="K142" s="41">
        <f>IF(F142="","",F142-J142)</f>
        <v/>
      </c>
      <c r="L142" s="37" t="n"/>
    </row>
    <row r="143" ht="20" customHeight="1">
      <c r="A143" s="36" t="n">
        <v>137</v>
      </c>
      <c r="B143" s="37" t="n"/>
      <c r="C143" s="37" t="n"/>
      <c r="D143" s="37" t="n"/>
      <c r="E143" s="38" t="n"/>
      <c r="F143" s="39" t="n"/>
      <c r="G143" s="40">
        <f>IF(D143="","",IFERROR(VLOOKUP(D143,TASAS!$A$2:$B$10,2,FALSE),0))</f>
        <v/>
      </c>
      <c r="H143" s="41">
        <f>IF(F143="","",F143*G143)</f>
        <v/>
      </c>
      <c r="I143" s="42">
        <f>IF(E143="","",MAX(0,($G$4-E143)/365))</f>
        <v/>
      </c>
      <c r="J143" s="41">
        <f>IF(F143="","",MIN(F143,H143*I143))</f>
        <v/>
      </c>
      <c r="K143" s="41">
        <f>IF(F143="","",F143-J143)</f>
        <v/>
      </c>
      <c r="L143" s="37" t="n"/>
    </row>
    <row r="144" ht="20" customHeight="1">
      <c r="A144" s="36" t="n">
        <v>138</v>
      </c>
      <c r="B144" s="37" t="n"/>
      <c r="C144" s="37" t="n"/>
      <c r="D144" s="37" t="n"/>
      <c r="E144" s="38" t="n"/>
      <c r="F144" s="39" t="n"/>
      <c r="G144" s="40">
        <f>IF(D144="","",IFERROR(VLOOKUP(D144,TASAS!$A$2:$B$10,2,FALSE),0))</f>
        <v/>
      </c>
      <c r="H144" s="41">
        <f>IF(F144="","",F144*G144)</f>
        <v/>
      </c>
      <c r="I144" s="42">
        <f>IF(E144="","",MAX(0,($G$4-E144)/365))</f>
        <v/>
      </c>
      <c r="J144" s="41">
        <f>IF(F144="","",MIN(F144,H144*I144))</f>
        <v/>
      </c>
      <c r="K144" s="41">
        <f>IF(F144="","",F144-J144)</f>
        <v/>
      </c>
      <c r="L144" s="37" t="n"/>
    </row>
    <row r="145" ht="20" customHeight="1">
      <c r="A145" s="36" t="n">
        <v>139</v>
      </c>
      <c r="B145" s="37" t="n"/>
      <c r="C145" s="37" t="n"/>
      <c r="D145" s="37" t="n"/>
      <c r="E145" s="38" t="n"/>
      <c r="F145" s="39" t="n"/>
      <c r="G145" s="40">
        <f>IF(D145="","",IFERROR(VLOOKUP(D145,TASAS!$A$2:$B$10,2,FALSE),0))</f>
        <v/>
      </c>
      <c r="H145" s="41">
        <f>IF(F145="","",F145*G145)</f>
        <v/>
      </c>
      <c r="I145" s="42">
        <f>IF(E145="","",MAX(0,($G$4-E145)/365))</f>
        <v/>
      </c>
      <c r="J145" s="41">
        <f>IF(F145="","",MIN(F145,H145*I145))</f>
        <v/>
      </c>
      <c r="K145" s="41">
        <f>IF(F145="","",F145-J145)</f>
        <v/>
      </c>
      <c r="L145" s="37" t="n"/>
    </row>
    <row r="146" ht="20" customHeight="1">
      <c r="A146" s="36" t="n">
        <v>140</v>
      </c>
      <c r="B146" s="37" t="n"/>
      <c r="C146" s="37" t="n"/>
      <c r="D146" s="37" t="n"/>
      <c r="E146" s="38" t="n"/>
      <c r="F146" s="39" t="n"/>
      <c r="G146" s="40">
        <f>IF(D146="","",IFERROR(VLOOKUP(D146,TASAS!$A$2:$B$10,2,FALSE),0))</f>
        <v/>
      </c>
      <c r="H146" s="41">
        <f>IF(F146="","",F146*G146)</f>
        <v/>
      </c>
      <c r="I146" s="42">
        <f>IF(E146="","",MAX(0,($G$4-E146)/365))</f>
        <v/>
      </c>
      <c r="J146" s="41">
        <f>IF(F146="","",MIN(F146,H146*I146))</f>
        <v/>
      </c>
      <c r="K146" s="41">
        <f>IF(F146="","",F146-J146)</f>
        <v/>
      </c>
      <c r="L146" s="37" t="n"/>
    </row>
    <row r="147" ht="20" customHeight="1">
      <c r="A147" s="36" t="n">
        <v>141</v>
      </c>
      <c r="B147" s="37" t="n"/>
      <c r="C147" s="37" t="n"/>
      <c r="D147" s="37" t="n"/>
      <c r="E147" s="38" t="n"/>
      <c r="F147" s="39" t="n"/>
      <c r="G147" s="40">
        <f>IF(D147="","",IFERROR(VLOOKUP(D147,TASAS!$A$2:$B$10,2,FALSE),0))</f>
        <v/>
      </c>
      <c r="H147" s="41">
        <f>IF(F147="","",F147*G147)</f>
        <v/>
      </c>
      <c r="I147" s="42">
        <f>IF(E147="","",MAX(0,($G$4-E147)/365))</f>
        <v/>
      </c>
      <c r="J147" s="41">
        <f>IF(F147="","",MIN(F147,H147*I147))</f>
        <v/>
      </c>
      <c r="K147" s="41">
        <f>IF(F147="","",F147-J147)</f>
        <v/>
      </c>
      <c r="L147" s="37" t="n"/>
    </row>
    <row r="148" ht="20" customHeight="1">
      <c r="A148" s="36" t="n">
        <v>142</v>
      </c>
      <c r="B148" s="37" t="n"/>
      <c r="C148" s="37" t="n"/>
      <c r="D148" s="37" t="n"/>
      <c r="E148" s="38" t="n"/>
      <c r="F148" s="39" t="n"/>
      <c r="G148" s="40">
        <f>IF(D148="","",IFERROR(VLOOKUP(D148,TASAS!$A$2:$B$10,2,FALSE),0))</f>
        <v/>
      </c>
      <c r="H148" s="41">
        <f>IF(F148="","",F148*G148)</f>
        <v/>
      </c>
      <c r="I148" s="42">
        <f>IF(E148="","",MAX(0,($G$4-E148)/365))</f>
        <v/>
      </c>
      <c r="J148" s="41">
        <f>IF(F148="","",MIN(F148,H148*I148))</f>
        <v/>
      </c>
      <c r="K148" s="41">
        <f>IF(F148="","",F148-J148)</f>
        <v/>
      </c>
      <c r="L148" s="37" t="n"/>
    </row>
    <row r="149" ht="20" customHeight="1">
      <c r="A149" s="36" t="n">
        <v>143</v>
      </c>
      <c r="B149" s="37" t="n"/>
      <c r="C149" s="37" t="n"/>
      <c r="D149" s="37" t="n"/>
      <c r="E149" s="38" t="n"/>
      <c r="F149" s="39" t="n"/>
      <c r="G149" s="40">
        <f>IF(D149="","",IFERROR(VLOOKUP(D149,TASAS!$A$2:$B$10,2,FALSE),0))</f>
        <v/>
      </c>
      <c r="H149" s="41">
        <f>IF(F149="","",F149*G149)</f>
        <v/>
      </c>
      <c r="I149" s="42">
        <f>IF(E149="","",MAX(0,($G$4-E149)/365))</f>
        <v/>
      </c>
      <c r="J149" s="41">
        <f>IF(F149="","",MIN(F149,H149*I149))</f>
        <v/>
      </c>
      <c r="K149" s="41">
        <f>IF(F149="","",F149-J149)</f>
        <v/>
      </c>
      <c r="L149" s="37" t="n"/>
    </row>
    <row r="150" ht="20" customHeight="1">
      <c r="A150" s="36" t="n">
        <v>144</v>
      </c>
      <c r="B150" s="37" t="n"/>
      <c r="C150" s="37" t="n"/>
      <c r="D150" s="37" t="n"/>
      <c r="E150" s="38" t="n"/>
      <c r="F150" s="39" t="n"/>
      <c r="G150" s="40">
        <f>IF(D150="","",IFERROR(VLOOKUP(D150,TASAS!$A$2:$B$10,2,FALSE),0))</f>
        <v/>
      </c>
      <c r="H150" s="41">
        <f>IF(F150="","",F150*G150)</f>
        <v/>
      </c>
      <c r="I150" s="42">
        <f>IF(E150="","",MAX(0,($G$4-E150)/365))</f>
        <v/>
      </c>
      <c r="J150" s="41">
        <f>IF(F150="","",MIN(F150,H150*I150))</f>
        <v/>
      </c>
      <c r="K150" s="41">
        <f>IF(F150="","",F150-J150)</f>
        <v/>
      </c>
      <c r="L150" s="37" t="n"/>
    </row>
    <row r="151" ht="20" customHeight="1">
      <c r="A151" s="36" t="n">
        <v>145</v>
      </c>
      <c r="B151" s="37" t="n"/>
      <c r="C151" s="37" t="n"/>
      <c r="D151" s="37" t="n"/>
      <c r="E151" s="38" t="n"/>
      <c r="F151" s="39" t="n"/>
      <c r="G151" s="40">
        <f>IF(D151="","",IFERROR(VLOOKUP(D151,TASAS!$A$2:$B$10,2,FALSE),0))</f>
        <v/>
      </c>
      <c r="H151" s="41">
        <f>IF(F151="","",F151*G151)</f>
        <v/>
      </c>
      <c r="I151" s="42">
        <f>IF(E151="","",MAX(0,($G$4-E151)/365))</f>
        <v/>
      </c>
      <c r="J151" s="41">
        <f>IF(F151="","",MIN(F151,H151*I151))</f>
        <v/>
      </c>
      <c r="K151" s="41">
        <f>IF(F151="","",F151-J151)</f>
        <v/>
      </c>
      <c r="L151" s="37" t="n"/>
    </row>
    <row r="152" ht="20" customHeight="1">
      <c r="A152" s="36" t="n">
        <v>146</v>
      </c>
      <c r="B152" s="37" t="n"/>
      <c r="C152" s="37" t="n"/>
      <c r="D152" s="37" t="n"/>
      <c r="E152" s="38" t="n"/>
      <c r="F152" s="39" t="n"/>
      <c r="G152" s="40">
        <f>IF(D152="","",IFERROR(VLOOKUP(D152,TASAS!$A$2:$B$10,2,FALSE),0))</f>
        <v/>
      </c>
      <c r="H152" s="41">
        <f>IF(F152="","",F152*G152)</f>
        <v/>
      </c>
      <c r="I152" s="42">
        <f>IF(E152="","",MAX(0,($G$4-E152)/365))</f>
        <v/>
      </c>
      <c r="J152" s="41">
        <f>IF(F152="","",MIN(F152,H152*I152))</f>
        <v/>
      </c>
      <c r="K152" s="41">
        <f>IF(F152="","",F152-J152)</f>
        <v/>
      </c>
      <c r="L152" s="37" t="n"/>
    </row>
    <row r="153" ht="20" customHeight="1">
      <c r="A153" s="36" t="n">
        <v>147</v>
      </c>
      <c r="B153" s="37" t="n"/>
      <c r="C153" s="37" t="n"/>
      <c r="D153" s="37" t="n"/>
      <c r="E153" s="38" t="n"/>
      <c r="F153" s="39" t="n"/>
      <c r="G153" s="40">
        <f>IF(D153="","",IFERROR(VLOOKUP(D153,TASAS!$A$2:$B$10,2,FALSE),0))</f>
        <v/>
      </c>
      <c r="H153" s="41">
        <f>IF(F153="","",F153*G153)</f>
        <v/>
      </c>
      <c r="I153" s="42">
        <f>IF(E153="","",MAX(0,($G$4-E153)/365))</f>
        <v/>
      </c>
      <c r="J153" s="41">
        <f>IF(F153="","",MIN(F153,H153*I153))</f>
        <v/>
      </c>
      <c r="K153" s="41">
        <f>IF(F153="","",F153-J153)</f>
        <v/>
      </c>
      <c r="L153" s="37" t="n"/>
    </row>
    <row r="154" ht="20" customHeight="1">
      <c r="A154" s="36" t="n">
        <v>148</v>
      </c>
      <c r="B154" s="37" t="n"/>
      <c r="C154" s="37" t="n"/>
      <c r="D154" s="37" t="n"/>
      <c r="E154" s="38" t="n"/>
      <c r="F154" s="39" t="n"/>
      <c r="G154" s="40">
        <f>IF(D154="","",IFERROR(VLOOKUP(D154,TASAS!$A$2:$B$10,2,FALSE),0))</f>
        <v/>
      </c>
      <c r="H154" s="41">
        <f>IF(F154="","",F154*G154)</f>
        <v/>
      </c>
      <c r="I154" s="42">
        <f>IF(E154="","",MAX(0,($G$4-E154)/365))</f>
        <v/>
      </c>
      <c r="J154" s="41">
        <f>IF(F154="","",MIN(F154,H154*I154))</f>
        <v/>
      </c>
      <c r="K154" s="41">
        <f>IF(F154="","",F154-J154)</f>
        <v/>
      </c>
      <c r="L154" s="37" t="n"/>
    </row>
    <row r="155" ht="20" customHeight="1">
      <c r="A155" s="36" t="n">
        <v>149</v>
      </c>
      <c r="B155" s="37" t="n"/>
      <c r="C155" s="37" t="n"/>
      <c r="D155" s="37" t="n"/>
      <c r="E155" s="38" t="n"/>
      <c r="F155" s="39" t="n"/>
      <c r="G155" s="40">
        <f>IF(D155="","",IFERROR(VLOOKUP(D155,TASAS!$A$2:$B$10,2,FALSE),0))</f>
        <v/>
      </c>
      <c r="H155" s="41">
        <f>IF(F155="","",F155*G155)</f>
        <v/>
      </c>
      <c r="I155" s="42">
        <f>IF(E155="","",MAX(0,($G$4-E155)/365))</f>
        <v/>
      </c>
      <c r="J155" s="41">
        <f>IF(F155="","",MIN(F155,H155*I155))</f>
        <v/>
      </c>
      <c r="K155" s="41">
        <f>IF(F155="","",F155-J155)</f>
        <v/>
      </c>
      <c r="L155" s="37" t="n"/>
    </row>
    <row r="156" ht="20" customHeight="1">
      <c r="A156" s="36" t="n">
        <v>150</v>
      </c>
      <c r="B156" s="37" t="n"/>
      <c r="C156" s="37" t="n"/>
      <c r="D156" s="37" t="n"/>
      <c r="E156" s="38" t="n"/>
      <c r="F156" s="39" t="n"/>
      <c r="G156" s="40">
        <f>IF(D156="","",IFERROR(VLOOKUP(D156,TASAS!$A$2:$B$10,2,FALSE),0))</f>
        <v/>
      </c>
      <c r="H156" s="41">
        <f>IF(F156="","",F156*G156)</f>
        <v/>
      </c>
      <c r="I156" s="42">
        <f>IF(E156="","",MAX(0,($G$4-E156)/365))</f>
        <v/>
      </c>
      <c r="J156" s="41">
        <f>IF(F156="","",MIN(F156,H156*I156))</f>
        <v/>
      </c>
      <c r="K156" s="41">
        <f>IF(F156="","",F156-J156)</f>
        <v/>
      </c>
      <c r="L156" s="37" t="n"/>
    </row>
    <row r="157">
      <c r="A157" s="4" t="n"/>
      <c r="B157" s="4" t="n"/>
      <c r="C157" s="4" t="n"/>
      <c r="D157" s="4" t="n"/>
      <c r="E157" s="43" t="inlineStr">
        <is>
          <t>TOTAL</t>
        </is>
      </c>
      <c r="F157" s="44">
        <f>SUM(F7:F156)</f>
        <v/>
      </c>
      <c r="G157" s="4" t="n"/>
      <c r="H157" s="44">
        <f>SUM(H7:H156)</f>
        <v/>
      </c>
      <c r="I157" s="4" t="n"/>
      <c r="J157" s="44">
        <f>SUM(J7:J156)</f>
        <v/>
      </c>
      <c r="K157" s="44">
        <f>SUM(K7:K156)</f>
        <v/>
      </c>
      <c r="L157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G4:H4"/>
    <mergeCell ref="A1:J1"/>
    <mergeCell ref="B4:D4"/>
    <mergeCell ref="K1:L2"/>
    <mergeCell ref="A2:J2"/>
  </mergeCells>
  <conditionalFormatting sqref="K7:K156">
    <cfRule type="dataBar" priority="1">
      <dataBar showValue="1">
        <cfvo type="num" val="0"/>
        <cfvo type="max"/>
        <color rgb="0012A0A8"/>
      </dataBar>
    </cfRule>
  </conditionalFormatting>
  <dataValidations count="3">
    <dataValidation sqref="E7:E156" showDropDown="0" showInputMessage="1" showErrorMessage="1" allowBlank="1" errorTitle="FECHA NO VÁLIDA" error="Escribe una fecha válida, por ejemplo 15/03/2026." promptTitle="FECHA" prompt="Formato DD/MM/AAAA" type="date" errorStyle="warning" operator="greaterThan">
      <formula1>36526</formula1>
    </dataValidation>
    <dataValidation sqref="F7:F15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7:D156" showDropDown="0" showInputMessage="1" showErrorMessage="1" allowBlank="1" errorTitle="OPCIÓN NO VÁLIDA" error="Elige una opción de la lista (puedes editarla en la hoja CATÁLOGOS)." promptTitle="SELECCIONA" prompt="Elige una opción de la lista desplegable." type="list">
      <formula1>"Mobiliario y equipo de oficina,Equipo de cómputo,Automóviles,Maquinaria y equipo,Equipo de comunicación,Edificios,Herramientas,Otros"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5" t="inlineStr">
        <is>
          <t>CATEGORÍA</t>
        </is>
      </c>
      <c r="B1" s="45" t="inlineStr">
        <is>
          <t>TASA ANUAL (REF.)</t>
        </is>
      </c>
    </row>
    <row r="2">
      <c r="A2" s="4" t="inlineStr">
        <is>
          <t>MOBILIARIO Y EQUIPO DE OFICINA</t>
        </is>
      </c>
      <c r="B2" s="46" t="n">
        <v>0.1</v>
      </c>
    </row>
    <row r="3">
      <c r="A3" s="4" t="inlineStr">
        <is>
          <t>EQUIPO DE CÓMPUTO</t>
        </is>
      </c>
      <c r="B3" s="46" t="n">
        <v>0.3</v>
      </c>
    </row>
    <row r="4">
      <c r="A4" s="4" t="inlineStr">
        <is>
          <t>AUTOMÓVILES</t>
        </is>
      </c>
      <c r="B4" s="46" t="n">
        <v>0.25</v>
      </c>
    </row>
    <row r="5">
      <c r="A5" s="4" t="inlineStr">
        <is>
          <t>MAQUINARIA Y EQUIPO</t>
        </is>
      </c>
      <c r="B5" s="46" t="n">
        <v>0.1</v>
      </c>
    </row>
    <row r="6">
      <c r="A6" s="4" t="inlineStr">
        <is>
          <t>EQUIPO DE COMUNICACIÓN</t>
        </is>
      </c>
      <c r="B6" s="46" t="n">
        <v>0.1</v>
      </c>
    </row>
    <row r="7">
      <c r="A7" s="4" t="inlineStr">
        <is>
          <t>EDIFICIOS</t>
        </is>
      </c>
      <c r="B7" s="46" t="n">
        <v>0.05</v>
      </c>
    </row>
    <row r="8">
      <c r="A8" s="4" t="inlineStr">
        <is>
          <t>HERRAMIENTAS</t>
        </is>
      </c>
      <c r="B8" s="46" t="n">
        <v>0.35</v>
      </c>
    </row>
    <row r="9">
      <c r="A9" s="4" t="inlineStr">
        <is>
          <t>OTROS</t>
        </is>
      </c>
      <c r="B9" s="4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6" t="inlineStr">
        <is>
          <t>RESUMEN DE ACTIVOS FIJOS</t>
        </is>
      </c>
      <c r="H1" s="65" t="inlineStr">
        <is>
          <t>INSERTE SU LOGO
(clic derecho &gt; Insertar imagen)</t>
        </is>
      </c>
      <c r="I1" s="73" t="n"/>
      <c r="J1" s="66" t="n"/>
    </row>
    <row r="2" ht="26" customHeight="1">
      <c r="A2" s="67" t="inlineStr">
        <is>
          <t>Inversión, depreciación y valor en libros por categoría</t>
        </is>
      </c>
      <c r="B2" s="68" t="n"/>
      <c r="C2" s="68" t="n"/>
      <c r="D2" s="68" t="n"/>
      <c r="E2" s="68" t="n"/>
      <c r="F2" s="68" t="n"/>
      <c r="G2" s="68" t="n"/>
      <c r="H2" s="69" t="n"/>
      <c r="I2" s="74" t="n"/>
      <c r="J2" s="70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2" customHeight="1">
      <c r="A4" s="4" t="n"/>
      <c r="B4" s="75" t="inlineStr">
        <is>
          <t>INVERSIÓN (MOI)</t>
        </is>
      </c>
      <c r="C4" s="76" t="n"/>
      <c r="D4" s="75" t="inlineStr">
        <is>
          <t>DEP. ACUMULADA</t>
        </is>
      </c>
      <c r="E4" s="76" t="n"/>
      <c r="F4" s="75" t="inlineStr">
        <is>
          <t>VALOR EN LIBROS</t>
        </is>
      </c>
      <c r="G4" s="76" t="n"/>
      <c r="H4" s="75" t="inlineStr">
        <is>
          <t>ACTIVOS</t>
        </is>
      </c>
      <c r="I4" s="76" t="n"/>
      <c r="J4" s="4" t="n"/>
    </row>
    <row r="5" ht="46" customHeight="1">
      <c r="A5" s="4" t="n"/>
      <c r="B5" s="77">
        <f>FORMATO!F157</f>
        <v/>
      </c>
      <c r="C5" s="78" t="n"/>
      <c r="D5" s="77">
        <f>FORMATO!J157</f>
        <v/>
      </c>
      <c r="E5" s="78" t="n"/>
      <c r="F5" s="77">
        <f>FORMATO!K157</f>
        <v/>
      </c>
      <c r="G5" s="78" t="n"/>
      <c r="H5" s="79">
        <f>COUNT(FORMATO!F7:F156)</f>
        <v/>
      </c>
      <c r="I5" s="78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2" customHeight="1">
      <c r="A25" s="4" t="n"/>
      <c r="B25" s="35" t="inlineStr">
        <is>
          <t>CATEGORÍA</t>
        </is>
      </c>
      <c r="C25" s="35" t="inlineStr">
        <is>
          <t>COSTO (MOI)</t>
        </is>
      </c>
      <c r="D25" s="35" t="inlineStr">
        <is>
          <t>VALOR EN LIBROS</t>
        </is>
      </c>
      <c r="E25" s="4" t="n"/>
      <c r="F25" s="4" t="n"/>
      <c r="G25" s="4" t="n"/>
      <c r="H25" s="4" t="n"/>
      <c r="I25" s="4" t="n"/>
      <c r="J25" s="4" t="n"/>
    </row>
    <row r="26">
      <c r="A26" s="4" t="n"/>
      <c r="B26" s="54">
        <f>TASAS!A2</f>
        <v/>
      </c>
      <c r="C26" s="55">
        <f>SUMIF(FORMATO!$D$7:$D$156,B26,FORMATO!$F$7:$F$156)</f>
        <v/>
      </c>
      <c r="D26" s="55">
        <f>SUMIF(FORMATO!$D$7:$D$156,B26,FORMATO!$K$7:$K$156)</f>
        <v/>
      </c>
      <c r="E26" s="4" t="n"/>
      <c r="F26" s="4" t="n"/>
      <c r="G26" s="4" t="n"/>
      <c r="H26" s="4" t="n"/>
      <c r="I26" s="4" t="n"/>
      <c r="J26" s="4" t="n"/>
    </row>
    <row r="27">
      <c r="A27" s="4" t="n"/>
      <c r="B27" s="54">
        <f>TASAS!A3</f>
        <v/>
      </c>
      <c r="C27" s="55">
        <f>SUMIF(FORMATO!$D$7:$D$156,B27,FORMATO!$F$7:$F$156)</f>
        <v/>
      </c>
      <c r="D27" s="55">
        <f>SUMIF(FORMATO!$D$7:$D$156,B27,FORMATO!$K$7:$K$156)</f>
        <v/>
      </c>
      <c r="E27" s="4" t="n"/>
      <c r="F27" s="4" t="n"/>
      <c r="G27" s="4" t="n"/>
      <c r="H27" s="4" t="n"/>
      <c r="I27" s="4" t="n"/>
      <c r="J27" s="4" t="n"/>
    </row>
    <row r="28">
      <c r="A28" s="4" t="n"/>
      <c r="B28" s="54">
        <f>TASAS!A4</f>
        <v/>
      </c>
      <c r="C28" s="55">
        <f>SUMIF(FORMATO!$D$7:$D$156,B28,FORMATO!$F$7:$F$156)</f>
        <v/>
      </c>
      <c r="D28" s="55">
        <f>SUMIF(FORMATO!$D$7:$D$156,B28,FORMATO!$K$7:$K$156)</f>
        <v/>
      </c>
      <c r="E28" s="4" t="n"/>
      <c r="F28" s="4" t="n"/>
      <c r="G28" s="4" t="n"/>
      <c r="H28" s="4" t="n"/>
      <c r="I28" s="4" t="n"/>
      <c r="J28" s="4" t="n"/>
    </row>
    <row r="29">
      <c r="A29" s="4" t="n"/>
      <c r="B29" s="54">
        <f>TASAS!A5</f>
        <v/>
      </c>
      <c r="C29" s="55">
        <f>SUMIF(FORMATO!$D$7:$D$156,B29,FORMATO!$F$7:$F$156)</f>
        <v/>
      </c>
      <c r="D29" s="55">
        <f>SUMIF(FORMATO!$D$7:$D$156,B29,FORMATO!$K$7:$K$156)</f>
        <v/>
      </c>
      <c r="E29" s="4" t="n"/>
      <c r="F29" s="4" t="n"/>
      <c r="G29" s="4" t="n"/>
      <c r="H29" s="4" t="n"/>
      <c r="I29" s="4" t="n"/>
      <c r="J29" s="4" t="n"/>
    </row>
    <row r="30">
      <c r="A30" s="4" t="n"/>
      <c r="B30" s="54">
        <f>TASAS!A6</f>
        <v/>
      </c>
      <c r="C30" s="55">
        <f>SUMIF(FORMATO!$D$7:$D$156,B30,FORMATO!$F$7:$F$156)</f>
        <v/>
      </c>
      <c r="D30" s="55">
        <f>SUMIF(FORMATO!$D$7:$D$156,B30,FORMATO!$K$7:$K$156)</f>
        <v/>
      </c>
      <c r="E30" s="4" t="n"/>
      <c r="F30" s="4" t="n"/>
      <c r="G30" s="4" t="n"/>
      <c r="H30" s="4" t="n"/>
      <c r="I30" s="4" t="n"/>
      <c r="J30" s="4" t="n"/>
    </row>
    <row r="31">
      <c r="A31" s="4" t="n"/>
      <c r="B31" s="54">
        <f>TASAS!A7</f>
        <v/>
      </c>
      <c r="C31" s="55">
        <f>SUMIF(FORMATO!$D$7:$D$156,B31,FORMATO!$F$7:$F$156)</f>
        <v/>
      </c>
      <c r="D31" s="55">
        <f>SUMIF(FORMATO!$D$7:$D$156,B31,FORMATO!$K$7:$K$156)</f>
        <v/>
      </c>
      <c r="E31" s="4" t="n"/>
      <c r="F31" s="4" t="n"/>
      <c r="G31" s="4" t="n"/>
      <c r="H31" s="4" t="n"/>
      <c r="I31" s="4" t="n"/>
      <c r="J31" s="4" t="n"/>
    </row>
    <row r="32">
      <c r="A32" s="4" t="n"/>
      <c r="B32" s="54">
        <f>TASAS!A8</f>
        <v/>
      </c>
      <c r="C32" s="55">
        <f>SUMIF(FORMATO!$D$7:$D$156,B32,FORMATO!$F$7:$F$156)</f>
        <v/>
      </c>
      <c r="D32" s="55">
        <f>SUMIF(FORMATO!$D$7:$D$156,B32,FORMATO!$K$7:$K$156)</f>
        <v/>
      </c>
      <c r="E32" s="4" t="n"/>
      <c r="F32" s="4" t="n"/>
      <c r="G32" s="4" t="n"/>
      <c r="H32" s="4" t="n"/>
      <c r="I32" s="4" t="n"/>
      <c r="J32" s="4" t="n"/>
    </row>
    <row r="33">
      <c r="A33" s="4" t="n"/>
      <c r="B33" s="54">
        <f>TASAS!A9</f>
        <v/>
      </c>
      <c r="C33" s="55">
        <f>SUMIF(FORMATO!$D$7:$D$156,B33,FORMATO!$F$7:$F$156)</f>
        <v/>
      </c>
      <c r="D33" s="55">
        <f>SUMIF(FORMATO!$D$7:$D$156,B33,FORMATO!$K$7:$K$156)</f>
        <v/>
      </c>
      <c r="E33" s="4" t="n"/>
      <c r="F33" s="4" t="n"/>
      <c r="G33" s="4" t="n"/>
      <c r="H33" s="4" t="n"/>
      <c r="I33" s="4" t="n"/>
      <c r="J33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F4:G4"/>
    <mergeCell ref="H1:J2"/>
    <mergeCell ref="A1:G1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56" t="inlineStr">
        <is>
          <t>AYUDA Y PREGUNTAS FRECUENTES</t>
        </is>
      </c>
      <c r="E1" s="1" t="n"/>
    </row>
    <row r="2">
      <c r="A2" s="1" t="n"/>
      <c r="B2" s="57" t="inlineStr">
        <is>
          <t>ACTIVOS FIJOS</t>
        </is>
      </c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8" customHeight="1">
      <c r="A6" s="4" t="n"/>
      <c r="B6" s="4" t="n"/>
      <c r="C6" s="58" t="inlineStr">
        <is>
          <t>¿Qué es el MOI?</t>
        </is>
      </c>
      <c r="D6" s="59" t="inlineStr">
        <is>
          <t>Monto original de la inversión: costo de adquisición sin IVA más gastos de instalación.</t>
        </is>
      </c>
      <c r="E6" s="4" t="n"/>
    </row>
    <row r="7" ht="30" customHeight="1">
      <c r="A7" s="4" t="n"/>
      <c r="B7" s="4" t="n"/>
      <c r="C7" s="58" t="inlineStr">
        <is>
          <t>¿Cómo doy de baja un activo?</t>
        </is>
      </c>
      <c r="D7" s="59" t="inlineStr">
        <is>
          <t>Escribe la fecha de baja en tu bitácora y retira el renglón o márcalo en Ubicación.</t>
        </is>
      </c>
      <c r="E7" s="4" t="n"/>
    </row>
    <row r="8" ht="53" customHeight="1">
      <c r="A8" s="4" t="n"/>
      <c r="B8" s="4" t="n"/>
      <c r="C8" s="58" t="inlineStr">
        <is>
          <t>¿Por qué no puedo escribir en algunas celdas?</t>
        </is>
      </c>
      <c r="D8" s="59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58" t="inlineStr">
        <is>
          <t>¿Cómo agrego mi logotipo?</t>
        </is>
      </c>
      <c r="D9" s="59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58" t="inlineStr">
        <is>
          <t>¿Cómo lo imprimo o lo convierto a PDF?</t>
        </is>
      </c>
      <c r="D10" s="59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58" t="inlineStr">
        <is>
          <t>¿Con qué versiones de Excel funciona?</t>
        </is>
      </c>
      <c r="D11" s="59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58" t="inlineStr">
        <is>
          <t>¿Puedo cambiar la letra?</t>
        </is>
      </c>
      <c r="D12" s="59" t="inlineStr">
        <is>
          <t>El diseño usa la fuente Arial, disponible en Windows, Mac y Google Sheets. Si necesitas otra, selecciona todo (Ctrl+E) y cambia la fuente; no afecta el funcionamiento.</t>
        </is>
      </c>
      <c r="E12" s="4" t="n"/>
    </row>
    <row r="13" ht="38" customHeight="1">
      <c r="A13" s="4" t="n"/>
      <c r="B13" s="4" t="n"/>
      <c r="C13" s="58" t="inlineStr">
        <is>
          <t>¿Puedo usarlo en varias empresas o por varios años?</t>
        </is>
      </c>
      <c r="D13" s="59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60" t="inlineStr">
        <is>
          <t>MOI</t>
        </is>
      </c>
      <c r="D16" s="61" t="inlineStr">
        <is>
          <t>Monto original de la inversión.</t>
        </is>
      </c>
      <c r="E16" s="4" t="n"/>
    </row>
    <row r="17" ht="21" customHeight="1">
      <c r="A17" s="4" t="n"/>
      <c r="B17" s="4" t="n"/>
      <c r="C17" s="60" t="inlineStr">
        <is>
          <t>DEPRECIACIÓN</t>
        </is>
      </c>
      <c r="D17" s="61" t="inlineStr">
        <is>
          <t>Pérdida de valor por uso o paso del tiempo.</t>
        </is>
      </c>
      <c r="E17" s="4" t="n"/>
    </row>
    <row r="18" ht="21" customHeight="1">
      <c r="A18" s="4" t="n"/>
      <c r="B18" s="4" t="n"/>
      <c r="C18" s="60" t="inlineStr">
        <is>
          <t>VALOR EN LIBROS</t>
        </is>
      </c>
      <c r="D18" s="61" t="inlineStr">
        <is>
          <t>MOI - depreciación acumulada.</t>
        </is>
      </c>
      <c r="E18" s="4" t="n"/>
    </row>
    <row r="19">
      <c r="A19" s="4" t="n"/>
      <c r="B19" s="4" t="n"/>
      <c r="C19" s="4" t="n"/>
      <c r="D19" s="4" t="n"/>
      <c r="E19" s="4" t="n"/>
    </row>
    <row r="20" ht="24" customHeight="1">
      <c r="A20" s="4" t="n"/>
      <c r="B20" s="9" t="inlineStr">
        <is>
          <t>LISTA DE VERIFICACIÓN (marca ☑ al completar)</t>
        </is>
      </c>
      <c r="C20" s="10" t="n"/>
      <c r="D20" s="10" t="n"/>
      <c r="E20" s="4" t="n"/>
    </row>
    <row r="21" ht="20" customHeight="1">
      <c r="A21" s="4" t="n"/>
      <c r="B21" s="62" t="inlineStr">
        <is>
          <t>☐</t>
        </is>
      </c>
      <c r="C21" s="63" t="inlineStr">
        <is>
          <t>Activo etiquetado</t>
        </is>
      </c>
      <c r="E21" s="4" t="n"/>
    </row>
    <row r="22" ht="20" customHeight="1">
      <c r="A22" s="4" t="n"/>
      <c r="B22" s="62" t="inlineStr">
        <is>
          <t>☐</t>
        </is>
      </c>
      <c r="C22" s="63" t="inlineStr">
        <is>
          <t>Factura archivada</t>
        </is>
      </c>
      <c r="E22" s="4" t="n"/>
    </row>
    <row r="23" ht="20" customHeight="1">
      <c r="A23" s="4" t="n"/>
      <c r="B23" s="62" t="inlineStr">
        <is>
          <t>☐</t>
        </is>
      </c>
      <c r="C23" s="63" t="inlineStr">
        <is>
          <t>Responsable asignado</t>
        </is>
      </c>
      <c r="E23" s="4" t="n"/>
    </row>
    <row r="24" ht="20" customHeight="1">
      <c r="A24" s="4" t="n"/>
      <c r="B24" s="62" t="inlineStr">
        <is>
          <t>☐</t>
        </is>
      </c>
      <c r="C24" s="63" t="inlineStr">
        <is>
          <t>Inventario físico anual realizado</t>
        </is>
      </c>
      <c r="E24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C21:D21"/>
    <mergeCell ref="C24:D24"/>
    <mergeCell ref="B1:D1"/>
    <mergeCell ref="C22:D22"/>
    <mergeCell ref="C23:D23"/>
    <mergeCell ref="B2:D2"/>
  </mergeCells>
  <dataValidations count="1">
    <dataValidation sqref="B21 B22 B23 B24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2026-10-07T22:57:53Z</dcterms:created>
  <dcterms:modified xmlns:dcterms="http://purl.org/dc/terms/" xmlns:xsi="http://www.w3.org/2001/XMLSchema-instance" xsi:type="dcterms:W3CDTF">2026-10-07T22:57:55Z</dcterms:modified>
</cp:coreProperties>
</file>