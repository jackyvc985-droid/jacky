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Formato" sheetId="2" state="visible" r:id="rId2"/>
    <sheet xmlns:r="http://schemas.openxmlformats.org/officeDocument/2006/relationships"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/MM/YYYY"/>
  </numFmts>
  <fonts count="18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i val="1"/>
      <color rgb="005B6B78"/>
      <sz val="10"/>
    </font>
    <font>
      <name val="Calibri"/>
      <i val="1"/>
      <color rgb="00A6A6A6"/>
      <sz val="8"/>
    </font>
    <font>
      <name val="Calibri"/>
      <b val="1"/>
      <color rgb="001B6B73"/>
    </font>
    <font>
      <name val="Calibri"/>
      <b val="1"/>
      <color rgb="00FFFFFF"/>
    </font>
    <font>
      <name val="Calibri"/>
      <b val="1"/>
    </font>
    <font>
      <name val="Calibri"/>
      <b val="1"/>
      <color rgb="000B2A4A"/>
    </font>
    <font>
      <name val="Calibri"/>
      <b val="1"/>
      <color rgb="001B6B73"/>
      <sz val="9"/>
    </font>
    <font>
      <name val="Calibri"/>
      <b val="1"/>
      <color rgb="000B2A4A"/>
      <sz val="18"/>
    </font>
    <font>
      <name val="Calibri"/>
      <b val="1"/>
      <color rgb="00C9A227"/>
      <sz val="10"/>
    </font>
    <font>
      <name val="Calibri"/>
      <b val="1"/>
      <color rgb="00FFFFFF"/>
      <sz val="26"/>
    </font>
    <font>
      <name val="Calibri"/>
      <color rgb="00C9D3DB"/>
      <sz val="12"/>
    </font>
    <font>
      <name val="Calibri"/>
      <b val="1"/>
      <color rgb="001B6B73"/>
      <sz val="11"/>
    </font>
    <font>
      <name val="Calibri"/>
      <b val="1"/>
      <color rgb="00C9A227"/>
      <sz val="12"/>
    </font>
    <font>
      <name val="Calibri"/>
      <color rgb="002B2B2B"/>
      <sz val="11"/>
    </font>
    <font>
      <name val="Calibri"/>
      <color rgb="005B6B78"/>
      <sz val="10"/>
    </font>
    <font>
      <name val="Calibri"/>
      <color rgb="008A97A3"/>
      <sz val="9"/>
    </font>
  </fonts>
  <fills count="7">
    <fill>
      <patternFill/>
    </fill>
    <fill>
      <patternFill patternType="gray125"/>
    </fill>
    <fill>
      <patternFill patternType="solid">
        <fgColor rgb="000B2A4A"/>
      </patternFill>
    </fill>
    <fill>
      <patternFill patternType="solid">
        <fgColor rgb="00E6ECF1"/>
      </patternFill>
    </fill>
    <fill>
      <patternFill patternType="solid">
        <fgColor rgb="00FFFCF0"/>
      </patternFill>
    </fill>
    <fill>
      <patternFill patternType="solid">
        <fgColor rgb="00EEF2F5"/>
      </patternFill>
    </fill>
    <fill>
      <patternFill patternType="solid">
        <fgColor rgb="00FFFFFF"/>
      </patternFill>
    </fill>
  </fills>
  <borders count="35">
    <border>
      <left/>
      <right/>
      <top/>
      <bottom/>
      <diagonal/>
    </border>
    <border>
      <bottom style="medium">
        <color rgb="00C9A227"/>
      </bottom>
    </border>
    <border>
      <left/>
      <right/>
      <top/>
      <bottom style="medium">
        <color rgb="00C9A227"/>
      </bottom>
      <diagonal/>
    </border>
    <border>
      <left style="dashed">
        <color rgb="00A6A6A6"/>
      </left>
      <top style="dashed">
        <color rgb="00A6A6A6"/>
      </top>
    </border>
    <border>
      <right style="dashed">
        <color rgb="00A6A6A6"/>
      </right>
      <top style="dashed">
        <color rgb="00A6A6A6"/>
      </top>
    </border>
    <border>
      <left style="dashed">
        <color rgb="00A6A6A6"/>
      </left>
      <bottom style="dashed">
        <color rgb="00A6A6A6"/>
      </bottom>
    </border>
    <border>
      <right style="dashed">
        <color rgb="00A6A6A6"/>
      </right>
      <bottom style="dashed">
        <color rgb="00A6A6A6"/>
      </bottom>
    </border>
    <border>
      <left style="thin">
        <color rgb="00C9D3DB"/>
      </left>
      <right style="thin">
        <color rgb="00C9D3DB"/>
      </right>
      <top style="thin">
        <color rgb="00C9D3DB"/>
      </top>
      <bottom style="thin">
        <color rgb="00C9D3DB"/>
      </bottom>
    </border>
    <border>
      <top style="dashed">
        <color rgb="00A6A6A6"/>
      </top>
    </border>
    <border>
      <bottom style="dashed">
        <color rgb="00A6A6A6"/>
      </bottom>
    </border>
    <border>
      <left style="thin">
        <color rgb="00C9D3DB"/>
      </left>
      <top style="medium">
        <color rgb="00C9A227"/>
      </top>
    </border>
    <border>
      <right style="thin">
        <color rgb="00C9D3DB"/>
      </right>
      <top style="medium">
        <color rgb="00C9A227"/>
      </top>
    </border>
    <border>
      <left style="thin">
        <color rgb="00C9D3DB"/>
      </left>
      <bottom style="thin">
        <color rgb="00C9D3DB"/>
      </bottom>
    </border>
    <border>
      <right style="thin">
        <color rgb="00C9D3DB"/>
      </right>
      <bottom style="thin">
        <color rgb="00C9D3DB"/>
      </bottom>
    </border>
    <border>
      <top style="thick">
        <color rgb="00C9A227"/>
      </top>
    </border>
    <border>
      <top style="thin">
        <color rgb="00C9A227"/>
      </top>
    </border>
    <border>
      <right/>
      <bottom style="medium">
        <color rgb="00C9A227"/>
      </bottom>
    </border>
    <border>
      <left/>
      <right/>
      <top style="thin">
        <color rgb="00C9D3DB"/>
      </top>
      <bottom/>
      <diagonal/>
    </border>
    <border>
      <left/>
      <right style="thin">
        <color rgb="00C9D3DB"/>
      </right>
      <top style="thin">
        <color rgb="00C9D3DB"/>
      </top>
      <bottom/>
      <diagonal/>
    </border>
    <border>
      <left/>
      <right/>
      <top style="thin">
        <color rgb="00C9D3DB"/>
      </top>
      <bottom style="thin">
        <color rgb="00C9D3DB"/>
      </bottom>
      <diagonal/>
    </border>
    <border>
      <left/>
      <right style="thin">
        <color rgb="00C9D3DB"/>
      </right>
      <top style="thin">
        <color rgb="00C9D3DB"/>
      </top>
      <bottom style="thin">
        <color rgb="00C9D3DB"/>
      </bottom>
      <diagonal/>
    </border>
    <border>
      <left style="dashed">
        <color rgb="00A6A6A6"/>
      </left>
      <right style="dashed">
        <color rgb="00A6A6A6"/>
      </right>
      <top style="dashed">
        <color rgb="00A6A6A6"/>
      </top>
      <bottom style="dashed">
        <color rgb="00A6A6A6"/>
      </bottom>
    </border>
    <border>
      <left/>
      <right/>
      <top style="dashed">
        <color rgb="00A6A6A6"/>
      </top>
      <bottom/>
      <diagonal/>
    </border>
    <border>
      <left style="dashed">
        <color rgb="00A6A6A6"/>
      </left>
      <right/>
      <top/>
      <bottom/>
      <diagonal/>
    </border>
    <border>
      <left/>
      <right style="dashed">
        <color rgb="00A6A6A6"/>
      </right>
      <top style="dashed">
        <color rgb="00A6A6A6"/>
      </top>
      <bottom/>
      <diagonal/>
    </border>
    <border>
      <left/>
      <right style="dashed">
        <color rgb="00A6A6A6"/>
      </right>
      <top/>
      <bottom/>
      <diagonal/>
    </border>
    <border>
      <left style="dashed">
        <color rgb="00A6A6A6"/>
      </left>
      <right/>
      <top/>
      <bottom style="dashed">
        <color rgb="00A6A6A6"/>
      </bottom>
      <diagonal/>
    </border>
    <border>
      <left/>
      <right style="dashed">
        <color rgb="00A6A6A6"/>
      </right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top style="medium">
        <color rgb="00C9A227"/>
      </top>
    </border>
    <border>
      <left/>
      <right/>
      <top style="medium">
        <color rgb="00C9A227"/>
      </top>
      <bottom/>
      <diagonal/>
    </border>
    <border>
      <left/>
      <right style="thin">
        <color rgb="00C9D3DB"/>
      </right>
      <top style="medium">
        <color rgb="00C9A227"/>
      </top>
      <bottom/>
      <diagonal/>
    </border>
    <border>
      <left/>
      <right/>
      <top/>
      <bottom style="dashed">
        <color rgb="00A6A6A6"/>
      </bottom>
      <diagonal/>
    </border>
    <border>
      <left style="thin">
        <color rgb="00C9D3DB"/>
      </left>
      <right style="thin">
        <color rgb="00C9D3DB"/>
      </right>
      <bottom style="thin">
        <color rgb="00C9D3DB"/>
      </bottom>
    </border>
    <border>
      <left/>
      <right style="thin">
        <color rgb="00C9D3DB"/>
      </right>
      <top/>
      <bottom/>
      <diagonal/>
    </border>
    <border>
      <left/>
      <right style="thin">
        <color rgb="00C9D3DB"/>
      </right>
      <top/>
      <bottom style="thin">
        <color rgb="00C9D3DB"/>
      </bottom>
      <diagonal/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0" fillId="2" borderId="0" pivotButton="0" quotePrefix="0" xfId="0"/>
    <xf numFmtId="0" fontId="10" fillId="2" borderId="0" pivotButton="0" quotePrefix="0" xfId="0"/>
    <xf numFmtId="0" fontId="11" fillId="2" borderId="0" pivotButton="0" quotePrefix="0" xfId="0"/>
    <xf numFmtId="0" fontId="12" fillId="2" borderId="0" pivotButton="0" quotePrefix="0" xfId="0"/>
    <xf numFmtId="0" fontId="0" fillId="0" borderId="14" pivotButton="0" quotePrefix="0" xfId="0"/>
    <xf numFmtId="0" fontId="13" fillId="0" borderId="0" pivotButton="0" quotePrefix="0" xfId="0"/>
    <xf numFmtId="0" fontId="14" fillId="0" borderId="0" applyAlignment="1" pivotButton="0" quotePrefix="0" xfId="0">
      <alignment horizontal="center" vertical="top"/>
    </xf>
    <xf numFmtId="0" fontId="15" fillId="0" borderId="0" applyAlignment="1" pivotButton="0" quotePrefix="0" xfId="0">
      <alignment vertical="top" wrapText="1"/>
    </xf>
    <xf numFmtId="0" fontId="0" fillId="4" borderId="7" applyProtection="1" pivotButton="0" quotePrefix="0" xfId="0">
      <protection locked="0" hidden="0"/>
    </xf>
    <xf numFmtId="0" fontId="16" fillId="0" borderId="0" pivotButton="0" quotePrefix="0" xfId="0"/>
    <xf numFmtId="0" fontId="0" fillId="5" borderId="7" pivotButton="0" quotePrefix="0" xfId="0"/>
    <xf numFmtId="0" fontId="0" fillId="2" borderId="7" pivotButton="0" quotePrefix="0" xfId="0"/>
    <xf numFmtId="0" fontId="0" fillId="0" borderId="15" pivotButton="0" quotePrefix="0" xfId="0"/>
    <xf numFmtId="0" fontId="17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2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5" pivotButton="0" quotePrefix="0" xfId="0"/>
    <xf numFmtId="0" fontId="0" fillId="0" borderId="6" pivotButton="0" quotePrefix="0" xfId="0"/>
    <xf numFmtId="0" fontId="4" fillId="3" borderId="7" pivotButton="0" quotePrefix="0" xfId="0"/>
    <xf numFmtId="164" fontId="0" fillId="4" borderId="7" applyProtection="1" pivotButton="0" quotePrefix="0" xfId="0">
      <protection locked="0" hidden="0"/>
    </xf>
    <xf numFmtId="0" fontId="5" fillId="2" borderId="7" applyAlignment="1" pivotButton="0" quotePrefix="0" xfId="0">
      <alignment horizontal="center" vertical="center" wrapText="1"/>
    </xf>
    <xf numFmtId="0" fontId="0" fillId="5" borderId="7" applyAlignment="1" pivotButton="0" quotePrefix="0" xfId="0">
      <alignment horizontal="center"/>
    </xf>
    <xf numFmtId="165" fontId="0" fillId="4" borderId="7" applyProtection="1" pivotButton="0" quotePrefix="0" xfId="0">
      <protection locked="0" hidden="0"/>
    </xf>
    <xf numFmtId="164" fontId="0" fillId="5" borderId="7" pivotButton="0" quotePrefix="0" xfId="0"/>
    <xf numFmtId="0" fontId="6" fillId="0" borderId="0" applyAlignment="1" pivotButton="0" quotePrefix="0" xfId="0">
      <alignment horizontal="right"/>
    </xf>
    <xf numFmtId="164" fontId="7" fillId="3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8" fillId="3" borderId="10" applyAlignment="1" pivotButton="0" quotePrefix="0" xfId="0">
      <alignment horizontal="center" vertical="center"/>
    </xf>
    <xf numFmtId="0" fontId="0" fillId="3" borderId="11" pivotButton="0" quotePrefix="0" xfId="0"/>
    <xf numFmtId="164" fontId="9" fillId="6" borderId="12" applyAlignment="1" pivotButton="0" quotePrefix="0" xfId="0">
      <alignment horizontal="center" vertical="center"/>
    </xf>
    <xf numFmtId="0" fontId="0" fillId="6" borderId="13" pivotButton="0" quotePrefix="0" xfId="0"/>
    <xf numFmtId="1" fontId="9" fillId="6" borderId="12" applyAlignment="1" pivotButton="0" quotePrefix="0" xfId="0">
      <alignment horizontal="center" vertical="center"/>
    </xf>
    <xf numFmtId="0" fontId="0" fillId="0" borderId="7" pivotButton="0" quotePrefix="0" xfId="0"/>
    <xf numFmtId="0" fontId="3" fillId="0" borderId="21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16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0" fontId="0" fillId="0" borderId="22" pivotButton="0" quotePrefix="0" xfId="0"/>
    <xf numFmtId="0" fontId="0" fillId="0" borderId="31" pivotButton="0" quotePrefix="0" xfId="0"/>
    <xf numFmtId="0" fontId="8" fillId="3" borderId="28" applyAlignment="1" pivotButton="0" quotePrefix="0" xfId="0">
      <alignment horizontal="center" vertical="center"/>
    </xf>
    <xf numFmtId="0" fontId="0" fillId="0" borderId="30" pivotButton="0" quotePrefix="0" xfId="0"/>
    <xf numFmtId="164" fontId="9" fillId="6" borderId="32" applyAlignment="1" pivotButton="0" quotePrefix="0" xfId="0">
      <alignment horizontal="center" vertical="center"/>
    </xf>
    <xf numFmtId="0" fontId="0" fillId="0" borderId="34" pivotButton="0" quotePrefix="0" xfId="0"/>
    <xf numFmtId="1" fontId="9" fillId="6" borderId="3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Gastos por categoría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'Resumen'!C25</f>
            </strRef>
          </tx>
          <spPr>
            <a:solidFill xmlns:a="http://schemas.openxmlformats.org/drawingml/2006/main">
              <a:srgbClr val="0B2A4A"/>
            </a:solidFill>
            <a:ln xmlns:a="http://schemas.openxmlformats.org/drawingml/2006/main">
              <a:solidFill>
                <a:srgbClr val="0B2A4A"/>
              </a:solidFill>
              <a:prstDash val="solid"/>
            </a:ln>
          </spPr>
          <cat>
            <numRef>
              <f>'Resumen'!$B$26:$B$33</f>
            </numRef>
          </cat>
          <val>
            <numRef>
              <f>'Resumen'!$C$26:$C$33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Ingresos por categoría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'Resumen'!G25</f>
            </strRef>
          </tx>
          <spPr>
            <a:solidFill xmlns:a="http://schemas.openxmlformats.org/drawingml/2006/main">
              <a:srgbClr val="1B6B73"/>
            </a:solidFill>
            <a:ln xmlns:a="http://schemas.openxmlformats.org/drawingml/2006/main">
              <a:solidFill>
                <a:srgbClr val="1B6B73"/>
              </a:solidFill>
              <a:prstDash val="solid"/>
            </a:ln>
          </spPr>
          <cat>
            <numRef>
              <f>'Resumen'!$F$26:$F$28</f>
            </numRef>
          </cat>
          <val>
            <numRef>
              <f>'Resumen'!$G$26:$G$28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numFmt formatCode="&quot;$&quot;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7</row>
      <rowOff>0</rowOff>
    </from>
    <ext cx="4140000" cy="2592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7</row>
      <rowOff>0</rowOff>
    </from>
    <ext cx="4140000" cy="2592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D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5" customWidth="1" min="2" max="2"/>
    <col width="88" customWidth="1" min="3" max="3"/>
    <col width="4" customWidth="1" min="4" max="4"/>
  </cols>
  <sheetData>
    <row r="1">
      <c r="A1" s="1" t="n"/>
      <c r="B1" s="1" t="n"/>
      <c r="C1" s="1" t="n"/>
      <c r="D1" s="1" t="n"/>
    </row>
    <row r="2" ht="20" customHeight="1">
      <c r="A2" s="1" t="n"/>
      <c r="B2" s="2" t="inlineStr">
        <is>
          <t>GRUPO CANVILLE</t>
        </is>
      </c>
      <c r="C2" s="1" t="n"/>
      <c r="D2" s="1" t="n"/>
    </row>
    <row r="3">
      <c r="A3" s="1" t="n"/>
      <c r="B3" s="1" t="n"/>
      <c r="C3" s="1" t="n"/>
      <c r="D3" s="1" t="n"/>
    </row>
    <row r="4" ht="40" customHeight="1">
      <c r="A4" s="1" t="n"/>
      <c r="B4" s="3" t="inlineStr">
        <is>
          <t>Control de ingresos y gastos</t>
        </is>
      </c>
      <c r="C4" s="1" t="n"/>
      <c r="D4" s="1" t="n"/>
    </row>
    <row r="5">
      <c r="A5" s="1" t="n"/>
      <c r="B5" s="4" t="inlineStr">
        <is>
          <t>Formato administrativo editable · México</t>
        </is>
      </c>
      <c r="C5" s="1" t="n"/>
      <c r="D5" s="1" t="n"/>
    </row>
    <row r="6">
      <c r="A6" s="1" t="n"/>
      <c r="B6" s="1" t="n"/>
      <c r="C6" s="1" t="n"/>
      <c r="D6" s="1" t="n"/>
    </row>
    <row r="7">
      <c r="A7" s="1" t="n"/>
      <c r="B7" s="1" t="n"/>
      <c r="C7" s="1" t="n"/>
      <c r="D7" s="1" t="n"/>
    </row>
    <row r="8" ht="6" customHeight="1">
      <c r="A8" s="5" t="n"/>
      <c r="B8" s="5" t="n"/>
      <c r="C8" s="5" t="n"/>
      <c r="D8" s="5" t="n"/>
    </row>
    <row r="10">
      <c r="B10" s="6" t="inlineStr">
        <is>
          <t>CÓMO USARLO</t>
        </is>
      </c>
    </row>
    <row r="11" ht="21" customHeight="1">
      <c r="B11" s="7" t="n">
        <v>1</v>
      </c>
      <c r="C11" s="8" t="inlineStr">
        <is>
          <t>Captura el saldo inicial del periodo en la celda de captura correspondiente.</t>
        </is>
      </c>
    </row>
    <row r="12" ht="21" customHeight="1">
      <c r="B12" s="7" t="n">
        <v>2</v>
      </c>
      <c r="C12" s="8" t="inlineStr">
        <is>
          <t>Registra cada movimiento: fecha, concepto, categoría (lista desplegable) y método de pago.</t>
        </is>
      </c>
    </row>
    <row r="13" ht="21" customHeight="1">
      <c r="B13" s="7" t="n">
        <v>3</v>
      </c>
      <c r="C13" s="8" t="inlineStr">
        <is>
          <t>Escribe el monto en la columna Ingreso o Gasto, nunca en ambas.</t>
        </is>
      </c>
    </row>
    <row r="14" ht="21" customHeight="1">
      <c r="B14" s="7" t="n">
        <v>4</v>
      </c>
      <c r="C14" s="8" t="inlineStr">
        <is>
          <t>El saldo acumulado y los totales se calculan solos.</t>
        </is>
      </c>
    </row>
    <row r="15" ht="21" customHeight="1">
      <c r="B15" s="7" t="n">
        <v>5</v>
      </c>
      <c r="C15" s="8" t="inlineStr">
        <is>
          <t>Imprime en horizontal; el formato ya está ajustado a una hoja.</t>
        </is>
      </c>
    </row>
    <row r="16" ht="36" customHeight="1">
      <c r="B16" s="7" t="n">
        <v>6</v>
      </c>
      <c r="C16" s="8" t="inlineStr">
        <is>
          <t>Personaliza: en el recuadro punteado de la esquina superior derecha inserta tu logo (Insertar &gt; Imágenes) y captura los datos de tu empresa en las celdas de captura.</t>
        </is>
      </c>
    </row>
    <row r="18">
      <c r="B18" s="6" t="inlineStr">
        <is>
          <t>LEYENDA</t>
        </is>
      </c>
    </row>
    <row r="19">
      <c r="B19" s="9" t="inlineStr"/>
      <c r="C19" s="10" t="inlineStr">
        <is>
          <t>Celda de captura: escribe aquí.</t>
        </is>
      </c>
    </row>
    <row r="20">
      <c r="B20" s="11" t="inlineStr"/>
      <c r="C20" s="10" t="inlineStr">
        <is>
          <t>Cálculo automático: no la modifiques.</t>
        </is>
      </c>
    </row>
    <row r="21">
      <c r="B21" s="12" t="inlineStr"/>
      <c r="C21" s="10" t="inlineStr">
        <is>
          <t>Encabezados y títulos.</t>
        </is>
      </c>
    </row>
    <row r="23">
      <c r="A23" s="13" t="n"/>
      <c r="B23" s="13" t="n"/>
      <c r="C23" s="13" t="n"/>
      <c r="D23" s="13" t="n"/>
    </row>
    <row r="24">
      <c r="B24" s="14" t="inlineStr">
        <is>
          <t>GRUPO CANVILLE · Formatos administrativos · v1.0</t>
        </is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pageMargins left="0.75" right="0.75" top="1" bottom="1" header="0.5" footer="0.5"/>
  <pageSetup orientation="portrait" fitToHeight="1" fitToWidth="1"/>
</worksheet>
</file>

<file path=xl/worksheets/sheet2.xml><?xml version="1.0" encoding="utf-8"?>
<worksheet xmlns="http://schemas.openxmlformats.org/spreadsheetml/2006/main">
  <sheetPr>
    <tabColor rgb="000B2A4A"/>
    <outlinePr summaryBelow="1" summaryRight="1"/>
    <pageSetUpPr fitToPage="1"/>
  </sheetPr>
  <dimension ref="A1:H58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6.95" customWidth="1" min="1" max="1"/>
    <col width="13" customWidth="1" min="2" max="2"/>
    <col width="34" customWidth="1" min="3" max="3"/>
    <col width="20" customWidth="1" min="4" max="4"/>
    <col width="18" customWidth="1" min="5" max="5"/>
    <col width="16" customWidth="1" min="6" max="6"/>
    <col width="16" customWidth="1" min="7" max="7"/>
    <col width="16" customWidth="1" min="8" max="8"/>
  </cols>
  <sheetData>
    <row r="1" ht="44" customHeight="1">
      <c r="A1" s="15" t="inlineStr">
        <is>
          <t>CONTROL DE INGRESOS Y GASTOS</t>
        </is>
      </c>
      <c r="G1" s="38" t="inlineStr">
        <is>
          <t>INSERTE SU LOGO
(clic derecho &gt; Insertar imagen)</t>
        </is>
      </c>
      <c r="H1" s="39" t="n"/>
    </row>
    <row r="2" ht="26" customHeight="1">
      <c r="A2" s="40" t="inlineStr">
        <is>
          <t>Registro diario de movimientos con saldo acumulado</t>
        </is>
      </c>
      <c r="B2" s="19" t="n"/>
      <c r="C2" s="19" t="n"/>
      <c r="D2" s="19" t="n"/>
      <c r="E2" s="19" t="n"/>
      <c r="F2" s="19" t="n"/>
      <c r="G2" s="41" t="n"/>
      <c r="H2" s="42" t="n"/>
    </row>
    <row r="4">
      <c r="A4" s="22" t="inlineStr">
        <is>
          <t>Empresa</t>
        </is>
      </c>
      <c r="B4" s="9" t="inlineStr">
        <is>
          <t>Comercializadora Ejemplo S.A. de C.V.</t>
        </is>
      </c>
      <c r="C4" s="43" t="n"/>
      <c r="D4" s="44" t="n"/>
      <c r="E4" s="22" t="inlineStr">
        <is>
          <t>Periodo</t>
        </is>
      </c>
      <c r="F4" s="9" t="inlineStr">
        <is>
          <t>Septiembre 2026</t>
        </is>
      </c>
      <c r="G4" s="43" t="n"/>
      <c r="H4" s="44" t="n"/>
    </row>
    <row r="5">
      <c r="A5" s="22" t="inlineStr">
        <is>
          <t>Saldo inicial</t>
        </is>
      </c>
      <c r="B5" s="23" t="n">
        <v>15000</v>
      </c>
      <c r="C5" s="43" t="n"/>
      <c r="D5" s="44" t="n"/>
    </row>
    <row r="7" ht="32" customHeight="1">
      <c r="A7" s="24" t="inlineStr">
        <is>
          <t>No.</t>
        </is>
      </c>
      <c r="B7" s="24" t="inlineStr">
        <is>
          <t>Fecha</t>
        </is>
      </c>
      <c r="C7" s="24" t="inlineStr">
        <is>
          <t>Concepto</t>
        </is>
      </c>
      <c r="D7" s="24" t="inlineStr">
        <is>
          <t>Categoría</t>
        </is>
      </c>
      <c r="E7" s="24" t="inlineStr">
        <is>
          <t>Método de pago</t>
        </is>
      </c>
      <c r="F7" s="24" t="inlineStr">
        <is>
          <t>Ingreso</t>
        </is>
      </c>
      <c r="G7" s="24" t="inlineStr">
        <is>
          <t>Gasto</t>
        </is>
      </c>
      <c r="H7" s="24" t="inlineStr">
        <is>
          <t>Saldo</t>
        </is>
      </c>
    </row>
    <row r="8">
      <c r="A8" s="25" t="n">
        <v>1</v>
      </c>
      <c r="B8" s="26" t="n">
        <v>46266</v>
      </c>
      <c r="C8" s="9" t="inlineStr">
        <is>
          <t>Venta mostrador</t>
        </is>
      </c>
      <c r="D8" s="9" t="inlineStr">
        <is>
          <t>Ventas</t>
        </is>
      </c>
      <c r="E8" s="9" t="inlineStr">
        <is>
          <t>Efectivo</t>
        </is>
      </c>
      <c r="F8" s="23" t="n">
        <v>18500</v>
      </c>
      <c r="G8" s="23" t="n"/>
      <c r="H8" s="27">
        <f>IF(AND(F8="",G8=""),"",$B$5+SUM($F$8:F8)-SUM($G$8:G8))</f>
        <v/>
      </c>
    </row>
    <row r="9">
      <c r="A9" s="25" t="n">
        <v>2</v>
      </c>
      <c r="B9" s="26" t="n">
        <v>46267</v>
      </c>
      <c r="C9" s="9" t="inlineStr">
        <is>
          <t>Pago de renta de oficina</t>
        </is>
      </c>
      <c r="D9" s="9" t="inlineStr">
        <is>
          <t>Renta</t>
        </is>
      </c>
      <c r="E9" s="9" t="inlineStr">
        <is>
          <t>Transferencia</t>
        </is>
      </c>
      <c r="F9" s="23" t="n"/>
      <c r="G9" s="23" t="n">
        <v>8500</v>
      </c>
      <c r="H9" s="27">
        <f>IF(AND(F9="",G9=""),"",$B$5+SUM($F$8:F9)-SUM($G$8:G9))</f>
        <v/>
      </c>
    </row>
    <row r="10">
      <c r="A10" s="25" t="n">
        <v>3</v>
      </c>
      <c r="B10" s="26" t="n">
        <v>46268</v>
      </c>
      <c r="C10" s="9" t="inlineStr">
        <is>
          <t>Servicio de consultoría</t>
        </is>
      </c>
      <c r="D10" s="9" t="inlineStr">
        <is>
          <t>Servicios</t>
        </is>
      </c>
      <c r="E10" s="9" t="inlineStr">
        <is>
          <t>Transferencia</t>
        </is>
      </c>
      <c r="F10" s="23" t="n">
        <v>12000</v>
      </c>
      <c r="G10" s="23" t="n"/>
      <c r="H10" s="27">
        <f>IF(AND(F10="",G10=""),"",$B$5+SUM($F$8:F10)-SUM($G$8:G10))</f>
        <v/>
      </c>
    </row>
    <row r="11">
      <c r="A11" s="25" t="n">
        <v>4</v>
      </c>
      <c r="B11" s="26" t="n">
        <v>46270</v>
      </c>
      <c r="C11" s="9" t="inlineStr">
        <is>
          <t>Nómina primera quincena</t>
        </is>
      </c>
      <c r="D11" s="9" t="inlineStr">
        <is>
          <t>Nómina</t>
        </is>
      </c>
      <c r="E11" s="9" t="inlineStr">
        <is>
          <t>Transferencia</t>
        </is>
      </c>
      <c r="F11" s="23" t="n"/>
      <c r="G11" s="23" t="n">
        <v>14200</v>
      </c>
      <c r="H11" s="27">
        <f>IF(AND(F11="",G11=""),"",$B$5+SUM($F$8:F11)-SUM($G$8:G11))</f>
        <v/>
      </c>
    </row>
    <row r="12">
      <c r="A12" s="25" t="n">
        <v>5</v>
      </c>
      <c r="B12" s="26" t="n">
        <v>46272</v>
      </c>
      <c r="C12" s="9" t="inlineStr">
        <is>
          <t>Papelería e insumos</t>
        </is>
      </c>
      <c r="D12" s="9" t="inlineStr">
        <is>
          <t>Insumos</t>
        </is>
      </c>
      <c r="E12" s="9" t="inlineStr">
        <is>
          <t>Tarjeta</t>
        </is>
      </c>
      <c r="F12" s="23" t="n"/>
      <c r="G12" s="23" t="n">
        <v>2350.5</v>
      </c>
      <c r="H12" s="27">
        <f>IF(AND(F12="",G12=""),"",$B$5+SUM($F$8:F12)-SUM($G$8:G12))</f>
        <v/>
      </c>
    </row>
    <row r="13">
      <c r="A13" s="25" t="n">
        <v>6</v>
      </c>
      <c r="B13" s="26" t="n">
        <v>46274</v>
      </c>
      <c r="C13" s="9" t="inlineStr">
        <is>
          <t>Venta mayoreo</t>
        </is>
      </c>
      <c r="D13" s="9" t="inlineStr">
        <is>
          <t>Ventas</t>
        </is>
      </c>
      <c r="E13" s="9" t="inlineStr">
        <is>
          <t>Transferencia</t>
        </is>
      </c>
      <c r="F13" s="23" t="n">
        <v>26400</v>
      </c>
      <c r="G13" s="23" t="n"/>
      <c r="H13" s="27">
        <f>IF(AND(F13="",G13=""),"",$B$5+SUM($F$8:F13)-SUM($G$8:G13))</f>
        <v/>
      </c>
    </row>
    <row r="14">
      <c r="A14" s="25" t="n">
        <v>7</v>
      </c>
      <c r="B14" s="26" t="n">
        <v>46275</v>
      </c>
      <c r="C14" s="9" t="inlineStr">
        <is>
          <t>Luz y agua</t>
        </is>
      </c>
      <c r="D14" s="9" t="inlineStr">
        <is>
          <t>Servicios (luz/agua/tel)</t>
        </is>
      </c>
      <c r="E14" s="9" t="inlineStr">
        <is>
          <t>Efectivo</t>
        </is>
      </c>
      <c r="F14" s="23" t="n"/>
      <c r="G14" s="23" t="n">
        <v>1890</v>
      </c>
      <c r="H14" s="27">
        <f>IF(AND(F14="",G14=""),"",$B$5+SUM($F$8:F14)-SUM($G$8:G14))</f>
        <v/>
      </c>
    </row>
    <row r="15">
      <c r="A15" s="25" t="n">
        <v>8</v>
      </c>
      <c r="B15" s="26" t="n">
        <v>46277</v>
      </c>
      <c r="C15" s="9" t="inlineStr">
        <is>
          <t>Campaña en redes sociales</t>
        </is>
      </c>
      <c r="D15" s="9" t="inlineStr">
        <is>
          <t>Publicidad</t>
        </is>
      </c>
      <c r="E15" s="9" t="inlineStr">
        <is>
          <t>Tarjeta</t>
        </is>
      </c>
      <c r="F15" s="23" t="n"/>
      <c r="G15" s="23" t="n">
        <v>3200</v>
      </c>
      <c r="H15" s="27">
        <f>IF(AND(F15="",G15=""),"",$B$5+SUM($F$8:F15)-SUM($G$8:G15))</f>
        <v/>
      </c>
    </row>
    <row r="16">
      <c r="A16" s="25" t="n">
        <v>9</v>
      </c>
      <c r="B16" s="26" t="n">
        <v>46279</v>
      </c>
      <c r="C16" s="9" t="inlineStr">
        <is>
          <t>Venta mostrador</t>
        </is>
      </c>
      <c r="D16" s="9" t="inlineStr">
        <is>
          <t>Ventas</t>
        </is>
      </c>
      <c r="E16" s="9" t="inlineStr">
        <is>
          <t>Efectivo</t>
        </is>
      </c>
      <c r="F16" s="23" t="n">
        <v>15750</v>
      </c>
      <c r="G16" s="23" t="n"/>
      <c r="H16" s="27">
        <f>IF(AND(F16="",G16=""),"",$B$5+SUM($F$8:F16)-SUM($G$8:G16))</f>
        <v/>
      </c>
    </row>
    <row r="17">
      <c r="A17" s="25" t="n">
        <v>10</v>
      </c>
      <c r="B17" s="26" t="n">
        <v>46280</v>
      </c>
      <c r="C17" s="9" t="inlineStr">
        <is>
          <t>Pago de IVA</t>
        </is>
      </c>
      <c r="D17" s="9" t="inlineStr">
        <is>
          <t>Impuestos</t>
        </is>
      </c>
      <c r="E17" s="9" t="inlineStr">
        <is>
          <t>Transferencia</t>
        </is>
      </c>
      <c r="F17" s="23" t="n"/>
      <c r="G17" s="23" t="n">
        <v>6120</v>
      </c>
      <c r="H17" s="27">
        <f>IF(AND(F17="",G17=""),"",$B$5+SUM($F$8:F17)-SUM($G$8:G17))</f>
        <v/>
      </c>
    </row>
    <row r="18">
      <c r="A18" s="25" t="n">
        <v>11</v>
      </c>
      <c r="B18" s="26" t="n">
        <v>46282</v>
      </c>
      <c r="C18" s="9" t="inlineStr">
        <is>
          <t>Servicio de mantenimiento</t>
        </is>
      </c>
      <c r="D18" s="9" t="inlineStr">
        <is>
          <t>Servicios</t>
        </is>
      </c>
      <c r="E18" s="9" t="inlineStr">
        <is>
          <t>Transferencia</t>
        </is>
      </c>
      <c r="F18" s="23" t="n">
        <v>9800</v>
      </c>
      <c r="G18" s="23" t="n"/>
      <c r="H18" s="27">
        <f>IF(AND(F18="",G18=""),"",$B$5+SUM($F$8:F18)-SUM($G$8:G18))</f>
        <v/>
      </c>
    </row>
    <row r="19">
      <c r="A19" s="25" t="n">
        <v>12</v>
      </c>
      <c r="B19" s="26" t="n">
        <v>46284</v>
      </c>
      <c r="C19" s="9" t="inlineStr">
        <is>
          <t>Combustible de reparto</t>
        </is>
      </c>
      <c r="D19" s="9" t="inlineStr">
        <is>
          <t>Transporte</t>
        </is>
      </c>
      <c r="E19" s="9" t="inlineStr">
        <is>
          <t>Tarjeta</t>
        </is>
      </c>
      <c r="F19" s="23" t="n"/>
      <c r="G19" s="23" t="n">
        <v>1450</v>
      </c>
      <c r="H19" s="27">
        <f>IF(AND(F19="",G19=""),"",$B$5+SUM($F$8:F19)-SUM($G$8:G19))</f>
        <v/>
      </c>
    </row>
    <row r="20">
      <c r="A20" s="25" t="n">
        <v>13</v>
      </c>
      <c r="B20" s="26" t="n">
        <v>46285</v>
      </c>
      <c r="C20" s="9" t="inlineStr">
        <is>
          <t>Nómina segunda quincena</t>
        </is>
      </c>
      <c r="D20" s="9" t="inlineStr">
        <is>
          <t>Nómina</t>
        </is>
      </c>
      <c r="E20" s="9" t="inlineStr">
        <is>
          <t>Transferencia</t>
        </is>
      </c>
      <c r="F20" s="23" t="n"/>
      <c r="G20" s="23" t="n">
        <v>14200</v>
      </c>
      <c r="H20" s="27">
        <f>IF(AND(F20="",G20=""),"",$B$5+SUM($F$8:F20)-SUM($G$8:G20))</f>
        <v/>
      </c>
    </row>
    <row r="21">
      <c r="A21" s="25" t="n">
        <v>14</v>
      </c>
      <c r="B21" s="26" t="n">
        <v>46288</v>
      </c>
      <c r="C21" s="9" t="inlineStr">
        <is>
          <t>Intereses ganados</t>
        </is>
      </c>
      <c r="D21" s="9" t="inlineStr">
        <is>
          <t>Otros ingresos</t>
        </is>
      </c>
      <c r="E21" s="9" t="inlineStr">
        <is>
          <t>Transferencia</t>
        </is>
      </c>
      <c r="F21" s="23" t="n">
        <v>320</v>
      </c>
      <c r="G21" s="23" t="n"/>
      <c r="H21" s="27">
        <f>IF(AND(F21="",G21=""),"",$B$5+SUM($F$8:F21)-SUM($G$8:G21))</f>
        <v/>
      </c>
    </row>
    <row r="22">
      <c r="A22" s="25" t="n">
        <v>15</v>
      </c>
      <c r="B22" s="26" t="n">
        <v>46290</v>
      </c>
      <c r="C22" s="9" t="inlineStr">
        <is>
          <t>Venta mostrador</t>
        </is>
      </c>
      <c r="D22" s="9" t="inlineStr">
        <is>
          <t>Ventas</t>
        </is>
      </c>
      <c r="E22" s="9" t="inlineStr">
        <is>
          <t>Efectivo</t>
        </is>
      </c>
      <c r="F22" s="23" t="n">
        <v>21300</v>
      </c>
      <c r="G22" s="23" t="n"/>
      <c r="H22" s="27">
        <f>IF(AND(F22="",G22=""),"",$B$5+SUM($F$8:F22)-SUM($G$8:G22))</f>
        <v/>
      </c>
    </row>
    <row r="23">
      <c r="A23" s="25" t="n">
        <v>16</v>
      </c>
      <c r="B23" s="26" t="n">
        <v>46293</v>
      </c>
      <c r="C23" s="9" t="inlineStr">
        <is>
          <t>Reparaciones menores</t>
        </is>
      </c>
      <c r="D23" s="9" t="inlineStr">
        <is>
          <t>Otros gastos</t>
        </is>
      </c>
      <c r="E23" s="9" t="inlineStr">
        <is>
          <t>Efectivo</t>
        </is>
      </c>
      <c r="F23" s="23" t="n"/>
      <c r="G23" s="23" t="n">
        <v>1180</v>
      </c>
      <c r="H23" s="27">
        <f>IF(AND(F23="",G23=""),"",$B$5+SUM($F$8:F23)-SUM($G$8:G23))</f>
        <v/>
      </c>
    </row>
    <row r="24">
      <c r="A24" s="25" t="n">
        <v>17</v>
      </c>
      <c r="B24" s="26" t="n"/>
      <c r="C24" s="9" t="n"/>
      <c r="D24" s="9" t="n"/>
      <c r="E24" s="9" t="n"/>
      <c r="F24" s="23" t="n"/>
      <c r="G24" s="23" t="n"/>
      <c r="H24" s="27">
        <f>IF(AND(F24="",G24=""),"",$B$5+SUM($F$8:F24)-SUM($G$8:G24))</f>
        <v/>
      </c>
    </row>
    <row r="25">
      <c r="A25" s="25" t="n">
        <v>18</v>
      </c>
      <c r="B25" s="26" t="n"/>
      <c r="C25" s="9" t="n"/>
      <c r="D25" s="9" t="n"/>
      <c r="E25" s="9" t="n"/>
      <c r="F25" s="23" t="n"/>
      <c r="G25" s="23" t="n"/>
      <c r="H25" s="27">
        <f>IF(AND(F25="",G25=""),"",$B$5+SUM($F$8:F25)-SUM($G$8:G25))</f>
        <v/>
      </c>
    </row>
    <row r="26">
      <c r="A26" s="25" t="n">
        <v>19</v>
      </c>
      <c r="B26" s="26" t="n"/>
      <c r="C26" s="9" t="n"/>
      <c r="D26" s="9" t="n"/>
      <c r="E26" s="9" t="n"/>
      <c r="F26" s="23" t="n"/>
      <c r="G26" s="23" t="n"/>
      <c r="H26" s="27">
        <f>IF(AND(F26="",G26=""),"",$B$5+SUM($F$8:F26)-SUM($G$8:G26))</f>
        <v/>
      </c>
    </row>
    <row r="27">
      <c r="A27" s="25" t="n">
        <v>20</v>
      </c>
      <c r="B27" s="26" t="n"/>
      <c r="C27" s="9" t="n"/>
      <c r="D27" s="9" t="n"/>
      <c r="E27" s="9" t="n"/>
      <c r="F27" s="23" t="n"/>
      <c r="G27" s="23" t="n"/>
      <c r="H27" s="27">
        <f>IF(AND(F27="",G27=""),"",$B$5+SUM($F$8:F27)-SUM($G$8:G27))</f>
        <v/>
      </c>
    </row>
    <row r="28">
      <c r="A28" s="25" t="n">
        <v>21</v>
      </c>
      <c r="B28" s="26" t="n"/>
      <c r="C28" s="9" t="n"/>
      <c r="D28" s="9" t="n"/>
      <c r="E28" s="9" t="n"/>
      <c r="F28" s="23" t="n"/>
      <c r="G28" s="23" t="n"/>
      <c r="H28" s="27">
        <f>IF(AND(F28="",G28=""),"",$B$5+SUM($F$8:F28)-SUM($G$8:G28))</f>
        <v/>
      </c>
    </row>
    <row r="29">
      <c r="A29" s="25" t="n">
        <v>22</v>
      </c>
      <c r="B29" s="26" t="n"/>
      <c r="C29" s="9" t="n"/>
      <c r="D29" s="9" t="n"/>
      <c r="E29" s="9" t="n"/>
      <c r="F29" s="23" t="n"/>
      <c r="G29" s="23" t="n"/>
      <c r="H29" s="27">
        <f>IF(AND(F29="",G29=""),"",$B$5+SUM($F$8:F29)-SUM($G$8:G29))</f>
        <v/>
      </c>
    </row>
    <row r="30">
      <c r="A30" s="25" t="n">
        <v>23</v>
      </c>
      <c r="B30" s="26" t="n"/>
      <c r="C30" s="9" t="n"/>
      <c r="D30" s="9" t="n"/>
      <c r="E30" s="9" t="n"/>
      <c r="F30" s="23" t="n"/>
      <c r="G30" s="23" t="n"/>
      <c r="H30" s="27">
        <f>IF(AND(F30="",G30=""),"",$B$5+SUM($F$8:F30)-SUM($G$8:G30))</f>
        <v/>
      </c>
    </row>
    <row r="31">
      <c r="A31" s="25" t="n">
        <v>24</v>
      </c>
      <c r="B31" s="26" t="n"/>
      <c r="C31" s="9" t="n"/>
      <c r="D31" s="9" t="n"/>
      <c r="E31" s="9" t="n"/>
      <c r="F31" s="23" t="n"/>
      <c r="G31" s="23" t="n"/>
      <c r="H31" s="27">
        <f>IF(AND(F31="",G31=""),"",$B$5+SUM($F$8:F31)-SUM($G$8:G31))</f>
        <v/>
      </c>
    </row>
    <row r="32">
      <c r="A32" s="25" t="n">
        <v>25</v>
      </c>
      <c r="B32" s="26" t="n"/>
      <c r="C32" s="9" t="n"/>
      <c r="D32" s="9" t="n"/>
      <c r="E32" s="9" t="n"/>
      <c r="F32" s="23" t="n"/>
      <c r="G32" s="23" t="n"/>
      <c r="H32" s="27">
        <f>IF(AND(F32="",G32=""),"",$B$5+SUM($F$8:F32)-SUM($G$8:G32))</f>
        <v/>
      </c>
    </row>
    <row r="33">
      <c r="A33" s="25" t="n">
        <v>26</v>
      </c>
      <c r="B33" s="26" t="n"/>
      <c r="C33" s="9" t="n"/>
      <c r="D33" s="9" t="n"/>
      <c r="E33" s="9" t="n"/>
      <c r="F33" s="23" t="n"/>
      <c r="G33" s="23" t="n"/>
      <c r="H33" s="27">
        <f>IF(AND(F33="",G33=""),"",$B$5+SUM($F$8:F33)-SUM($G$8:G33))</f>
        <v/>
      </c>
    </row>
    <row r="34">
      <c r="A34" s="25" t="n">
        <v>27</v>
      </c>
      <c r="B34" s="26" t="n"/>
      <c r="C34" s="9" t="n"/>
      <c r="D34" s="9" t="n"/>
      <c r="E34" s="9" t="n"/>
      <c r="F34" s="23" t="n"/>
      <c r="G34" s="23" t="n"/>
      <c r="H34" s="27">
        <f>IF(AND(F34="",G34=""),"",$B$5+SUM($F$8:F34)-SUM($G$8:G34))</f>
        <v/>
      </c>
    </row>
    <row r="35">
      <c r="A35" s="25" t="n">
        <v>28</v>
      </c>
      <c r="B35" s="26" t="n"/>
      <c r="C35" s="9" t="n"/>
      <c r="D35" s="9" t="n"/>
      <c r="E35" s="9" t="n"/>
      <c r="F35" s="23" t="n"/>
      <c r="G35" s="23" t="n"/>
      <c r="H35" s="27">
        <f>IF(AND(F35="",G35=""),"",$B$5+SUM($F$8:F35)-SUM($G$8:G35))</f>
        <v/>
      </c>
    </row>
    <row r="36">
      <c r="A36" s="25" t="n">
        <v>29</v>
      </c>
      <c r="B36" s="26" t="n"/>
      <c r="C36" s="9" t="n"/>
      <c r="D36" s="9" t="n"/>
      <c r="E36" s="9" t="n"/>
      <c r="F36" s="23" t="n"/>
      <c r="G36" s="23" t="n"/>
      <c r="H36" s="27">
        <f>IF(AND(F36="",G36=""),"",$B$5+SUM($F$8:F36)-SUM($G$8:G36))</f>
        <v/>
      </c>
    </row>
    <row r="37">
      <c r="A37" s="25" t="n">
        <v>30</v>
      </c>
      <c r="B37" s="26" t="n"/>
      <c r="C37" s="9" t="n"/>
      <c r="D37" s="9" t="n"/>
      <c r="E37" s="9" t="n"/>
      <c r="F37" s="23" t="n"/>
      <c r="G37" s="23" t="n"/>
      <c r="H37" s="27">
        <f>IF(AND(F37="",G37=""),"",$B$5+SUM($F$8:F37)-SUM($G$8:G37))</f>
        <v/>
      </c>
    </row>
    <row r="38">
      <c r="A38" s="25" t="n">
        <v>31</v>
      </c>
      <c r="B38" s="26" t="n"/>
      <c r="C38" s="9" t="n"/>
      <c r="D38" s="9" t="n"/>
      <c r="E38" s="9" t="n"/>
      <c r="F38" s="23" t="n"/>
      <c r="G38" s="23" t="n"/>
      <c r="H38" s="27">
        <f>IF(AND(F38="",G38=""),"",$B$5+SUM($F$8:F38)-SUM($G$8:G38))</f>
        <v/>
      </c>
    </row>
    <row r="39">
      <c r="A39" s="25" t="n">
        <v>32</v>
      </c>
      <c r="B39" s="26" t="n"/>
      <c r="C39" s="9" t="n"/>
      <c r="D39" s="9" t="n"/>
      <c r="E39" s="9" t="n"/>
      <c r="F39" s="23" t="n"/>
      <c r="G39" s="23" t="n"/>
      <c r="H39" s="27">
        <f>IF(AND(F39="",G39=""),"",$B$5+SUM($F$8:F39)-SUM($G$8:G39))</f>
        <v/>
      </c>
    </row>
    <row r="40">
      <c r="A40" s="25" t="n">
        <v>33</v>
      </c>
      <c r="B40" s="26" t="n"/>
      <c r="C40" s="9" t="n"/>
      <c r="D40" s="9" t="n"/>
      <c r="E40" s="9" t="n"/>
      <c r="F40" s="23" t="n"/>
      <c r="G40" s="23" t="n"/>
      <c r="H40" s="27">
        <f>IF(AND(F40="",G40=""),"",$B$5+SUM($F$8:F40)-SUM($G$8:G40))</f>
        <v/>
      </c>
    </row>
    <row r="41">
      <c r="A41" s="25" t="n">
        <v>34</v>
      </c>
      <c r="B41" s="26" t="n"/>
      <c r="C41" s="9" t="n"/>
      <c r="D41" s="9" t="n"/>
      <c r="E41" s="9" t="n"/>
      <c r="F41" s="23" t="n"/>
      <c r="G41" s="23" t="n"/>
      <c r="H41" s="27">
        <f>IF(AND(F41="",G41=""),"",$B$5+SUM($F$8:F41)-SUM($G$8:G41))</f>
        <v/>
      </c>
    </row>
    <row r="42">
      <c r="A42" s="25" t="n">
        <v>35</v>
      </c>
      <c r="B42" s="26" t="n"/>
      <c r="C42" s="9" t="n"/>
      <c r="D42" s="9" t="n"/>
      <c r="E42" s="9" t="n"/>
      <c r="F42" s="23" t="n"/>
      <c r="G42" s="23" t="n"/>
      <c r="H42" s="27">
        <f>IF(AND(F42="",G42=""),"",$B$5+SUM($F$8:F42)-SUM($G$8:G42))</f>
        <v/>
      </c>
    </row>
    <row r="43">
      <c r="A43" s="25" t="n">
        <v>36</v>
      </c>
      <c r="B43" s="26" t="n"/>
      <c r="C43" s="9" t="n"/>
      <c r="D43" s="9" t="n"/>
      <c r="E43" s="9" t="n"/>
      <c r="F43" s="23" t="n"/>
      <c r="G43" s="23" t="n"/>
      <c r="H43" s="27">
        <f>IF(AND(F43="",G43=""),"",$B$5+SUM($F$8:F43)-SUM($G$8:G43))</f>
        <v/>
      </c>
    </row>
    <row r="44">
      <c r="A44" s="25" t="n">
        <v>37</v>
      </c>
      <c r="B44" s="26" t="n"/>
      <c r="C44" s="9" t="n"/>
      <c r="D44" s="9" t="n"/>
      <c r="E44" s="9" t="n"/>
      <c r="F44" s="23" t="n"/>
      <c r="G44" s="23" t="n"/>
      <c r="H44" s="27">
        <f>IF(AND(F44="",G44=""),"",$B$5+SUM($F$8:F44)-SUM($G$8:G44))</f>
        <v/>
      </c>
    </row>
    <row r="45">
      <c r="A45" s="25" t="n">
        <v>38</v>
      </c>
      <c r="B45" s="26" t="n"/>
      <c r="C45" s="9" t="n"/>
      <c r="D45" s="9" t="n"/>
      <c r="E45" s="9" t="n"/>
      <c r="F45" s="23" t="n"/>
      <c r="G45" s="23" t="n"/>
      <c r="H45" s="27">
        <f>IF(AND(F45="",G45=""),"",$B$5+SUM($F$8:F45)-SUM($G$8:G45))</f>
        <v/>
      </c>
    </row>
    <row r="46">
      <c r="A46" s="25" t="n">
        <v>39</v>
      </c>
      <c r="B46" s="26" t="n"/>
      <c r="C46" s="9" t="n"/>
      <c r="D46" s="9" t="n"/>
      <c r="E46" s="9" t="n"/>
      <c r="F46" s="23" t="n"/>
      <c r="G46" s="23" t="n"/>
      <c r="H46" s="27">
        <f>IF(AND(F46="",G46=""),"",$B$5+SUM($F$8:F46)-SUM($G$8:G46))</f>
        <v/>
      </c>
    </row>
    <row r="47">
      <c r="A47" s="25" t="n">
        <v>40</v>
      </c>
      <c r="B47" s="26" t="n"/>
      <c r="C47" s="9" t="n"/>
      <c r="D47" s="9" t="n"/>
      <c r="E47" s="9" t="n"/>
      <c r="F47" s="23" t="n"/>
      <c r="G47" s="23" t="n"/>
      <c r="H47" s="27">
        <f>IF(AND(F47="",G47=""),"",$B$5+SUM($F$8:F47)-SUM($G$8:G47))</f>
        <v/>
      </c>
    </row>
    <row r="48">
      <c r="A48" s="25" t="n">
        <v>41</v>
      </c>
      <c r="B48" s="26" t="n"/>
      <c r="C48" s="9" t="n"/>
      <c r="D48" s="9" t="n"/>
      <c r="E48" s="9" t="n"/>
      <c r="F48" s="23" t="n"/>
      <c r="G48" s="23" t="n"/>
      <c r="H48" s="27">
        <f>IF(AND(F48="",G48=""),"",$B$5+SUM($F$8:F48)-SUM($G$8:G48))</f>
        <v/>
      </c>
    </row>
    <row r="49">
      <c r="A49" s="25" t="n">
        <v>42</v>
      </c>
      <c r="B49" s="26" t="n"/>
      <c r="C49" s="9" t="n"/>
      <c r="D49" s="9" t="n"/>
      <c r="E49" s="9" t="n"/>
      <c r="F49" s="23" t="n"/>
      <c r="G49" s="23" t="n"/>
      <c r="H49" s="27">
        <f>IF(AND(F49="",G49=""),"",$B$5+SUM($F$8:F49)-SUM($G$8:G49))</f>
        <v/>
      </c>
    </row>
    <row r="50">
      <c r="A50" s="25" t="n">
        <v>43</v>
      </c>
      <c r="B50" s="26" t="n"/>
      <c r="C50" s="9" t="n"/>
      <c r="D50" s="9" t="n"/>
      <c r="E50" s="9" t="n"/>
      <c r="F50" s="23" t="n"/>
      <c r="G50" s="23" t="n"/>
      <c r="H50" s="27">
        <f>IF(AND(F50="",G50=""),"",$B$5+SUM($F$8:F50)-SUM($G$8:G50))</f>
        <v/>
      </c>
    </row>
    <row r="51">
      <c r="A51" s="25" t="n">
        <v>44</v>
      </c>
      <c r="B51" s="26" t="n"/>
      <c r="C51" s="9" t="n"/>
      <c r="D51" s="9" t="n"/>
      <c r="E51" s="9" t="n"/>
      <c r="F51" s="23" t="n"/>
      <c r="G51" s="23" t="n"/>
      <c r="H51" s="27">
        <f>IF(AND(F51="",G51=""),"",$B$5+SUM($F$8:F51)-SUM($G$8:G51))</f>
        <v/>
      </c>
    </row>
    <row r="52">
      <c r="A52" s="25" t="n">
        <v>45</v>
      </c>
      <c r="B52" s="26" t="n"/>
      <c r="C52" s="9" t="n"/>
      <c r="D52" s="9" t="n"/>
      <c r="E52" s="9" t="n"/>
      <c r="F52" s="23" t="n"/>
      <c r="G52" s="23" t="n"/>
      <c r="H52" s="27">
        <f>IF(AND(F52="",G52=""),"",$B$5+SUM($F$8:F52)-SUM($G$8:G52))</f>
        <v/>
      </c>
    </row>
    <row r="53">
      <c r="A53" s="25" t="n">
        <v>46</v>
      </c>
      <c r="B53" s="26" t="n"/>
      <c r="C53" s="9" t="n"/>
      <c r="D53" s="9" t="n"/>
      <c r="E53" s="9" t="n"/>
      <c r="F53" s="23" t="n"/>
      <c r="G53" s="23" t="n"/>
      <c r="H53" s="27">
        <f>IF(AND(F53="",G53=""),"",$B$5+SUM($F$8:F53)-SUM($G$8:G53))</f>
        <v/>
      </c>
    </row>
    <row r="54">
      <c r="A54" s="25" t="n">
        <v>47</v>
      </c>
      <c r="B54" s="26" t="n"/>
      <c r="C54" s="9" t="n"/>
      <c r="D54" s="9" t="n"/>
      <c r="E54" s="9" t="n"/>
      <c r="F54" s="23" t="n"/>
      <c r="G54" s="23" t="n"/>
      <c r="H54" s="27">
        <f>IF(AND(F54="",G54=""),"",$B$5+SUM($F$8:F54)-SUM($G$8:G54))</f>
        <v/>
      </c>
    </row>
    <row r="55">
      <c r="A55" s="25" t="n">
        <v>48</v>
      </c>
      <c r="B55" s="26" t="n"/>
      <c r="C55" s="9" t="n"/>
      <c r="D55" s="9" t="n"/>
      <c r="E55" s="9" t="n"/>
      <c r="F55" s="23" t="n"/>
      <c r="G55" s="23" t="n"/>
      <c r="H55" s="27">
        <f>IF(AND(F55="",G55=""),"",$B$5+SUM($F$8:F55)-SUM($G$8:G55))</f>
        <v/>
      </c>
    </row>
    <row r="56">
      <c r="A56" s="25" t="n">
        <v>49</v>
      </c>
      <c r="B56" s="26" t="n"/>
      <c r="C56" s="9" t="n"/>
      <c r="D56" s="9" t="n"/>
      <c r="E56" s="9" t="n"/>
      <c r="F56" s="23" t="n"/>
      <c r="G56" s="23" t="n"/>
      <c r="H56" s="27">
        <f>IF(AND(F56="",G56=""),"",$B$5+SUM($F$8:F56)-SUM($G$8:G56))</f>
        <v/>
      </c>
    </row>
    <row r="57">
      <c r="A57" s="25" t="n">
        <v>50</v>
      </c>
      <c r="B57" s="26" t="n"/>
      <c r="C57" s="9" t="n"/>
      <c r="D57" s="9" t="n"/>
      <c r="E57" s="9" t="n"/>
      <c r="F57" s="23" t="n"/>
      <c r="G57" s="23" t="n"/>
      <c r="H57" s="27">
        <f>IF(AND(F57="",G57=""),"",$B$5+SUM($F$8:F57)-SUM($G$8:G57))</f>
        <v/>
      </c>
    </row>
    <row r="58">
      <c r="E58" s="28" t="inlineStr">
        <is>
          <t>TOTAL</t>
        </is>
      </c>
      <c r="F58" s="29">
        <f>SUM(F8:F57)</f>
        <v/>
      </c>
      <c r="G58" s="29">
        <f>SUM(G8:G57)</f>
        <v/>
      </c>
      <c r="H58" s="29">
        <f>B5+F58-G58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6">
    <mergeCell ref="A2:F2"/>
    <mergeCell ref="B5:D5"/>
    <mergeCell ref="A1:F1"/>
    <mergeCell ref="B4:D4"/>
    <mergeCell ref="G1:H2"/>
    <mergeCell ref="F4:H4"/>
  </mergeCells>
  <dataValidations count="2">
    <dataValidation sqref="D8:D57" showDropDown="0" showInputMessage="0" showErrorMessage="0" allowBlank="1" type="list">
      <formula1>"Ventas,Servicios,Otros ingresos,Nómina,Renta,Servicios (luz/agua/tel),Insumos,Impuestos,Publicidad,Transporte,Otros gastos"</formula1>
    </dataValidation>
    <dataValidation sqref="E8:E57" showDropDown="0" showInputMessage="0" showErrorMessage="0" allowBlank="1" type="list">
      <formula1>"Efectivo,Transferencia,Tarjeta,Cheque"</formula1>
    </dataValidation>
  </dataValidations>
  <printOptions horizontalCentered="1"/>
  <pageMargins left="0.75" right="0.75" top="1" bottom="1" header="0.5" footer="0.5"/>
  <pageSetup orientation="landscape" fitToHeight="0" fitToWidth="1" firstPageNumber="1" useFirstPageNumber="1"/>
  <headerFooter>
    <oddHeader/>
    <oddFooter>&amp;C&amp;8 Página &amp;P&amp;R&amp;8 Impreso: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C9A227"/>
    <outlinePr summaryBelow="1" summaryRight="1"/>
    <pageSetUpPr fitToPage="1"/>
  </sheetPr>
  <dimension ref="A1:J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22" customWidth="1" min="6" max="6"/>
    <col width="15" customWidth="1" min="7" max="7"/>
    <col width="15" customWidth="1" min="8" max="8"/>
    <col width="15" customWidth="1" min="9" max="9"/>
    <col width="2" customWidth="1" min="10" max="10"/>
  </cols>
  <sheetData>
    <row r="1" ht="44" customHeight="1">
      <c r="A1" s="15" t="inlineStr">
        <is>
          <t>RESUMEN DE INGRESOS Y GASTOS</t>
        </is>
      </c>
      <c r="H1" s="38" t="inlineStr">
        <is>
          <t>INSERTE SU LOGO
(clic derecho &gt; Insertar imagen)</t>
        </is>
      </c>
      <c r="I1" s="45" t="n"/>
      <c r="J1" s="39" t="n"/>
    </row>
    <row r="2" ht="26" customHeight="1">
      <c r="A2" s="40" t="inlineStr">
        <is>
          <t>Se actualiza solo con lo que captures en la hoja Formato</t>
        </is>
      </c>
      <c r="B2" s="19" t="n"/>
      <c r="C2" s="19" t="n"/>
      <c r="D2" s="19" t="n"/>
      <c r="E2" s="19" t="n"/>
      <c r="F2" s="19" t="n"/>
      <c r="G2" s="19" t="n"/>
      <c r="H2" s="41" t="n"/>
      <c r="I2" s="46" t="n"/>
      <c r="J2" s="42" t="n"/>
    </row>
    <row r="4" ht="20" customHeight="1">
      <c r="B4" s="47" t="inlineStr">
        <is>
          <t>TOTAL INGRESOS</t>
        </is>
      </c>
      <c r="C4" s="48" t="n"/>
      <c r="D4" s="47" t="inlineStr">
        <is>
          <t>TOTAL GASTOS</t>
        </is>
      </c>
      <c r="E4" s="48" t="n"/>
      <c r="F4" s="47" t="inlineStr">
        <is>
          <t>SALDO FINAL</t>
        </is>
      </c>
      <c r="G4" s="48" t="n"/>
      <c r="H4" s="47" t="inlineStr">
        <is>
          <t>MOVIMIENTOS</t>
        </is>
      </c>
      <c r="I4" s="48" t="n"/>
    </row>
    <row r="5" ht="36" customHeight="1">
      <c r="B5" s="49">
        <f>Formato!F58</f>
        <v/>
      </c>
      <c r="C5" s="50" t="n"/>
      <c r="D5" s="49">
        <f>Formato!G58</f>
        <v/>
      </c>
      <c r="E5" s="50" t="n"/>
      <c r="F5" s="49">
        <f>Formato!H58</f>
        <v/>
      </c>
      <c r="G5" s="50" t="n"/>
      <c r="H5" s="51">
        <f>SUMPRODUCT(--(((Formato!F8:F57&lt;&gt;"")+(Formato!G8:G57&lt;&gt;""))&gt;0))</f>
        <v/>
      </c>
      <c r="I5" s="50" t="n"/>
    </row>
    <row r="25" ht="22" customHeight="1">
      <c r="B25" s="24" t="inlineStr">
        <is>
          <t>Gasto por categoría</t>
        </is>
      </c>
      <c r="C25" s="24" t="inlineStr">
        <is>
          <t>Monto</t>
        </is>
      </c>
      <c r="F25" s="24" t="inlineStr">
        <is>
          <t>Ingreso por categoría</t>
        </is>
      </c>
      <c r="G25" s="24" t="inlineStr">
        <is>
          <t>Monto</t>
        </is>
      </c>
    </row>
    <row r="26">
      <c r="B26" s="37" t="inlineStr">
        <is>
          <t>Nómina</t>
        </is>
      </c>
      <c r="C26" s="27">
        <f>SUMIF(Formato!$D$8:$D$57,B26,Formato!$G$8:$G$57)</f>
        <v/>
      </c>
      <c r="F26" s="37" t="inlineStr">
        <is>
          <t>Ventas</t>
        </is>
      </c>
      <c r="G26" s="27">
        <f>SUMIF(Formato!$D$8:$D$57,F26,Formato!$F$8:$F$57)</f>
        <v/>
      </c>
    </row>
    <row r="27">
      <c r="B27" s="37" t="inlineStr">
        <is>
          <t>Renta</t>
        </is>
      </c>
      <c r="C27" s="27">
        <f>SUMIF(Formato!$D$8:$D$57,B27,Formato!$G$8:$G$57)</f>
        <v/>
      </c>
      <c r="F27" s="37" t="inlineStr">
        <is>
          <t>Servicios</t>
        </is>
      </c>
      <c r="G27" s="27">
        <f>SUMIF(Formato!$D$8:$D$57,F27,Formato!$F$8:$F$57)</f>
        <v/>
      </c>
    </row>
    <row r="28">
      <c r="B28" s="37" t="inlineStr">
        <is>
          <t>Servicios (luz/agua/tel)</t>
        </is>
      </c>
      <c r="C28" s="27">
        <f>SUMIF(Formato!$D$8:$D$57,B28,Formato!$G$8:$G$57)</f>
        <v/>
      </c>
      <c r="F28" s="37" t="inlineStr">
        <is>
          <t>Otros ingresos</t>
        </is>
      </c>
      <c r="G28" s="27">
        <f>SUMIF(Formato!$D$8:$D$57,F28,Formato!$F$8:$F$57)</f>
        <v/>
      </c>
    </row>
    <row r="29">
      <c r="B29" s="37" t="inlineStr">
        <is>
          <t>Insumos</t>
        </is>
      </c>
      <c r="C29" s="27">
        <f>SUMIF(Formato!$D$8:$D$57,B29,Formato!$G$8:$G$57)</f>
        <v/>
      </c>
    </row>
    <row r="30">
      <c r="B30" s="37" t="inlineStr">
        <is>
          <t>Impuestos</t>
        </is>
      </c>
      <c r="C30" s="27">
        <f>SUMIF(Formato!$D$8:$D$57,B30,Formato!$G$8:$G$57)</f>
        <v/>
      </c>
    </row>
    <row r="31">
      <c r="B31" s="37" t="inlineStr">
        <is>
          <t>Publicidad</t>
        </is>
      </c>
      <c r="C31" s="27">
        <f>SUMIF(Formato!$D$8:$D$57,B31,Formato!$G$8:$G$57)</f>
        <v/>
      </c>
    </row>
    <row r="32">
      <c r="B32" s="37" t="inlineStr">
        <is>
          <t>Transporte</t>
        </is>
      </c>
      <c r="C32" s="27">
        <f>SUMIF(Formato!$D$8:$D$57,B32,Formato!$G$8:$G$57)</f>
        <v/>
      </c>
    </row>
    <row r="33">
      <c r="B33" s="37" t="inlineStr">
        <is>
          <t>Otros gastos</t>
        </is>
      </c>
      <c r="C33" s="27">
        <f>SUMIF(Formato!$D$8:$D$57,B33,Formato!$G$8:$G$57)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0"/>
  <mergeCells count="11">
    <mergeCell ref="F4:G4"/>
    <mergeCell ref="H1:J2"/>
    <mergeCell ref="A1:G1"/>
    <mergeCell ref="B5:C5"/>
    <mergeCell ref="F5:G5"/>
    <mergeCell ref="D5:E5"/>
    <mergeCell ref="A2:G2"/>
    <mergeCell ref="D4:E4"/>
    <mergeCell ref="H5:I5"/>
    <mergeCell ref="H4:I4"/>
    <mergeCell ref="B4:C4"/>
  </mergeCells>
  <printOptions horizontalCentered="1"/>
  <pageMargins left="0.75" right="0.75" top="1" bottom="1" header="0.5" footer="0.5"/>
  <pageSetup orientation="landscape" fitToHeight="1" fitToWidth="1" firstPageNumber="1" useFirstPageNumber="1"/>
  <headerFooter>
    <oddHeader/>
    <oddFooter>&amp;C&amp;8 Página &amp;P&amp;R&amp;8 Impreso: &amp;D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2026-10-07T18:10:56Z</dcterms:created>
  <dcterms:modified xmlns:dcterms="http://purl.org/dc/terms/" xmlns:xsi="http://www.w3.org/2001/XMLSchema-instance" xsi:type="dcterms:W3CDTF">2026-10-07T18:10:58Z</dcterms:modified>
</cp:coreProperties>
</file>