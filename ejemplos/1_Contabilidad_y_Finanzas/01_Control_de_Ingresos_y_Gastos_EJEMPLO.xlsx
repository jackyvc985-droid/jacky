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9" pivotButton="0" quotePrefix="0" xfId="0"/>
    <xf numFmtId="0" fontId="9" fillId="3" borderId="30" applyAlignment="1" pivotButton="0" quotePrefix="0" xfId="0">
      <alignment horizontal="center" vertical="center"/>
    </xf>
    <xf numFmtId="0" fontId="0" fillId="0" borderId="32" pivotButton="0" quotePrefix="0" xfId="0"/>
    <xf numFmtId="164" fontId="10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10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Formatos administrativos  ·  Para uso interno de tu empresa</t>
        </is>
      </c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G1" s="54" t="inlineStr">
        <is>
          <t>INSERTE SU LOGO
(clic derecho &gt; Insertar imagen)</t>
        </is>
      </c>
      <c r="H1" s="55" t="n"/>
    </row>
    <row r="2" ht="26" customHeight="1">
      <c r="A2" s="56" t="inlineStr">
        <is>
          <t>Registro diario de movimientos con saldo acumulado</t>
        </is>
      </c>
      <c r="B2" s="57" t="n"/>
      <c r="C2" s="57" t="n"/>
      <c r="D2" s="57" t="n"/>
      <c r="E2" s="57" t="n"/>
      <c r="F2" s="57" t="n"/>
      <c r="G2" s="58" t="n"/>
      <c r="H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0" t="n"/>
      <c r="D4" s="61" t="n"/>
      <c r="E4" s="29" t="inlineStr">
        <is>
          <t>PERIODO</t>
        </is>
      </c>
      <c r="F4" s="17" t="inlineStr">
        <is>
          <t>SEPTIEMBRE 2026</t>
        </is>
      </c>
      <c r="G4" s="60" t="n"/>
      <c r="H4" s="61" t="n"/>
    </row>
    <row r="5">
      <c r="A5" s="29" t="inlineStr">
        <is>
          <t>SALDO INICIAL</t>
        </is>
      </c>
      <c r="B5" s="30" t="n">
        <v>15000</v>
      </c>
      <c r="C5" s="60" t="n"/>
      <c r="D5" s="61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>
        <v>46266</v>
      </c>
      <c r="C8" s="17" t="inlineStr">
        <is>
          <t>VENTA MOSTRADOR</t>
        </is>
      </c>
      <c r="D8" s="17" t="inlineStr">
        <is>
          <t>VENTAS</t>
        </is>
      </c>
      <c r="E8" s="17" t="inlineStr">
        <is>
          <t>EFECTIVO</t>
        </is>
      </c>
      <c r="F8" s="30" t="n">
        <v>18500</v>
      </c>
      <c r="G8" s="30" t="n"/>
      <c r="H8" s="34">
        <f>IF(AND(F8="",G8=""),"",$B$5+SUM($F$8:F8)-SUM($G$8:G8))</f>
        <v/>
      </c>
    </row>
    <row r="9">
      <c r="A9" s="32" t="n">
        <v>2</v>
      </c>
      <c r="B9" s="33" t="n">
        <v>46267</v>
      </c>
      <c r="C9" s="17" t="inlineStr">
        <is>
          <t>PAGO DE RENTA DE OFICINA</t>
        </is>
      </c>
      <c r="D9" s="17" t="inlineStr">
        <is>
          <t>RENTA</t>
        </is>
      </c>
      <c r="E9" s="17" t="inlineStr">
        <is>
          <t>TRANSFERENCIA</t>
        </is>
      </c>
      <c r="F9" s="30" t="n"/>
      <c r="G9" s="30" t="n">
        <v>8500</v>
      </c>
      <c r="H9" s="34">
        <f>IF(AND(F9="",G9=""),"",$B$5+SUM($F$8:F9)-SUM($G$8:G9))</f>
        <v/>
      </c>
    </row>
    <row r="10">
      <c r="A10" s="32" t="n">
        <v>3</v>
      </c>
      <c r="B10" s="33" t="n">
        <v>46268</v>
      </c>
      <c r="C10" s="17" t="inlineStr">
        <is>
          <t>SERVICIO DE CONSULTORÍA</t>
        </is>
      </c>
      <c r="D10" s="17" t="inlineStr">
        <is>
          <t>SERVICIOS</t>
        </is>
      </c>
      <c r="E10" s="17" t="inlineStr">
        <is>
          <t>TRANSFERENCIA</t>
        </is>
      </c>
      <c r="F10" s="30" t="n">
        <v>12000</v>
      </c>
      <c r="G10" s="30" t="n"/>
      <c r="H10" s="34">
        <f>IF(AND(F10="",G10=""),"",$B$5+SUM($F$8:F10)-SUM($G$8:G10))</f>
        <v/>
      </c>
    </row>
    <row r="11">
      <c r="A11" s="32" t="n">
        <v>4</v>
      </c>
      <c r="B11" s="33" t="n">
        <v>46270</v>
      </c>
      <c r="C11" s="17" t="inlineStr">
        <is>
          <t>NÓMINA PRIMERA QUINCENA</t>
        </is>
      </c>
      <c r="D11" s="17" t="inlineStr">
        <is>
          <t>NÓMINA</t>
        </is>
      </c>
      <c r="E11" s="17" t="inlineStr">
        <is>
          <t>TRANSFERENCIA</t>
        </is>
      </c>
      <c r="F11" s="30" t="n"/>
      <c r="G11" s="30" t="n">
        <v>14200</v>
      </c>
      <c r="H11" s="34">
        <f>IF(AND(F11="",G11=""),"",$B$5+SUM($F$8:F11)-SUM($G$8:G11))</f>
        <v/>
      </c>
    </row>
    <row r="12">
      <c r="A12" s="32" t="n">
        <v>5</v>
      </c>
      <c r="B12" s="33" t="n">
        <v>46272</v>
      </c>
      <c r="C12" s="17" t="inlineStr">
        <is>
          <t>PAPELERÍA E INSUMOS</t>
        </is>
      </c>
      <c r="D12" s="17" t="inlineStr">
        <is>
          <t>INSUMOS</t>
        </is>
      </c>
      <c r="E12" s="17" t="inlineStr">
        <is>
          <t>TARJETA</t>
        </is>
      </c>
      <c r="F12" s="30" t="n"/>
      <c r="G12" s="30" t="n">
        <v>2350.5</v>
      </c>
      <c r="H12" s="34">
        <f>IF(AND(F12="",G12=""),"",$B$5+SUM($F$8:F12)-SUM($G$8:G12))</f>
        <v/>
      </c>
    </row>
    <row r="13">
      <c r="A13" s="32" t="n">
        <v>6</v>
      </c>
      <c r="B13" s="33" t="n">
        <v>46274</v>
      </c>
      <c r="C13" s="17" t="inlineStr">
        <is>
          <t>VENTA MAYOREO</t>
        </is>
      </c>
      <c r="D13" s="17" t="inlineStr">
        <is>
          <t>VENTAS</t>
        </is>
      </c>
      <c r="E13" s="17" t="inlineStr">
        <is>
          <t>TRANSFERENCIA</t>
        </is>
      </c>
      <c r="F13" s="30" t="n">
        <v>26400</v>
      </c>
      <c r="G13" s="30" t="n"/>
      <c r="H13" s="34">
        <f>IF(AND(F13="",G13=""),"",$B$5+SUM($F$8:F13)-SUM($G$8:G13))</f>
        <v/>
      </c>
    </row>
    <row r="14">
      <c r="A14" s="32" t="n">
        <v>7</v>
      </c>
      <c r="B14" s="33" t="n">
        <v>46275</v>
      </c>
      <c r="C14" s="17" t="inlineStr">
        <is>
          <t>LUZ Y AGUA</t>
        </is>
      </c>
      <c r="D14" s="17" t="inlineStr">
        <is>
          <t>SERVICIOS (LUZ/AGUA/TEL)</t>
        </is>
      </c>
      <c r="E14" s="17" t="inlineStr">
        <is>
          <t>EFECTIVO</t>
        </is>
      </c>
      <c r="F14" s="30" t="n"/>
      <c r="G14" s="30" t="n">
        <v>1890</v>
      </c>
      <c r="H14" s="34">
        <f>IF(AND(F14="",G14=""),"",$B$5+SUM($F$8:F14)-SUM($G$8:G14))</f>
        <v/>
      </c>
    </row>
    <row r="15">
      <c r="A15" s="32" t="n">
        <v>8</v>
      </c>
      <c r="B15" s="33" t="n">
        <v>46277</v>
      </c>
      <c r="C15" s="17" t="inlineStr">
        <is>
          <t>CAMPAÑA EN REDES SOCIALES</t>
        </is>
      </c>
      <c r="D15" s="17" t="inlineStr">
        <is>
          <t>PUBLICIDAD</t>
        </is>
      </c>
      <c r="E15" s="17" t="inlineStr">
        <is>
          <t>TARJETA</t>
        </is>
      </c>
      <c r="F15" s="30" t="n"/>
      <c r="G15" s="30" t="n">
        <v>3200</v>
      </c>
      <c r="H15" s="34">
        <f>IF(AND(F15="",G15=""),"",$B$5+SUM($F$8:F15)-SUM($G$8:G15))</f>
        <v/>
      </c>
    </row>
    <row r="16">
      <c r="A16" s="32" t="n">
        <v>9</v>
      </c>
      <c r="B16" s="33" t="n">
        <v>46279</v>
      </c>
      <c r="C16" s="17" t="inlineStr">
        <is>
          <t>VENTA MOSTRADOR</t>
        </is>
      </c>
      <c r="D16" s="17" t="inlineStr">
        <is>
          <t>VENTAS</t>
        </is>
      </c>
      <c r="E16" s="17" t="inlineStr">
        <is>
          <t>EFECTIVO</t>
        </is>
      </c>
      <c r="F16" s="30" t="n">
        <v>15750</v>
      </c>
      <c r="G16" s="30" t="n"/>
      <c r="H16" s="34">
        <f>IF(AND(F16="",G16=""),"",$B$5+SUM($F$8:F16)-SUM($G$8:G16))</f>
        <v/>
      </c>
    </row>
    <row r="17">
      <c r="A17" s="32" t="n">
        <v>10</v>
      </c>
      <c r="B17" s="33" t="n">
        <v>46280</v>
      </c>
      <c r="C17" s="17" t="inlineStr">
        <is>
          <t>PAGO DE IVA</t>
        </is>
      </c>
      <c r="D17" s="17" t="inlineStr">
        <is>
          <t>IMPUESTOS</t>
        </is>
      </c>
      <c r="E17" s="17" t="inlineStr">
        <is>
          <t>TRANSFERENCIA</t>
        </is>
      </c>
      <c r="F17" s="30" t="n"/>
      <c r="G17" s="30" t="n">
        <v>6120</v>
      </c>
      <c r="H17" s="34">
        <f>IF(AND(F17="",G17=""),"",$B$5+SUM($F$8:F17)-SUM($G$8:G17))</f>
        <v/>
      </c>
    </row>
    <row r="18">
      <c r="A18" s="32" t="n">
        <v>11</v>
      </c>
      <c r="B18" s="33" t="n">
        <v>46282</v>
      </c>
      <c r="C18" s="17" t="inlineStr">
        <is>
          <t>SERVICIO DE MANTENIMIENTO</t>
        </is>
      </c>
      <c r="D18" s="17" t="inlineStr">
        <is>
          <t>SERVICIOS</t>
        </is>
      </c>
      <c r="E18" s="17" t="inlineStr">
        <is>
          <t>TRANSFERENCIA</t>
        </is>
      </c>
      <c r="F18" s="30" t="n">
        <v>9800</v>
      </c>
      <c r="G18" s="30" t="n"/>
      <c r="H18" s="34">
        <f>IF(AND(F18="",G18=""),"",$B$5+SUM($F$8:F18)-SUM($G$8:G18))</f>
        <v/>
      </c>
    </row>
    <row r="19">
      <c r="A19" s="32" t="n">
        <v>12</v>
      </c>
      <c r="B19" s="33" t="n">
        <v>46284</v>
      </c>
      <c r="C19" s="17" t="inlineStr">
        <is>
          <t>COMBUSTIBLE DE REPARTO</t>
        </is>
      </c>
      <c r="D19" s="17" t="inlineStr">
        <is>
          <t>TRANSPORTE</t>
        </is>
      </c>
      <c r="E19" s="17" t="inlineStr">
        <is>
          <t>TARJETA</t>
        </is>
      </c>
      <c r="F19" s="30" t="n"/>
      <c r="G19" s="30" t="n">
        <v>1450</v>
      </c>
      <c r="H19" s="34">
        <f>IF(AND(F19="",G19=""),"",$B$5+SUM($F$8:F19)-SUM($G$8:G19))</f>
        <v/>
      </c>
    </row>
    <row r="20">
      <c r="A20" s="32" t="n">
        <v>13</v>
      </c>
      <c r="B20" s="33" t="n">
        <v>46285</v>
      </c>
      <c r="C20" s="17" t="inlineStr">
        <is>
          <t>NÓMINA SEGUNDA QUINCENA</t>
        </is>
      </c>
      <c r="D20" s="17" t="inlineStr">
        <is>
          <t>NÓMINA</t>
        </is>
      </c>
      <c r="E20" s="17" t="inlineStr">
        <is>
          <t>TRANSFERENCIA</t>
        </is>
      </c>
      <c r="F20" s="30" t="n"/>
      <c r="G20" s="30" t="n">
        <v>14200</v>
      </c>
      <c r="H20" s="34">
        <f>IF(AND(F20="",G20=""),"",$B$5+SUM($F$8:F20)-SUM($G$8:G20))</f>
        <v/>
      </c>
    </row>
    <row r="21">
      <c r="A21" s="32" t="n">
        <v>14</v>
      </c>
      <c r="B21" s="33" t="n">
        <v>46288</v>
      </c>
      <c r="C21" s="17" t="inlineStr">
        <is>
          <t>INTERESES GANADOS</t>
        </is>
      </c>
      <c r="D21" s="17" t="inlineStr">
        <is>
          <t>OTROS INGRESOS</t>
        </is>
      </c>
      <c r="E21" s="17" t="inlineStr">
        <is>
          <t>TRANSFERENCIA</t>
        </is>
      </c>
      <c r="F21" s="30" t="n">
        <v>320</v>
      </c>
      <c r="G21" s="30" t="n"/>
      <c r="H21" s="34">
        <f>IF(AND(F21="",G21=""),"",$B$5+SUM($F$8:F21)-SUM($G$8:G21))</f>
        <v/>
      </c>
    </row>
    <row r="22">
      <c r="A22" s="32" t="n">
        <v>15</v>
      </c>
      <c r="B22" s="33" t="n">
        <v>46290</v>
      </c>
      <c r="C22" s="17" t="inlineStr">
        <is>
          <t>VENTA MOSTRADOR</t>
        </is>
      </c>
      <c r="D22" s="17" t="inlineStr">
        <is>
          <t>VENTAS</t>
        </is>
      </c>
      <c r="E22" s="17" t="inlineStr">
        <is>
          <t>EFECTIVO</t>
        </is>
      </c>
      <c r="F22" s="30" t="n">
        <v>21300</v>
      </c>
      <c r="G22" s="30" t="n"/>
      <c r="H22" s="34">
        <f>IF(AND(F22="",G22=""),"",$B$5+SUM($F$8:F22)-SUM($G$8:G22))</f>
        <v/>
      </c>
    </row>
    <row r="23">
      <c r="A23" s="32" t="n">
        <v>16</v>
      </c>
      <c r="B23" s="33" t="n">
        <v>46293</v>
      </c>
      <c r="C23" s="17" t="inlineStr">
        <is>
          <t>REPARACIONES MENORES</t>
        </is>
      </c>
      <c r="D23" s="17" t="inlineStr">
        <is>
          <t>OTROS GASTOS</t>
        </is>
      </c>
      <c r="E23" s="17" t="inlineStr">
        <is>
          <t>EFECTIVO</t>
        </is>
      </c>
      <c r="F23" s="30" t="n"/>
      <c r="G23" s="30" t="n">
        <v>1180</v>
      </c>
      <c r="H23" s="34">
        <f>IF(AND(F23="",G23=""),"",$B$5+SUM($F$8:F23)-SUM($G$8:G23))</f>
        <v/>
      </c>
    </row>
    <row r="24">
      <c r="A24" s="32" t="n">
        <v>17</v>
      </c>
      <c r="B24" s="33" t="n">
        <v>46267</v>
      </c>
      <c r="C24" s="17" t="inlineStr">
        <is>
          <t>VENTA MOSTRADOR</t>
        </is>
      </c>
      <c r="D24" s="17" t="inlineStr">
        <is>
          <t>VENTAS</t>
        </is>
      </c>
      <c r="E24" s="17" t="inlineStr">
        <is>
          <t>EFECTIVO</t>
        </is>
      </c>
      <c r="F24" s="30" t="n">
        <v>9800</v>
      </c>
      <c r="G24" s="30" t="n"/>
      <c r="H24" s="34">
        <f>IF(AND(F24="",G24=""),"",$B$5+SUM($F$8:F24)-SUM($G$8:G24))</f>
        <v/>
      </c>
    </row>
    <row r="25">
      <c r="A25" s="32" t="n">
        <v>18</v>
      </c>
      <c r="B25" s="33" t="n">
        <v>46269</v>
      </c>
      <c r="C25" s="17" t="inlineStr">
        <is>
          <t>PAGO DE INTERNET Y TELÉFONO</t>
        </is>
      </c>
      <c r="D25" s="17" t="inlineStr">
        <is>
          <t>SERVICIOS (LUZ/AGUA/TEL)</t>
        </is>
      </c>
      <c r="E25" s="17" t="inlineStr">
        <is>
          <t>TARJETA</t>
        </is>
      </c>
      <c r="F25" s="30" t="n"/>
      <c r="G25" s="30" t="n">
        <v>1250</v>
      </c>
      <c r="H25" s="34">
        <f>IF(AND(F25="",G25=""),"",$B$5+SUM($F$8:F25)-SUM($G$8:G25))</f>
        <v/>
      </c>
    </row>
    <row r="26">
      <c r="A26" s="32" t="n">
        <v>19</v>
      </c>
      <c r="B26" s="33" t="n">
        <v>46271</v>
      </c>
      <c r="C26" s="17" t="inlineStr">
        <is>
          <t>SERVICIO DE CONSULTORÍA</t>
        </is>
      </c>
      <c r="D26" s="17" t="inlineStr">
        <is>
          <t>SERVICIOS</t>
        </is>
      </c>
      <c r="E26" s="17" t="inlineStr">
        <is>
          <t>TRANSFERENCIA</t>
        </is>
      </c>
      <c r="F26" s="30" t="n">
        <v>7500</v>
      </c>
      <c r="G26" s="30" t="n"/>
      <c r="H26" s="34">
        <f>IF(AND(F26="",G26=""),"",$B$5+SUM($F$8:F26)-SUM($G$8:G26))</f>
        <v/>
      </c>
    </row>
    <row r="27">
      <c r="A27" s="32" t="n">
        <v>20</v>
      </c>
      <c r="B27" s="33" t="n">
        <v>46273</v>
      </c>
      <c r="C27" s="17" t="inlineStr">
        <is>
          <t>COMPRA DE INSUMOS DE LIMPIEZA</t>
        </is>
      </c>
      <c r="D27" s="17" t="inlineStr">
        <is>
          <t>INSUMOS</t>
        </is>
      </c>
      <c r="E27" s="17" t="inlineStr">
        <is>
          <t>EFECTIVO</t>
        </is>
      </c>
      <c r="F27" s="30" t="n"/>
      <c r="G27" s="30" t="n">
        <v>860</v>
      </c>
      <c r="H27" s="34">
        <f>IF(AND(F27="",G27=""),"",$B$5+SUM($F$8:F27)-SUM($G$8:G27))</f>
        <v/>
      </c>
    </row>
    <row r="28">
      <c r="A28" s="32" t="n">
        <v>21</v>
      </c>
      <c r="B28" s="33" t="n">
        <v>46276</v>
      </c>
      <c r="C28" s="17" t="inlineStr">
        <is>
          <t>VENTA MAYOREO</t>
        </is>
      </c>
      <c r="D28" s="17" t="inlineStr">
        <is>
          <t>VENTAS</t>
        </is>
      </c>
      <c r="E28" s="17" t="inlineStr">
        <is>
          <t>TRANSFERENCIA</t>
        </is>
      </c>
      <c r="F28" s="30" t="n">
        <v>31200</v>
      </c>
      <c r="G28" s="30" t="n"/>
      <c r="H28" s="34">
        <f>IF(AND(F28="",G28=""),"",$B$5+SUM($F$8:F28)-SUM($G$8:G28))</f>
        <v/>
      </c>
    </row>
    <row r="29">
      <c r="A29" s="32" t="n">
        <v>22</v>
      </c>
      <c r="B29" s="33" t="n">
        <v>46278</v>
      </c>
      <c r="C29" s="17" t="inlineStr">
        <is>
          <t>MANTENIMIENTO DE EQUIPO DE CÓMPUTO</t>
        </is>
      </c>
      <c r="D29" s="17" t="inlineStr">
        <is>
          <t>MANTENIMIENTO</t>
        </is>
      </c>
      <c r="E29" s="17" t="inlineStr">
        <is>
          <t>TARJETA</t>
        </is>
      </c>
      <c r="F29" s="30" t="n"/>
      <c r="G29" s="30" t="n">
        <v>2400</v>
      </c>
      <c r="H29" s="34">
        <f>IF(AND(F29="",G29=""),"",$B$5+SUM($F$8:F29)-SUM($G$8:G29))</f>
        <v/>
      </c>
    </row>
    <row r="30">
      <c r="A30" s="32" t="n">
        <v>23</v>
      </c>
      <c r="B30" s="33" t="n">
        <v>46281</v>
      </c>
      <c r="C30" s="17" t="inlineStr">
        <is>
          <t>VENTA MOSTRADOR</t>
        </is>
      </c>
      <c r="D30" s="17" t="inlineStr">
        <is>
          <t>VENTAS</t>
        </is>
      </c>
      <c r="E30" s="17" t="inlineStr">
        <is>
          <t>EFECTIVO</t>
        </is>
      </c>
      <c r="F30" s="30" t="n">
        <v>12400</v>
      </c>
      <c r="G30" s="30" t="n"/>
      <c r="H30" s="34">
        <f>IF(AND(F30="",G30=""),"",$B$5+SUM($F$8:F30)-SUM($G$8:G30))</f>
        <v/>
      </c>
    </row>
    <row r="31">
      <c r="A31" s="32" t="n">
        <v>24</v>
      </c>
      <c r="B31" s="33" t="n">
        <v>46283</v>
      </c>
      <c r="C31" s="17" t="inlineStr">
        <is>
          <t>COMBUSTIBLE</t>
        </is>
      </c>
      <c r="D31" s="17" t="inlineStr">
        <is>
          <t>TRANSPORTE</t>
        </is>
      </c>
      <c r="E31" s="17" t="inlineStr">
        <is>
          <t>TARJETA</t>
        </is>
      </c>
      <c r="F31" s="30" t="n"/>
      <c r="G31" s="30" t="n">
        <v>1320</v>
      </c>
      <c r="H31" s="34">
        <f>IF(AND(F31="",G31=""),"",$B$5+SUM($F$8:F31)-SUM($G$8:G31))</f>
        <v/>
      </c>
    </row>
    <row r="32">
      <c r="A32" s="32" t="n">
        <v>25</v>
      </c>
      <c r="B32" s="33" t="n">
        <v>46286</v>
      </c>
      <c r="C32" s="17" t="inlineStr">
        <is>
          <t>SERVICIO DE CAPACITACIÓN</t>
        </is>
      </c>
      <c r="D32" s="17" t="inlineStr">
        <is>
          <t>SERVICIOS</t>
        </is>
      </c>
      <c r="E32" s="17" t="inlineStr">
        <is>
          <t>TRANSFERENCIA</t>
        </is>
      </c>
      <c r="F32" s="30" t="n">
        <v>14500</v>
      </c>
      <c r="G32" s="30" t="n"/>
      <c r="H32" s="34">
        <f>IF(AND(F32="",G32=""),"",$B$5+SUM($F$8:F32)-SUM($G$8:G32))</f>
        <v/>
      </c>
    </row>
    <row r="33">
      <c r="A33" s="32" t="n">
        <v>26</v>
      </c>
      <c r="B33" s="33" t="n">
        <v>46287</v>
      </c>
      <c r="C33" s="17" t="inlineStr">
        <is>
          <t>PAGO ISR PROVISIONAL</t>
        </is>
      </c>
      <c r="D33" s="17" t="inlineStr">
        <is>
          <t>IMPUESTOS</t>
        </is>
      </c>
      <c r="E33" s="17" t="inlineStr">
        <is>
          <t>TRANSFERENCIA</t>
        </is>
      </c>
      <c r="F33" s="30" t="n"/>
      <c r="G33" s="30" t="n">
        <v>4380</v>
      </c>
      <c r="H33" s="34">
        <f>IF(AND(F33="",G33=""),"",$B$5+SUM($F$8:F33)-SUM($G$8:G33))</f>
        <v/>
      </c>
    </row>
    <row r="34">
      <c r="A34" s="32" t="n">
        <v>27</v>
      </c>
      <c r="B34" s="33" t="n">
        <v>46289</v>
      </c>
      <c r="C34" s="17" t="inlineStr">
        <is>
          <t>VENTA MOSTRADOR</t>
        </is>
      </c>
      <c r="D34" s="17" t="inlineStr">
        <is>
          <t>VENTAS</t>
        </is>
      </c>
      <c r="E34" s="17" t="inlineStr">
        <is>
          <t>EFECTIVO</t>
        </is>
      </c>
      <c r="F34" s="30" t="n">
        <v>16800</v>
      </c>
      <c r="G34" s="30" t="n"/>
      <c r="H34" s="34">
        <f>IF(AND(F34="",G34=""),"",$B$5+SUM($F$8:F34)-SUM($G$8:G34))</f>
        <v/>
      </c>
    </row>
    <row r="35">
      <c r="A35" s="32" t="n">
        <v>28</v>
      </c>
      <c r="B35" s="33" t="n">
        <v>46291</v>
      </c>
      <c r="C35" s="17" t="inlineStr">
        <is>
          <t>PUBLICIDAD IMPRESA</t>
        </is>
      </c>
      <c r="D35" s="17" t="inlineStr">
        <is>
          <t>PUBLICIDAD</t>
        </is>
      </c>
      <c r="E35" s="17" t="inlineStr">
        <is>
          <t>TARJETA</t>
        </is>
      </c>
      <c r="F35" s="30" t="n"/>
      <c r="G35" s="30" t="n">
        <v>1900</v>
      </c>
      <c r="H35" s="34">
        <f>IF(AND(F35="",G35=""),"",$B$5+SUM($F$8:F35)-SUM($G$8:G35))</f>
        <v/>
      </c>
    </row>
    <row r="36">
      <c r="A36" s="32" t="n">
        <v>29</v>
      </c>
      <c r="B36" s="33" t="n">
        <v>46292</v>
      </c>
      <c r="C36" s="17" t="inlineStr">
        <is>
          <t>VENTA MAYOREO</t>
        </is>
      </c>
      <c r="D36" s="17" t="inlineStr">
        <is>
          <t>VENTAS</t>
        </is>
      </c>
      <c r="E36" s="17" t="inlineStr">
        <is>
          <t>TRANSFERENCIA</t>
        </is>
      </c>
      <c r="F36" s="30" t="n">
        <v>22800</v>
      </c>
      <c r="G36" s="30" t="n"/>
      <c r="H36" s="34">
        <f>IF(AND(F36="",G36=""),"",$B$5+SUM($F$8:F36)-SUM($G$8:G36))</f>
        <v/>
      </c>
    </row>
    <row r="37">
      <c r="A37" s="32" t="n">
        <v>30</v>
      </c>
      <c r="B37" s="33" t="n">
        <v>46294</v>
      </c>
      <c r="C37" s="17" t="inlineStr">
        <is>
          <t>PAGO DE RENTA BODEGA</t>
        </is>
      </c>
      <c r="D37" s="17" t="inlineStr">
        <is>
          <t>RENTA</t>
        </is>
      </c>
      <c r="E37" s="17" t="inlineStr">
        <is>
          <t>TRANSFERENCIA</t>
        </is>
      </c>
      <c r="F37" s="30" t="n"/>
      <c r="G37" s="30" t="n">
        <v>6200</v>
      </c>
      <c r="H37" s="34">
        <f>IF(AND(F37="",G37=""),"",$B$5+SUM($F$8:F37)-SUM($G$8:G37))</f>
        <v/>
      </c>
    </row>
    <row r="38">
      <c r="A38" s="32" t="n">
        <v>31</v>
      </c>
      <c r="B38" s="33" t="n">
        <v>46027</v>
      </c>
      <c r="C38" s="17" t="inlineStr">
        <is>
          <t>VENTA MOSTRADOR</t>
        </is>
      </c>
      <c r="D38" s="17" t="inlineStr">
        <is>
          <t>VENTAS</t>
        </is>
      </c>
      <c r="E38" s="17" t="inlineStr">
        <is>
          <t>EFECTIVO</t>
        </is>
      </c>
      <c r="F38" s="30" t="n">
        <v>15700</v>
      </c>
      <c r="G38" s="30" t="n"/>
      <c r="H38" s="34">
        <f>IF(AND(F38="",G38=""),"",$B$5+SUM($F$8:F38)-SUM($G$8:G38))</f>
        <v/>
      </c>
    </row>
    <row r="39">
      <c r="A39" s="32" t="n">
        <v>32</v>
      </c>
      <c r="B39" s="33" t="n">
        <v>46034</v>
      </c>
      <c r="C39" s="17" t="inlineStr">
        <is>
          <t>SERVICIO DE CONSULTORÍA</t>
        </is>
      </c>
      <c r="D39" s="17" t="inlineStr">
        <is>
          <t>SERVICIOS</t>
        </is>
      </c>
      <c r="E39" s="17" t="inlineStr">
        <is>
          <t>TRANSFERENCIA</t>
        </is>
      </c>
      <c r="F39" s="30" t="n">
        <v>8900</v>
      </c>
      <c r="G39" s="30" t="n"/>
      <c r="H39" s="34">
        <f>IF(AND(F39="",G39=""),"",$B$5+SUM($F$8:F39)-SUM($G$8:G39))</f>
        <v/>
      </c>
    </row>
    <row r="40">
      <c r="A40" s="32" t="n">
        <v>33</v>
      </c>
      <c r="B40" s="33" t="n">
        <v>46037</v>
      </c>
      <c r="C40" s="17" t="inlineStr">
        <is>
          <t>NÓMINA QUINCENAL</t>
        </is>
      </c>
      <c r="D40" s="17" t="inlineStr">
        <is>
          <t>NÓMINA</t>
        </is>
      </c>
      <c r="E40" s="17" t="inlineStr">
        <is>
          <t>TRANSFERENCIA</t>
        </is>
      </c>
      <c r="F40" s="30" t="n"/>
      <c r="G40" s="30" t="n">
        <v>13600</v>
      </c>
      <c r="H40" s="34">
        <f>IF(AND(F40="",G40=""),"",$B$5+SUM($F$8:F40)-SUM($G$8:G40))</f>
        <v/>
      </c>
    </row>
    <row r="41">
      <c r="A41" s="32" t="n">
        <v>34</v>
      </c>
      <c r="B41" s="33" t="n">
        <v>46042</v>
      </c>
      <c r="C41" s="17" t="inlineStr">
        <is>
          <t>PAGO DE RENTA</t>
        </is>
      </c>
      <c r="D41" s="17" t="inlineStr">
        <is>
          <t>RENTA</t>
        </is>
      </c>
      <c r="E41" s="17" t="inlineStr">
        <is>
          <t>TRANSFERENCIA</t>
        </is>
      </c>
      <c r="F41" s="30" t="n"/>
      <c r="G41" s="30" t="n">
        <v>8500</v>
      </c>
      <c r="H41" s="34">
        <f>IF(AND(F41="",G41=""),"",$B$5+SUM($F$8:F41)-SUM($G$8:G41))</f>
        <v/>
      </c>
    </row>
    <row r="42">
      <c r="A42" s="32" t="n">
        <v>35</v>
      </c>
      <c r="B42" s="33" t="n">
        <v>46046</v>
      </c>
      <c r="C42" s="17" t="inlineStr">
        <is>
          <t>INSUMOS Y PAPELERÍA</t>
        </is>
      </c>
      <c r="D42" s="17" t="inlineStr">
        <is>
          <t>INSUMOS</t>
        </is>
      </c>
      <c r="E42" s="17" t="inlineStr">
        <is>
          <t>TARJETA</t>
        </is>
      </c>
      <c r="F42" s="30" t="n"/>
      <c r="G42" s="30" t="n">
        <v>1920</v>
      </c>
      <c r="H42" s="34">
        <f>IF(AND(F42="",G42=""),"",$B$5+SUM($F$8:F42)-SUM($G$8:G42))</f>
        <v/>
      </c>
    </row>
    <row r="43">
      <c r="A43" s="32" t="n">
        <v>36</v>
      </c>
      <c r="B43" s="33" t="n">
        <v>46049</v>
      </c>
      <c r="C43" s="17" t="inlineStr">
        <is>
          <t>PUBLICIDAD EN REDES</t>
        </is>
      </c>
      <c r="D43" s="17" t="inlineStr">
        <is>
          <t>PUBLICIDAD</t>
        </is>
      </c>
      <c r="E43" s="17" t="inlineStr">
        <is>
          <t>TARJETA</t>
        </is>
      </c>
      <c r="F43" s="30" t="n"/>
      <c r="G43" s="30" t="n">
        <v>2500</v>
      </c>
      <c r="H43" s="34">
        <f>IF(AND(F43="",G43=""),"",$B$5+SUM($F$8:F43)-SUM($G$8:G43))</f>
        <v/>
      </c>
    </row>
    <row r="44">
      <c r="A44" s="32" t="n">
        <v>37</v>
      </c>
      <c r="B44" s="33" t="n">
        <v>46058</v>
      </c>
      <c r="C44" s="17" t="inlineStr">
        <is>
          <t>VENTA MOSTRADOR</t>
        </is>
      </c>
      <c r="D44" s="17" t="inlineStr">
        <is>
          <t>VENTAS</t>
        </is>
      </c>
      <c r="E44" s="17" t="inlineStr">
        <is>
          <t>EFECTIVO</t>
        </is>
      </c>
      <c r="F44" s="30" t="n">
        <v>17400</v>
      </c>
      <c r="G44" s="30" t="n"/>
      <c r="H44" s="34">
        <f>IF(AND(F44="",G44=""),"",$B$5+SUM($F$8:F44)-SUM($G$8:G44))</f>
        <v/>
      </c>
    </row>
    <row r="45">
      <c r="A45" s="32" t="n">
        <v>38</v>
      </c>
      <c r="B45" s="33" t="n">
        <v>46065</v>
      </c>
      <c r="C45" s="17" t="inlineStr">
        <is>
          <t>SERVICIO DE CONSULTORÍA</t>
        </is>
      </c>
      <c r="D45" s="17" t="inlineStr">
        <is>
          <t>SERVICIOS</t>
        </is>
      </c>
      <c r="E45" s="17" t="inlineStr">
        <is>
          <t>TRANSFERENCIA</t>
        </is>
      </c>
      <c r="F45" s="30" t="n">
        <v>9800</v>
      </c>
      <c r="G45" s="30" t="n"/>
      <c r="H45" s="34">
        <f>IF(AND(F45="",G45=""),"",$B$5+SUM($F$8:F45)-SUM($G$8:G45))</f>
        <v/>
      </c>
    </row>
    <row r="46">
      <c r="A46" s="32" t="n">
        <v>39</v>
      </c>
      <c r="B46" s="33" t="n">
        <v>46068</v>
      </c>
      <c r="C46" s="17" t="inlineStr">
        <is>
          <t>NÓMINA QUINCENAL</t>
        </is>
      </c>
      <c r="D46" s="17" t="inlineStr">
        <is>
          <t>NÓMINA</t>
        </is>
      </c>
      <c r="E46" s="17" t="inlineStr">
        <is>
          <t>TRANSFERENCIA</t>
        </is>
      </c>
      <c r="F46" s="30" t="n"/>
      <c r="G46" s="30" t="n">
        <v>13700</v>
      </c>
      <c r="H46" s="34">
        <f>IF(AND(F46="",G46=""),"",$B$5+SUM($F$8:F46)-SUM($G$8:G46))</f>
        <v/>
      </c>
    </row>
    <row r="47">
      <c r="A47" s="32" t="n">
        <v>40</v>
      </c>
      <c r="B47" s="33" t="n">
        <v>46073</v>
      </c>
      <c r="C47" s="17" t="inlineStr">
        <is>
          <t>PAGO DE RENTA</t>
        </is>
      </c>
      <c r="D47" s="17" t="inlineStr">
        <is>
          <t>RENTA</t>
        </is>
      </c>
      <c r="E47" s="17" t="inlineStr">
        <is>
          <t>TRANSFERENCIA</t>
        </is>
      </c>
      <c r="F47" s="30" t="n"/>
      <c r="G47" s="30" t="n">
        <v>8500</v>
      </c>
      <c r="H47" s="34">
        <f>IF(AND(F47="",G47=""),"",$B$5+SUM($F$8:F47)-SUM($G$8:G47))</f>
        <v/>
      </c>
    </row>
    <row r="48">
      <c r="A48" s="32" t="n">
        <v>41</v>
      </c>
      <c r="B48" s="33" t="n">
        <v>46077</v>
      </c>
      <c r="C48" s="17" t="inlineStr">
        <is>
          <t>INSUMOS Y PAPELERÍA</t>
        </is>
      </c>
      <c r="D48" s="17" t="inlineStr">
        <is>
          <t>INSUMOS</t>
        </is>
      </c>
      <c r="E48" s="17" t="inlineStr">
        <is>
          <t>TARJETA</t>
        </is>
      </c>
      <c r="F48" s="30" t="n"/>
      <c r="G48" s="30" t="n">
        <v>2040</v>
      </c>
      <c r="H48" s="34">
        <f>IF(AND(F48="",G48=""),"",$B$5+SUM($F$8:F48)-SUM($G$8:G48))</f>
        <v/>
      </c>
    </row>
    <row r="49">
      <c r="A49" s="32" t="n">
        <v>42</v>
      </c>
      <c r="B49" s="33" t="n">
        <v>46080</v>
      </c>
      <c r="C49" s="17" t="inlineStr">
        <is>
          <t>PUBLICIDAD EN REDES</t>
        </is>
      </c>
      <c r="D49" s="17" t="inlineStr">
        <is>
          <t>PUBLICIDAD</t>
        </is>
      </c>
      <c r="E49" s="17" t="inlineStr">
        <is>
          <t>TARJETA</t>
        </is>
      </c>
      <c r="F49" s="30" t="n"/>
      <c r="G49" s="30" t="n">
        <v>2500</v>
      </c>
      <c r="H49" s="34">
        <f>IF(AND(F49="",G49=""),"",$B$5+SUM($F$8:F49)-SUM($G$8:G49))</f>
        <v/>
      </c>
    </row>
    <row r="50">
      <c r="A50" s="32" t="n">
        <v>43</v>
      </c>
      <c r="B50" s="33" t="n">
        <v>46086</v>
      </c>
      <c r="C50" s="17" t="inlineStr">
        <is>
          <t>VENTA MOSTRADOR</t>
        </is>
      </c>
      <c r="D50" s="17" t="inlineStr">
        <is>
          <t>VENTAS</t>
        </is>
      </c>
      <c r="E50" s="17" t="inlineStr">
        <is>
          <t>EFECTIVO</t>
        </is>
      </c>
      <c r="F50" s="30" t="n">
        <v>19100</v>
      </c>
      <c r="G50" s="30" t="n"/>
      <c r="H50" s="34">
        <f>IF(AND(F50="",G50=""),"",$B$5+SUM($F$8:F50)-SUM($G$8:G50))</f>
        <v/>
      </c>
    </row>
    <row r="51">
      <c r="A51" s="32" t="n">
        <v>44</v>
      </c>
      <c r="B51" s="33" t="n">
        <v>46093</v>
      </c>
      <c r="C51" s="17" t="inlineStr">
        <is>
          <t>SERVICIO DE CONSULTORÍA</t>
        </is>
      </c>
      <c r="D51" s="17" t="inlineStr">
        <is>
          <t>SERVICIOS</t>
        </is>
      </c>
      <c r="E51" s="17" t="inlineStr">
        <is>
          <t>TRANSFERENCIA</t>
        </is>
      </c>
      <c r="F51" s="30" t="n">
        <v>10700</v>
      </c>
      <c r="G51" s="30" t="n"/>
      <c r="H51" s="34">
        <f>IF(AND(F51="",G51=""),"",$B$5+SUM($F$8:F51)-SUM($G$8:G51))</f>
        <v/>
      </c>
    </row>
    <row r="52">
      <c r="A52" s="32" t="n">
        <v>45</v>
      </c>
      <c r="B52" s="33" t="n">
        <v>46096</v>
      </c>
      <c r="C52" s="17" t="inlineStr">
        <is>
          <t>NÓMINA QUINCENAL</t>
        </is>
      </c>
      <c r="D52" s="17" t="inlineStr">
        <is>
          <t>NÓMINA</t>
        </is>
      </c>
      <c r="E52" s="17" t="inlineStr">
        <is>
          <t>TRANSFERENCIA</t>
        </is>
      </c>
      <c r="F52" s="30" t="n"/>
      <c r="G52" s="30" t="n">
        <v>13800</v>
      </c>
      <c r="H52" s="34">
        <f>IF(AND(F52="",G52=""),"",$B$5+SUM($F$8:F52)-SUM($G$8:G52))</f>
        <v/>
      </c>
    </row>
    <row r="53">
      <c r="A53" s="32" t="n">
        <v>46</v>
      </c>
      <c r="B53" s="33" t="n">
        <v>46101</v>
      </c>
      <c r="C53" s="17" t="inlineStr">
        <is>
          <t>PAGO DE RENTA</t>
        </is>
      </c>
      <c r="D53" s="17" t="inlineStr">
        <is>
          <t>RENTA</t>
        </is>
      </c>
      <c r="E53" s="17" t="inlineStr">
        <is>
          <t>TRANSFERENCIA</t>
        </is>
      </c>
      <c r="F53" s="30" t="n"/>
      <c r="G53" s="30" t="n">
        <v>8500</v>
      </c>
      <c r="H53" s="34">
        <f>IF(AND(F53="",G53=""),"",$B$5+SUM($F$8:F53)-SUM($G$8:G53))</f>
        <v/>
      </c>
    </row>
    <row r="54">
      <c r="A54" s="32" t="n">
        <v>47</v>
      </c>
      <c r="B54" s="33" t="n">
        <v>46105</v>
      </c>
      <c r="C54" s="17" t="inlineStr">
        <is>
          <t>INSUMOS Y PAPELERÍA</t>
        </is>
      </c>
      <c r="D54" s="17" t="inlineStr">
        <is>
          <t>INSUMOS</t>
        </is>
      </c>
      <c r="E54" s="17" t="inlineStr">
        <is>
          <t>TARJETA</t>
        </is>
      </c>
      <c r="F54" s="30" t="n"/>
      <c r="G54" s="30" t="n">
        <v>2160</v>
      </c>
      <c r="H54" s="34">
        <f>IF(AND(F54="",G54=""),"",$B$5+SUM($F$8:F54)-SUM($G$8:G54))</f>
        <v/>
      </c>
    </row>
    <row r="55">
      <c r="A55" s="32" t="n">
        <v>48</v>
      </c>
      <c r="B55" s="33" t="n">
        <v>46108</v>
      </c>
      <c r="C55" s="17" t="inlineStr">
        <is>
          <t>PUBLICIDAD EN REDES</t>
        </is>
      </c>
      <c r="D55" s="17" t="inlineStr">
        <is>
          <t>PUBLICIDAD</t>
        </is>
      </c>
      <c r="E55" s="17" t="inlineStr">
        <is>
          <t>TARJETA</t>
        </is>
      </c>
      <c r="F55" s="30" t="n"/>
      <c r="G55" s="30" t="n">
        <v>2500</v>
      </c>
      <c r="H55" s="34">
        <f>IF(AND(F55="",G55=""),"",$B$5+SUM($F$8:F55)-SUM($G$8:G55))</f>
        <v/>
      </c>
    </row>
    <row r="56">
      <c r="A56" s="32" t="n">
        <v>49</v>
      </c>
      <c r="B56" s="33" t="n">
        <v>46117</v>
      </c>
      <c r="C56" s="17" t="inlineStr">
        <is>
          <t>VENTA MOSTRADOR</t>
        </is>
      </c>
      <c r="D56" s="17" t="inlineStr">
        <is>
          <t>VENTAS</t>
        </is>
      </c>
      <c r="E56" s="17" t="inlineStr">
        <is>
          <t>EFECTIVO</t>
        </is>
      </c>
      <c r="F56" s="30" t="n">
        <v>20800</v>
      </c>
      <c r="G56" s="30" t="n"/>
      <c r="H56" s="34">
        <f>IF(AND(F56="",G56=""),"",$B$5+SUM($F$8:F56)-SUM($G$8:G56))</f>
        <v/>
      </c>
    </row>
    <row r="57">
      <c r="A57" s="32" t="n">
        <v>50</v>
      </c>
      <c r="B57" s="33" t="n">
        <v>46124</v>
      </c>
      <c r="C57" s="17" t="inlineStr">
        <is>
          <t>SERVICIO DE CONSULTORÍA</t>
        </is>
      </c>
      <c r="D57" s="17" t="inlineStr">
        <is>
          <t>SERVICIOS</t>
        </is>
      </c>
      <c r="E57" s="17" t="inlineStr">
        <is>
          <t>TRANSFERENCIA</t>
        </is>
      </c>
      <c r="F57" s="30" t="n">
        <v>11600</v>
      </c>
      <c r="G57" s="30" t="n"/>
      <c r="H57" s="34">
        <f>IF(AND(F57="",G57=""),"",$B$5+SUM($F$8:F57)-SUM($G$8:G57))</f>
        <v/>
      </c>
    </row>
    <row r="58">
      <c r="A58" s="32" t="n">
        <v>51</v>
      </c>
      <c r="B58" s="33" t="n">
        <v>46127</v>
      </c>
      <c r="C58" s="17" t="inlineStr">
        <is>
          <t>NÓMINA QUINCENAL</t>
        </is>
      </c>
      <c r="D58" s="17" t="inlineStr">
        <is>
          <t>NÓMINA</t>
        </is>
      </c>
      <c r="E58" s="17" t="inlineStr">
        <is>
          <t>TRANSFERENCIA</t>
        </is>
      </c>
      <c r="F58" s="30" t="n"/>
      <c r="G58" s="30" t="n">
        <v>13900</v>
      </c>
      <c r="H58" s="34">
        <f>IF(AND(F58="",G58=""),"",$B$5+SUM($F$8:F58)-SUM($G$8:G58))</f>
        <v/>
      </c>
    </row>
    <row r="59">
      <c r="A59" s="32" t="n">
        <v>52</v>
      </c>
      <c r="B59" s="33" t="n">
        <v>46132</v>
      </c>
      <c r="C59" s="17" t="inlineStr">
        <is>
          <t>PAGO DE RENTA</t>
        </is>
      </c>
      <c r="D59" s="17" t="inlineStr">
        <is>
          <t>RENTA</t>
        </is>
      </c>
      <c r="E59" s="17" t="inlineStr">
        <is>
          <t>TRANSFERENCIA</t>
        </is>
      </c>
      <c r="F59" s="30" t="n"/>
      <c r="G59" s="30" t="n">
        <v>8500</v>
      </c>
      <c r="H59" s="34">
        <f>IF(AND(F59="",G59=""),"",$B$5+SUM($F$8:F59)-SUM($G$8:G59))</f>
        <v/>
      </c>
    </row>
    <row r="60">
      <c r="A60" s="32" t="n">
        <v>53</v>
      </c>
      <c r="B60" s="33" t="n">
        <v>46136</v>
      </c>
      <c r="C60" s="17" t="inlineStr">
        <is>
          <t>INSUMOS Y PAPELERÍA</t>
        </is>
      </c>
      <c r="D60" s="17" t="inlineStr">
        <is>
          <t>INSUMOS</t>
        </is>
      </c>
      <c r="E60" s="17" t="inlineStr">
        <is>
          <t>TARJETA</t>
        </is>
      </c>
      <c r="F60" s="30" t="n"/>
      <c r="G60" s="30" t="n">
        <v>2280</v>
      </c>
      <c r="H60" s="34">
        <f>IF(AND(F60="",G60=""),"",$B$5+SUM($F$8:F60)-SUM($G$8:G60))</f>
        <v/>
      </c>
    </row>
    <row r="61">
      <c r="A61" s="32" t="n">
        <v>54</v>
      </c>
      <c r="B61" s="33" t="n">
        <v>46139</v>
      </c>
      <c r="C61" s="17" t="inlineStr">
        <is>
          <t>PUBLICIDAD EN REDES</t>
        </is>
      </c>
      <c r="D61" s="17" t="inlineStr">
        <is>
          <t>PUBLICIDAD</t>
        </is>
      </c>
      <c r="E61" s="17" t="inlineStr">
        <is>
          <t>TARJETA</t>
        </is>
      </c>
      <c r="F61" s="30" t="n"/>
      <c r="G61" s="30" t="n">
        <v>2500</v>
      </c>
      <c r="H61" s="34">
        <f>IF(AND(F61="",G61=""),"",$B$5+SUM($F$8:F61)-SUM($G$8:G61))</f>
        <v/>
      </c>
    </row>
    <row r="62">
      <c r="A62" s="32" t="n">
        <v>55</v>
      </c>
      <c r="B62" s="33" t="n">
        <v>46147</v>
      </c>
      <c r="C62" s="17" t="inlineStr">
        <is>
          <t>VENTA MOSTRADOR</t>
        </is>
      </c>
      <c r="D62" s="17" t="inlineStr">
        <is>
          <t>VENTAS</t>
        </is>
      </c>
      <c r="E62" s="17" t="inlineStr">
        <is>
          <t>EFECTIVO</t>
        </is>
      </c>
      <c r="F62" s="30" t="n">
        <v>22500</v>
      </c>
      <c r="G62" s="30" t="n"/>
      <c r="H62" s="34">
        <f>IF(AND(F62="",G62=""),"",$B$5+SUM($F$8:F62)-SUM($G$8:G62))</f>
        <v/>
      </c>
    </row>
    <row r="63">
      <c r="A63" s="32" t="n">
        <v>56</v>
      </c>
      <c r="B63" s="33" t="n">
        <v>46154</v>
      </c>
      <c r="C63" s="17" t="inlineStr">
        <is>
          <t>SERVICIO DE CONSULTORÍA</t>
        </is>
      </c>
      <c r="D63" s="17" t="inlineStr">
        <is>
          <t>SERVICIOS</t>
        </is>
      </c>
      <c r="E63" s="17" t="inlineStr">
        <is>
          <t>TRANSFERENCIA</t>
        </is>
      </c>
      <c r="F63" s="30" t="n">
        <v>12500</v>
      </c>
      <c r="G63" s="30" t="n"/>
      <c r="H63" s="34">
        <f>IF(AND(F63="",G63=""),"",$B$5+SUM($F$8:F63)-SUM($G$8:G63))</f>
        <v/>
      </c>
    </row>
    <row r="64">
      <c r="A64" s="32" t="n">
        <v>57</v>
      </c>
      <c r="B64" s="33" t="n">
        <v>46157</v>
      </c>
      <c r="C64" s="17" t="inlineStr">
        <is>
          <t>NÓMINA QUINCENAL</t>
        </is>
      </c>
      <c r="D64" s="17" t="inlineStr">
        <is>
          <t>NÓMINA</t>
        </is>
      </c>
      <c r="E64" s="17" t="inlineStr">
        <is>
          <t>TRANSFERENCIA</t>
        </is>
      </c>
      <c r="F64" s="30" t="n"/>
      <c r="G64" s="30" t="n">
        <v>14000</v>
      </c>
      <c r="H64" s="34">
        <f>IF(AND(F64="",G64=""),"",$B$5+SUM($F$8:F64)-SUM($G$8:G64))</f>
        <v/>
      </c>
    </row>
    <row r="65">
      <c r="A65" s="32" t="n">
        <v>58</v>
      </c>
      <c r="B65" s="33" t="n">
        <v>46162</v>
      </c>
      <c r="C65" s="17" t="inlineStr">
        <is>
          <t>PAGO DE RENTA</t>
        </is>
      </c>
      <c r="D65" s="17" t="inlineStr">
        <is>
          <t>RENTA</t>
        </is>
      </c>
      <c r="E65" s="17" t="inlineStr">
        <is>
          <t>TRANSFERENCIA</t>
        </is>
      </c>
      <c r="F65" s="30" t="n"/>
      <c r="G65" s="30" t="n">
        <v>8500</v>
      </c>
      <c r="H65" s="34">
        <f>IF(AND(F65="",G65=""),"",$B$5+SUM($F$8:F65)-SUM($G$8:G65))</f>
        <v/>
      </c>
    </row>
    <row r="66">
      <c r="A66" s="32" t="n">
        <v>59</v>
      </c>
      <c r="B66" s="33" t="n">
        <v>46166</v>
      </c>
      <c r="C66" s="17" t="inlineStr">
        <is>
          <t>INSUMOS Y PAPELERÍA</t>
        </is>
      </c>
      <c r="D66" s="17" t="inlineStr">
        <is>
          <t>INSUMOS</t>
        </is>
      </c>
      <c r="E66" s="17" t="inlineStr">
        <is>
          <t>TARJETA</t>
        </is>
      </c>
      <c r="F66" s="30" t="n"/>
      <c r="G66" s="30" t="n">
        <v>2400</v>
      </c>
      <c r="H66" s="34">
        <f>IF(AND(F66="",G66=""),"",$B$5+SUM($F$8:F66)-SUM($G$8:G66))</f>
        <v/>
      </c>
    </row>
    <row r="67">
      <c r="A67" s="32" t="n">
        <v>60</v>
      </c>
      <c r="B67" s="33" t="n">
        <v>46169</v>
      </c>
      <c r="C67" s="17" t="inlineStr">
        <is>
          <t>PUBLICIDAD EN REDES</t>
        </is>
      </c>
      <c r="D67" s="17" t="inlineStr">
        <is>
          <t>PUBLICIDAD</t>
        </is>
      </c>
      <c r="E67" s="17" t="inlineStr">
        <is>
          <t>TARJETA</t>
        </is>
      </c>
      <c r="F67" s="30" t="n"/>
      <c r="G67" s="30" t="n">
        <v>2500</v>
      </c>
      <c r="H67" s="34">
        <f>IF(AND(F67="",G67=""),"",$B$5+SUM($F$8:F67)-SUM($G$8:G67))</f>
        <v/>
      </c>
    </row>
    <row r="68">
      <c r="A68" s="32" t="n">
        <v>61</v>
      </c>
      <c r="B68" s="33" t="n">
        <v>46178</v>
      </c>
      <c r="C68" s="17" t="inlineStr">
        <is>
          <t>VENTA MOSTRADOR</t>
        </is>
      </c>
      <c r="D68" s="17" t="inlineStr">
        <is>
          <t>VENTAS</t>
        </is>
      </c>
      <c r="E68" s="17" t="inlineStr">
        <is>
          <t>EFECTIVO</t>
        </is>
      </c>
      <c r="F68" s="30" t="n">
        <v>24200</v>
      </c>
      <c r="G68" s="30" t="n"/>
      <c r="H68" s="34">
        <f>IF(AND(F68="",G68=""),"",$B$5+SUM($F$8:F68)-SUM($G$8:G68))</f>
        <v/>
      </c>
    </row>
    <row r="69">
      <c r="A69" s="32" t="n">
        <v>62</v>
      </c>
      <c r="B69" s="33" t="n">
        <v>46185</v>
      </c>
      <c r="C69" s="17" t="inlineStr">
        <is>
          <t>SERVICIO DE CONSULTORÍA</t>
        </is>
      </c>
      <c r="D69" s="17" t="inlineStr">
        <is>
          <t>SERVICIOS</t>
        </is>
      </c>
      <c r="E69" s="17" t="inlineStr">
        <is>
          <t>TRANSFERENCIA</t>
        </is>
      </c>
      <c r="F69" s="30" t="n">
        <v>13400</v>
      </c>
      <c r="G69" s="30" t="n"/>
      <c r="H69" s="34">
        <f>IF(AND(F69="",G69=""),"",$B$5+SUM($F$8:F69)-SUM($G$8:G69))</f>
        <v/>
      </c>
    </row>
    <row r="70">
      <c r="A70" s="32" t="n">
        <v>63</v>
      </c>
      <c r="B70" s="33" t="n">
        <v>46188</v>
      </c>
      <c r="C70" s="17" t="inlineStr">
        <is>
          <t>NÓMINA QUINCENAL</t>
        </is>
      </c>
      <c r="D70" s="17" t="inlineStr">
        <is>
          <t>NÓMINA</t>
        </is>
      </c>
      <c r="E70" s="17" t="inlineStr">
        <is>
          <t>TRANSFERENCIA</t>
        </is>
      </c>
      <c r="F70" s="30" t="n"/>
      <c r="G70" s="30" t="n">
        <v>14100</v>
      </c>
      <c r="H70" s="34">
        <f>IF(AND(F70="",G70=""),"",$B$5+SUM($F$8:F70)-SUM($G$8:G70))</f>
        <v/>
      </c>
    </row>
    <row r="71">
      <c r="A71" s="32" t="n">
        <v>64</v>
      </c>
      <c r="B71" s="33" t="n">
        <v>46193</v>
      </c>
      <c r="C71" s="17" t="inlineStr">
        <is>
          <t>PAGO DE RENTA</t>
        </is>
      </c>
      <c r="D71" s="17" t="inlineStr">
        <is>
          <t>RENTA</t>
        </is>
      </c>
      <c r="E71" s="17" t="inlineStr">
        <is>
          <t>TRANSFERENCIA</t>
        </is>
      </c>
      <c r="F71" s="30" t="n"/>
      <c r="G71" s="30" t="n">
        <v>8500</v>
      </c>
      <c r="H71" s="34">
        <f>IF(AND(F71="",G71=""),"",$B$5+SUM($F$8:F71)-SUM($G$8:G71))</f>
        <v/>
      </c>
    </row>
    <row r="72">
      <c r="A72" s="32" t="n">
        <v>65</v>
      </c>
      <c r="B72" s="33" t="n">
        <v>46197</v>
      </c>
      <c r="C72" s="17" t="inlineStr">
        <is>
          <t>INSUMOS Y PAPELERÍA</t>
        </is>
      </c>
      <c r="D72" s="17" t="inlineStr">
        <is>
          <t>INSUMOS</t>
        </is>
      </c>
      <c r="E72" s="17" t="inlineStr">
        <is>
          <t>TARJETA</t>
        </is>
      </c>
      <c r="F72" s="30" t="n"/>
      <c r="G72" s="30" t="n">
        <v>2520</v>
      </c>
      <c r="H72" s="34">
        <f>IF(AND(F72="",G72=""),"",$B$5+SUM($F$8:F72)-SUM($G$8:G72))</f>
        <v/>
      </c>
    </row>
    <row r="73">
      <c r="A73" s="32" t="n">
        <v>66</v>
      </c>
      <c r="B73" s="33" t="n">
        <v>46200</v>
      </c>
      <c r="C73" s="17" t="inlineStr">
        <is>
          <t>PUBLICIDAD EN REDES</t>
        </is>
      </c>
      <c r="D73" s="17" t="inlineStr">
        <is>
          <t>PUBLICIDAD</t>
        </is>
      </c>
      <c r="E73" s="17" t="inlineStr">
        <is>
          <t>TARJETA</t>
        </is>
      </c>
      <c r="F73" s="30" t="n"/>
      <c r="G73" s="30" t="n">
        <v>2500</v>
      </c>
      <c r="H73" s="34">
        <f>IF(AND(F73="",G73=""),"",$B$5+SUM($F$8:F73)-SUM($G$8:G73))</f>
        <v/>
      </c>
    </row>
    <row r="74">
      <c r="A74" s="32" t="n">
        <v>67</v>
      </c>
      <c r="B74" s="33" t="n">
        <v>46208</v>
      </c>
      <c r="C74" s="17" t="inlineStr">
        <is>
          <t>VENTA MOSTRADOR</t>
        </is>
      </c>
      <c r="D74" s="17" t="inlineStr">
        <is>
          <t>VENTAS</t>
        </is>
      </c>
      <c r="E74" s="17" t="inlineStr">
        <is>
          <t>EFECTIVO</t>
        </is>
      </c>
      <c r="F74" s="30" t="n">
        <v>25900</v>
      </c>
      <c r="G74" s="30" t="n"/>
      <c r="H74" s="34">
        <f>IF(AND(F74="",G74=""),"",$B$5+SUM($F$8:F74)-SUM($G$8:G74))</f>
        <v/>
      </c>
    </row>
    <row r="75">
      <c r="A75" s="32" t="n">
        <v>68</v>
      </c>
      <c r="B75" s="33" t="n">
        <v>46215</v>
      </c>
      <c r="C75" s="17" t="inlineStr">
        <is>
          <t>SERVICIO DE CONSULTORÍA</t>
        </is>
      </c>
      <c r="D75" s="17" t="inlineStr">
        <is>
          <t>SERVICIOS</t>
        </is>
      </c>
      <c r="E75" s="17" t="inlineStr">
        <is>
          <t>TRANSFERENCIA</t>
        </is>
      </c>
      <c r="F75" s="30" t="n">
        <v>14300</v>
      </c>
      <c r="G75" s="30" t="n"/>
      <c r="H75" s="34">
        <f>IF(AND(F75="",G75=""),"",$B$5+SUM($F$8:F75)-SUM($G$8:G75))</f>
        <v/>
      </c>
    </row>
    <row r="76">
      <c r="A76" s="32" t="n">
        <v>69</v>
      </c>
      <c r="B76" s="33" t="n">
        <v>46218</v>
      </c>
      <c r="C76" s="17" t="inlineStr">
        <is>
          <t>NÓMINA QUINCENAL</t>
        </is>
      </c>
      <c r="D76" s="17" t="inlineStr">
        <is>
          <t>NÓMINA</t>
        </is>
      </c>
      <c r="E76" s="17" t="inlineStr">
        <is>
          <t>TRANSFERENCIA</t>
        </is>
      </c>
      <c r="F76" s="30" t="n"/>
      <c r="G76" s="30" t="n">
        <v>14200</v>
      </c>
      <c r="H76" s="34">
        <f>IF(AND(F76="",G76=""),"",$B$5+SUM($F$8:F76)-SUM($G$8:G76))</f>
        <v/>
      </c>
    </row>
    <row r="77">
      <c r="A77" s="32" t="n">
        <v>70</v>
      </c>
      <c r="B77" s="33" t="n">
        <v>46223</v>
      </c>
      <c r="C77" s="17" t="inlineStr">
        <is>
          <t>PAGO DE RENTA</t>
        </is>
      </c>
      <c r="D77" s="17" t="inlineStr">
        <is>
          <t>RENTA</t>
        </is>
      </c>
      <c r="E77" s="17" t="inlineStr">
        <is>
          <t>TRANSFERENCIA</t>
        </is>
      </c>
      <c r="F77" s="30" t="n"/>
      <c r="G77" s="30" t="n">
        <v>8500</v>
      </c>
      <c r="H77" s="34">
        <f>IF(AND(F77="",G77=""),"",$B$5+SUM($F$8:F77)-SUM($G$8:G77))</f>
        <v/>
      </c>
    </row>
    <row r="78">
      <c r="A78" s="32" t="n">
        <v>71</v>
      </c>
      <c r="B78" s="33" t="n">
        <v>46227</v>
      </c>
      <c r="C78" s="17" t="inlineStr">
        <is>
          <t>INSUMOS Y PAPELERÍA</t>
        </is>
      </c>
      <c r="D78" s="17" t="inlineStr">
        <is>
          <t>INSUMOS</t>
        </is>
      </c>
      <c r="E78" s="17" t="inlineStr">
        <is>
          <t>TARJETA</t>
        </is>
      </c>
      <c r="F78" s="30" t="n"/>
      <c r="G78" s="30" t="n">
        <v>2640</v>
      </c>
      <c r="H78" s="34">
        <f>IF(AND(F78="",G78=""),"",$B$5+SUM($F$8:F78)-SUM($G$8:G78))</f>
        <v/>
      </c>
    </row>
    <row r="79">
      <c r="A79" s="32" t="n">
        <v>72</v>
      </c>
      <c r="B79" s="33" t="n">
        <v>46230</v>
      </c>
      <c r="C79" s="17" t="inlineStr">
        <is>
          <t>PUBLICIDAD EN REDES</t>
        </is>
      </c>
      <c r="D79" s="17" t="inlineStr">
        <is>
          <t>PUBLICIDAD</t>
        </is>
      </c>
      <c r="E79" s="17" t="inlineStr">
        <is>
          <t>TARJETA</t>
        </is>
      </c>
      <c r="F79" s="30" t="n"/>
      <c r="G79" s="30" t="n">
        <v>2500</v>
      </c>
      <c r="H79" s="34">
        <f>IF(AND(F79="",G79=""),"",$B$5+SUM($F$8:F79)-SUM($G$8:G79))</f>
        <v/>
      </c>
    </row>
    <row r="80">
      <c r="A80" s="32" t="n">
        <v>73</v>
      </c>
      <c r="B80" s="33" t="n">
        <v>46239</v>
      </c>
      <c r="C80" s="17" t="inlineStr">
        <is>
          <t>VENTA MOSTRADOR</t>
        </is>
      </c>
      <c r="D80" s="17" t="inlineStr">
        <is>
          <t>VENTAS</t>
        </is>
      </c>
      <c r="E80" s="17" t="inlineStr">
        <is>
          <t>EFECTIVO</t>
        </is>
      </c>
      <c r="F80" s="30" t="n">
        <v>27600</v>
      </c>
      <c r="G80" s="30" t="n"/>
      <c r="H80" s="34">
        <f>IF(AND(F80="",G80=""),"",$B$5+SUM($F$8:F80)-SUM($G$8:G80))</f>
        <v/>
      </c>
    </row>
    <row r="81">
      <c r="A81" s="32" t="n">
        <v>74</v>
      </c>
      <c r="B81" s="33" t="n">
        <v>46246</v>
      </c>
      <c r="C81" s="17" t="inlineStr">
        <is>
          <t>SERVICIO DE CONSULTORÍA</t>
        </is>
      </c>
      <c r="D81" s="17" t="inlineStr">
        <is>
          <t>SERVICIOS</t>
        </is>
      </c>
      <c r="E81" s="17" t="inlineStr">
        <is>
          <t>TRANSFERENCIA</t>
        </is>
      </c>
      <c r="F81" s="30" t="n">
        <v>15200</v>
      </c>
      <c r="G81" s="30" t="n"/>
      <c r="H81" s="34">
        <f>IF(AND(F81="",G81=""),"",$B$5+SUM($F$8:F81)-SUM($G$8:G81))</f>
        <v/>
      </c>
    </row>
    <row r="82">
      <c r="A82" s="32" t="n">
        <v>75</v>
      </c>
      <c r="B82" s="33" t="n">
        <v>46249</v>
      </c>
      <c r="C82" s="17" t="inlineStr">
        <is>
          <t>NÓMINA QUINCENAL</t>
        </is>
      </c>
      <c r="D82" s="17" t="inlineStr">
        <is>
          <t>NÓMINA</t>
        </is>
      </c>
      <c r="E82" s="17" t="inlineStr">
        <is>
          <t>TRANSFERENCIA</t>
        </is>
      </c>
      <c r="F82" s="30" t="n"/>
      <c r="G82" s="30" t="n">
        <v>14300</v>
      </c>
      <c r="H82" s="34">
        <f>IF(AND(F82="",G82=""),"",$B$5+SUM($F$8:F82)-SUM($G$8:G82))</f>
        <v/>
      </c>
    </row>
    <row r="83">
      <c r="A83" s="32" t="n">
        <v>76</v>
      </c>
      <c r="B83" s="33" t="n">
        <v>46254</v>
      </c>
      <c r="C83" s="17" t="inlineStr">
        <is>
          <t>PAGO DE RENTA</t>
        </is>
      </c>
      <c r="D83" s="17" t="inlineStr">
        <is>
          <t>RENTA</t>
        </is>
      </c>
      <c r="E83" s="17" t="inlineStr">
        <is>
          <t>TRANSFERENCIA</t>
        </is>
      </c>
      <c r="F83" s="30" t="n"/>
      <c r="G83" s="30" t="n">
        <v>8500</v>
      </c>
      <c r="H83" s="34">
        <f>IF(AND(F83="",G83=""),"",$B$5+SUM($F$8:F83)-SUM($G$8:G83))</f>
        <v/>
      </c>
    </row>
    <row r="84">
      <c r="A84" s="32" t="n">
        <v>77</v>
      </c>
      <c r="B84" s="33" t="n">
        <v>46258</v>
      </c>
      <c r="C84" s="17" t="inlineStr">
        <is>
          <t>INSUMOS Y PAPELERÍA</t>
        </is>
      </c>
      <c r="D84" s="17" t="inlineStr">
        <is>
          <t>INSUMOS</t>
        </is>
      </c>
      <c r="E84" s="17" t="inlineStr">
        <is>
          <t>TARJETA</t>
        </is>
      </c>
      <c r="F84" s="30" t="n"/>
      <c r="G84" s="30" t="n">
        <v>2760</v>
      </c>
      <c r="H84" s="34">
        <f>IF(AND(F84="",G84=""),"",$B$5+SUM($F$8:F84)-SUM($G$8:G84))</f>
        <v/>
      </c>
    </row>
    <row r="85">
      <c r="A85" s="32" t="n">
        <v>78</v>
      </c>
      <c r="B85" s="33" t="n">
        <v>46261</v>
      </c>
      <c r="C85" s="17" t="inlineStr">
        <is>
          <t>PUBLICIDAD EN REDES</t>
        </is>
      </c>
      <c r="D85" s="17" t="inlineStr">
        <is>
          <t>PUBLICIDAD</t>
        </is>
      </c>
      <c r="E85" s="17" t="inlineStr">
        <is>
          <t>TARJETA</t>
        </is>
      </c>
      <c r="F85" s="30" t="n"/>
      <c r="G85" s="30" t="n">
        <v>2500</v>
      </c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C1" s="54" t="inlineStr">
        <is>
          <t>INSERTE SU LOGO
(clic derecho &gt; Insertar imagen)</t>
        </is>
      </c>
      <c r="D1" s="62" t="n"/>
      <c r="E1" s="55" t="n"/>
    </row>
    <row r="2" ht="26" customHeight="1">
      <c r="A2" s="56" t="inlineStr">
        <is>
          <t>Las listas desplegables del formato se alimentan de estas columnas</t>
        </is>
      </c>
      <c r="B2" s="57" t="n"/>
      <c r="C2" s="58" t="n"/>
      <c r="D2" s="63" t="n"/>
      <c r="E2" s="59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B2"/>
    <mergeCell ref="C1:E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H1" s="54" t="inlineStr">
        <is>
          <t>INSERTE SU LOGO
(clic derecho &gt; Insertar imagen)</t>
        </is>
      </c>
      <c r="I1" s="62" t="n"/>
      <c r="J1" s="55" t="n"/>
    </row>
    <row r="2" ht="26" customHeight="1">
      <c r="A2" s="56" t="inlineStr">
        <is>
          <t>Se actualiza solo con lo que captures en la hoja FORMATO</t>
        </is>
      </c>
      <c r="B2" s="57" t="n"/>
      <c r="C2" s="57" t="n"/>
      <c r="D2" s="57" t="n"/>
      <c r="E2" s="57" t="n"/>
      <c r="F2" s="57" t="n"/>
      <c r="G2" s="57" t="n"/>
      <c r="H2" s="58" t="n"/>
      <c r="I2" s="63" t="n"/>
      <c r="J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4" t="inlineStr">
        <is>
          <t>TOTAL INGRESOS</t>
        </is>
      </c>
      <c r="C4" s="65" t="n"/>
      <c r="D4" s="64" t="inlineStr">
        <is>
          <t>TOTAL GASTOS</t>
        </is>
      </c>
      <c r="E4" s="65" t="n"/>
      <c r="F4" s="64" t="inlineStr">
        <is>
          <t>SALDO FINAL</t>
        </is>
      </c>
      <c r="G4" s="65" t="n"/>
      <c r="H4" s="64" t="inlineStr">
        <is>
          <t>MARGEN (%)</t>
        </is>
      </c>
      <c r="I4" s="65" t="n"/>
      <c r="J4" s="4" t="n"/>
    </row>
    <row r="5" ht="36" customHeight="1">
      <c r="A5" s="4" t="n"/>
      <c r="B5" s="66">
        <f>FORMATO!F308</f>
        <v/>
      </c>
      <c r="C5" s="67" t="n"/>
      <c r="D5" s="66">
        <f>FORMATO!G308</f>
        <v/>
      </c>
      <c r="E5" s="67" t="n"/>
      <c r="F5" s="66">
        <f>FORMATO!H308</f>
        <v/>
      </c>
      <c r="G5" s="67" t="n"/>
      <c r="H5" s="68">
        <f>IFERROR((FORMATO!F308-FORMATO!G308)/FORMATO!F308,0)</f>
        <v/>
      </c>
      <c r="I5" s="6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CONTROL DE INGRESOS Y GASTOS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2026-10-07T22:13:46Z</dcterms:modified>
</cp:coreProperties>
</file>