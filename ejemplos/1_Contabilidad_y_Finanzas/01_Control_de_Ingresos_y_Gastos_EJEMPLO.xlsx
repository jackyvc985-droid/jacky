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CATÁLOG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_FilterDatabase" localSheetId="1" hidden="1">'FORMATO'!$A$7:$H$307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/MM/YYYY"/>
    <numFmt numFmtId="166" formatCode="0.0%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i val="1"/>
      <color rgb="005B6B78"/>
      <sz val="9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4" applyAlignment="1" pivotButton="0" quotePrefix="0" xfId="0">
      <alignment horizontal="center" vertical="center"/>
    </xf>
    <xf numFmtId="0" fontId="27" fillId="0" borderId="15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5" borderId="7" pivotButton="0" quotePrefix="0" xfId="0"/>
    <xf numFmtId="0" fontId="27" fillId="2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7" fillId="5" borderId="7" applyAlignment="1" pivotButton="0" quotePrefix="0" xfId="0">
      <alignment horizontal="center"/>
    </xf>
    <xf numFmtId="165" fontId="27" fillId="4" borderId="7" applyProtection="1" pivotButton="0" quotePrefix="0" xfId="0">
      <protection locked="0" hidden="0"/>
    </xf>
    <xf numFmtId="164" fontId="27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7" fillId="0" borderId="8" pivotButton="0" quotePrefix="0" xfId="0"/>
    <xf numFmtId="0" fontId="27" fillId="0" borderId="9" pivotButton="0" quotePrefix="0" xfId="0"/>
    <xf numFmtId="0" fontId="8" fillId="0" borderId="0" pivotButton="0" quotePrefix="0" xfId="0"/>
    <xf numFmtId="0" fontId="9" fillId="3" borderId="10" applyAlignment="1" pivotButton="0" quotePrefix="0" xfId="0">
      <alignment horizontal="center" vertical="center"/>
    </xf>
    <xf numFmtId="0" fontId="27" fillId="3" borderId="11" pivotButton="0" quotePrefix="0" xfId="0"/>
    <xf numFmtId="164" fontId="10" fillId="6" borderId="12" applyAlignment="1" pivotButton="0" quotePrefix="0" xfId="0">
      <alignment horizontal="center" vertical="center"/>
    </xf>
    <xf numFmtId="0" fontId="27" fillId="6" borderId="13" pivotButton="0" quotePrefix="0" xfId="0"/>
    <xf numFmtId="166" fontId="10" fillId="6" borderId="12" applyAlignment="1" pivotButton="0" quotePrefix="0" xfId="0">
      <alignment horizontal="center" vertical="center"/>
    </xf>
    <xf numFmtId="0" fontId="27" fillId="0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6" applyAlignment="1" pivotButton="0" quotePrefix="0" xfId="0">
      <alignment vertical="top" wrapText="1"/>
    </xf>
    <xf numFmtId="0" fontId="18" fillId="0" borderId="16" applyAlignment="1" pivotButton="0" quotePrefix="0" xfId="0">
      <alignment vertical="top" wrapText="1"/>
    </xf>
    <xf numFmtId="0" fontId="25" fillId="0" borderId="16" pivotButton="0" quotePrefix="0" xfId="0"/>
    <xf numFmtId="0" fontId="18" fillId="0" borderId="16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1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3" pivotButton="0" quotePrefix="0" xfId="0"/>
    <xf numFmtId="0" fontId="0" fillId="0" borderId="29" pivotButton="0" quotePrefix="0" xfId="0"/>
    <xf numFmtId="0" fontId="9" fillId="3" borderId="30" applyAlignment="1" pivotButton="0" quotePrefix="0" xfId="0">
      <alignment horizontal="center" vertical="center"/>
    </xf>
    <xf numFmtId="0" fontId="0" fillId="0" borderId="32" pivotButton="0" quotePrefix="0" xfId="0"/>
    <xf numFmtId="164" fontId="10" fillId="6" borderId="33" applyAlignment="1" pivotButton="0" quotePrefix="0" xfId="0">
      <alignment horizontal="center" vertical="center"/>
    </xf>
    <xf numFmtId="0" fontId="0" fillId="0" borderId="35" pivotButton="0" quotePrefix="0" xfId="0"/>
    <xf numFmtId="166" fontId="10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'RESUMEN'!C46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'RESUMEN'!$C$47:$C$58</f>
            </numRef>
          </val>
        </ser>
        <ser>
          <idx val="1"/>
          <order val="1"/>
          <tx>
            <strRef>
              <f>'RESUMEN'!D46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'RESUMEN'!$D$47:$D$58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Movimientos por categoría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'RESUMEN'!H46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'RESUMEN'!$H$47:$H$61</f>
            </numRef>
          </val>
        </ser>
        <ser>
          <idx val="1"/>
          <order val="1"/>
          <tx>
            <strRef>
              <f>'RESUMEN'!I46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'RESUMEN'!$I$47:$I$61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INGRESOS Y GASTOS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CATÁLOGOS</t>
        </is>
      </c>
      <c r="D17" s="13" t="inlineStr">
        <is>
          <t>Listas editables (categorías, métodos, unidades) que alimentan los menús desplegables.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el saldo inicial del periodo en la celda de captura correspondiente.</t>
        </is>
      </c>
      <c r="G22" s="4" t="n"/>
    </row>
    <row r="23" ht="21" customHeight="1">
      <c r="A23" s="4" t="n"/>
      <c r="B23" s="15" t="n">
        <v>2</v>
      </c>
      <c r="C23" s="13" t="inlineStr">
        <is>
          <t>Registra cada movimiento: fecha, concepto, categoría (lista desplegable) y método de pago.</t>
        </is>
      </c>
      <c r="G23" s="4" t="n"/>
    </row>
    <row r="24" ht="21" customHeight="1">
      <c r="A24" s="4" t="n"/>
      <c r="B24" s="15" t="n">
        <v>3</v>
      </c>
      <c r="C24" s="13" t="inlineStr">
        <is>
          <t>Escribe el monto en la columna Ingreso o Gasto, nunca en ambas.</t>
        </is>
      </c>
      <c r="G24" s="4" t="n"/>
    </row>
    <row r="25" ht="36" customHeight="1">
      <c r="A25" s="4" t="n"/>
      <c r="B25" s="15" t="n">
        <v>4</v>
      </c>
      <c r="C25" s="13" t="inlineStr">
        <is>
          <t>El saldo acumulado y los totales se calculan solos; el resumen mensual y por categoría está en la hoja RESUMEN.</t>
        </is>
      </c>
      <c r="G25" s="4" t="n"/>
    </row>
    <row r="26" ht="21" customHeight="1">
      <c r="A26" s="4" t="n"/>
      <c r="B26" s="15" t="n">
        <v>5</v>
      </c>
      <c r="C26" s="13" t="inlineStr">
        <is>
          <t>Personaliza las categorías y métodos de pago en la hoja CATÁLOGOS (hasta 30 opciones).</t>
        </is>
      </c>
      <c r="G26" s="4" t="n"/>
    </row>
    <row r="27" ht="21" customHeight="1">
      <c r="A27" s="4" t="n"/>
      <c r="B27" s="15" t="n">
        <v>6</v>
      </c>
      <c r="C27" s="13" t="inlineStr">
        <is>
          <t>Usa un archivo por año para que el resumen mensual no mezcle ejercicios.</t>
        </is>
      </c>
      <c r="G27" s="4" t="n"/>
    </row>
    <row r="28" ht="36" customHeight="1">
      <c r="A28" s="4" t="n"/>
      <c r="B28" s="15" t="n">
        <v>7</v>
      </c>
      <c r="C28" s="13" t="inlineStr">
        <is>
          <t>Personaliza: inserta tu logotipo en el recuadro punteado de la esquina superior derecha (Insertar &gt; Imágenes) y captura los datos de tu empresa en las celdas de captura.</t>
        </is>
      </c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 ht="24" customHeight="1">
      <c r="A30" s="4" t="n"/>
      <c r="B30" s="9" t="inlineStr">
        <is>
          <t>RECOMENDACIONES DE USO</t>
        </is>
      </c>
      <c r="C30" s="10" t="n"/>
      <c r="D30" s="10" t="n"/>
      <c r="E30" s="10" t="n"/>
      <c r="F30" s="10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los movimientos el mismo día; las categorías claras hacen que el Resumen sea útil.</t>
        </is>
      </c>
      <c r="G31" s="4" t="n"/>
    </row>
    <row r="32" ht="36" customHeight="1">
      <c r="A32" s="4" t="n"/>
      <c r="B32" s="16" t="inlineStr">
        <is>
          <t>✓</t>
        </is>
      </c>
      <c r="C32" s="13" t="inlineStr">
        <is>
          <t>Edita las categorías y los métodos de pago en la hoja CATÁLOGOS: las listas desplegables se actualizan solas.</t>
        </is>
      </c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Concilia el saldo final contra tu estado de cuenta al cierre de cada mes.</t>
        </is>
      </c>
      <c r="G33" s="4" t="n"/>
    </row>
    <row r="34" ht="21" customHeight="1">
      <c r="A34" s="4" t="n"/>
      <c r="B34" s="16" t="inlineStr">
        <is>
          <t>✓</t>
        </is>
      </c>
      <c r="C34" s="13" t="inlineStr">
        <is>
          <t>Guarda un archivo por mes o por año fiscal y conserva el original en blanco.</t>
        </is>
      </c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 ht="24" customHeight="1">
      <c r="A36" s="4" t="n"/>
      <c r="B36" s="9" t="inlineStr">
        <is>
          <t>LEYENDA DE COLORES</t>
        </is>
      </c>
      <c r="C36" s="10" t="n"/>
      <c r="D36" s="10" t="n"/>
      <c r="E36" s="10" t="n"/>
      <c r="F36" s="10" t="n"/>
      <c r="G36" s="4" t="n"/>
    </row>
    <row r="37">
      <c r="A37" s="4" t="n"/>
      <c r="B37" s="17" t="inlineStr"/>
      <c r="C37" s="18" t="inlineStr">
        <is>
          <t>CELDA DE CAPTURA: escribe aquí.</t>
        </is>
      </c>
      <c r="D37" s="4" t="n"/>
      <c r="E37" s="4" t="n"/>
      <c r="F37" s="4" t="n"/>
      <c r="G37" s="4" t="n"/>
    </row>
    <row r="38">
      <c r="A38" s="4" t="n"/>
      <c r="B38" s="19" t="inlineStr"/>
      <c r="C38" s="18" t="inlineStr">
        <is>
          <t>CÁLCULO AUTOMÁTICO: no la modifiques.</t>
        </is>
      </c>
      <c r="D38" s="4" t="n"/>
      <c r="E38" s="4" t="n"/>
      <c r="F38" s="4" t="n"/>
      <c r="G38" s="4" t="n"/>
    </row>
    <row r="39">
      <c r="A39" s="4" t="n"/>
      <c r="B39" s="20" t="inlineStr"/>
      <c r="C39" s="18" t="inlineStr">
        <is>
          <t>ENCABEZADOS Y TÍTULOS.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6" customHeight="1">
      <c r="A41" s="1" t="n"/>
      <c r="B41" s="21" t="inlineStr">
        <is>
          <t>GRUPO CANVILLE  ·  Formatos administrativos  ·  Para uso interno de tu empresa</t>
        </is>
      </c>
      <c r="G41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23:F23"/>
    <mergeCell ref="D17:F17"/>
    <mergeCell ref="C32:F32"/>
    <mergeCell ref="D16:F16"/>
    <mergeCell ref="C28:F28"/>
    <mergeCell ref="C34:F34"/>
    <mergeCell ref="D18:F18"/>
    <mergeCell ref="C33:F33"/>
    <mergeCell ref="C24:F24"/>
    <mergeCell ref="B4:F5"/>
    <mergeCell ref="E2:F2"/>
    <mergeCell ref="C26:F26"/>
    <mergeCell ref="C25:F25"/>
    <mergeCell ref="C22:F22"/>
    <mergeCell ref="D19:F19"/>
    <mergeCell ref="C31:F31"/>
    <mergeCell ref="B6:F6"/>
    <mergeCell ref="C27:F27"/>
    <mergeCell ref="B41:F41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30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INGRESOS Y GASTOS</t>
        </is>
      </c>
      <c r="G1" s="54" t="inlineStr">
        <is>
          <t>INSERTE SU LOGO
(clic derecho &gt; Insertar imagen)</t>
        </is>
      </c>
      <c r="H1" s="55" t="n"/>
    </row>
    <row r="2" ht="26" customHeight="1">
      <c r="A2" s="56" t="inlineStr">
        <is>
          <t>Registro diario de movimientos con saldo acumulado</t>
        </is>
      </c>
      <c r="B2" s="57" t="n"/>
      <c r="C2" s="57" t="n"/>
      <c r="D2" s="57" t="n"/>
      <c r="E2" s="57" t="n"/>
      <c r="F2" s="57" t="n"/>
      <c r="G2" s="58" t="n"/>
      <c r="H2" s="5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0" t="n"/>
      <c r="D4" s="61" t="n"/>
      <c r="E4" s="29" t="inlineStr">
        <is>
          <t>PERIODO</t>
        </is>
      </c>
      <c r="F4" s="17" t="inlineStr">
        <is>
          <t>SEPTIEMBRE 2026</t>
        </is>
      </c>
      <c r="G4" s="60" t="n"/>
      <c r="H4" s="61" t="n"/>
    </row>
    <row r="5">
      <c r="A5" s="29" t="inlineStr">
        <is>
          <t>SALDO INICIAL</t>
        </is>
      </c>
      <c r="B5" s="30" t="n">
        <v>15000</v>
      </c>
      <c r="C5" s="60" t="n"/>
      <c r="D5" s="61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1" t="inlineStr">
        <is>
          <t>NO.</t>
        </is>
      </c>
      <c r="B7" s="31" t="inlineStr">
        <is>
          <t>FECHA</t>
        </is>
      </c>
      <c r="C7" s="31" t="inlineStr">
        <is>
          <t>CONCEPTO</t>
        </is>
      </c>
      <c r="D7" s="31" t="inlineStr">
        <is>
          <t>CATEGORÍA</t>
        </is>
      </c>
      <c r="E7" s="31" t="inlineStr">
        <is>
          <t>MÉTODO DE PAGO</t>
        </is>
      </c>
      <c r="F7" s="31" t="inlineStr">
        <is>
          <t>INGRESO</t>
        </is>
      </c>
      <c r="G7" s="31" t="inlineStr">
        <is>
          <t>GASTO</t>
        </is>
      </c>
      <c r="H7" s="31" t="inlineStr">
        <is>
          <t>SALDO</t>
        </is>
      </c>
    </row>
    <row r="8">
      <c r="A8" s="32" t="n">
        <v>1</v>
      </c>
      <c r="B8" s="33" t="n">
        <v>46266</v>
      </c>
      <c r="C8" s="17" t="inlineStr">
        <is>
          <t>VENTA MOSTRADOR</t>
        </is>
      </c>
      <c r="D8" s="17" t="inlineStr">
        <is>
          <t>VENTAS</t>
        </is>
      </c>
      <c r="E8" s="17" t="inlineStr">
        <is>
          <t>EFECTIVO</t>
        </is>
      </c>
      <c r="F8" s="30" t="n">
        <v>18500</v>
      </c>
      <c r="G8" s="30" t="n"/>
      <c r="H8" s="34">
        <f>IF(AND(F8="",G8=""),"",$B$5+SUM($F$8:F8)-SUM($G$8:G8))</f>
        <v/>
      </c>
    </row>
    <row r="9">
      <c r="A9" s="32" t="n">
        <v>2</v>
      </c>
      <c r="B9" s="33" t="n">
        <v>46267</v>
      </c>
      <c r="C9" s="17" t="inlineStr">
        <is>
          <t>PAGO DE RENTA DE OFICINA</t>
        </is>
      </c>
      <c r="D9" s="17" t="inlineStr">
        <is>
          <t>RENTA</t>
        </is>
      </c>
      <c r="E9" s="17" t="inlineStr">
        <is>
          <t>TRANSFERENCIA</t>
        </is>
      </c>
      <c r="F9" s="30" t="n"/>
      <c r="G9" s="30" t="n">
        <v>8500</v>
      </c>
      <c r="H9" s="34">
        <f>IF(AND(F9="",G9=""),"",$B$5+SUM($F$8:F9)-SUM($G$8:G9))</f>
        <v/>
      </c>
    </row>
    <row r="10">
      <c r="A10" s="32" t="n">
        <v>3</v>
      </c>
      <c r="B10" s="33" t="n">
        <v>46268</v>
      </c>
      <c r="C10" s="17" t="inlineStr">
        <is>
          <t>SERVICIO DE CONSULTORÍA</t>
        </is>
      </c>
      <c r="D10" s="17" t="inlineStr">
        <is>
          <t>SERVICIOS</t>
        </is>
      </c>
      <c r="E10" s="17" t="inlineStr">
        <is>
          <t>TRANSFERENCIA</t>
        </is>
      </c>
      <c r="F10" s="30" t="n">
        <v>12000</v>
      </c>
      <c r="G10" s="30" t="n"/>
      <c r="H10" s="34">
        <f>IF(AND(F10="",G10=""),"",$B$5+SUM($F$8:F10)-SUM($G$8:G10))</f>
        <v/>
      </c>
    </row>
    <row r="11">
      <c r="A11" s="32" t="n">
        <v>4</v>
      </c>
      <c r="B11" s="33" t="n">
        <v>46270</v>
      </c>
      <c r="C11" s="17" t="inlineStr">
        <is>
          <t>NÓMINA PRIMERA QUINCENA</t>
        </is>
      </c>
      <c r="D11" s="17" t="inlineStr">
        <is>
          <t>NÓMINA</t>
        </is>
      </c>
      <c r="E11" s="17" t="inlineStr">
        <is>
          <t>TRANSFERENCIA</t>
        </is>
      </c>
      <c r="F11" s="30" t="n"/>
      <c r="G11" s="30" t="n">
        <v>14200</v>
      </c>
      <c r="H11" s="34">
        <f>IF(AND(F11="",G11=""),"",$B$5+SUM($F$8:F11)-SUM($G$8:G11))</f>
        <v/>
      </c>
    </row>
    <row r="12">
      <c r="A12" s="32" t="n">
        <v>5</v>
      </c>
      <c r="B12" s="33" t="n">
        <v>46272</v>
      </c>
      <c r="C12" s="17" t="inlineStr">
        <is>
          <t>PAPELERÍA E INSUMOS</t>
        </is>
      </c>
      <c r="D12" s="17" t="inlineStr">
        <is>
          <t>INSUMOS</t>
        </is>
      </c>
      <c r="E12" s="17" t="inlineStr">
        <is>
          <t>TARJETA</t>
        </is>
      </c>
      <c r="F12" s="30" t="n"/>
      <c r="G12" s="30" t="n">
        <v>2350.5</v>
      </c>
      <c r="H12" s="34">
        <f>IF(AND(F12="",G12=""),"",$B$5+SUM($F$8:F12)-SUM($G$8:G12))</f>
        <v/>
      </c>
    </row>
    <row r="13">
      <c r="A13" s="32" t="n">
        <v>6</v>
      </c>
      <c r="B13" s="33" t="n">
        <v>46274</v>
      </c>
      <c r="C13" s="17" t="inlineStr">
        <is>
          <t>VENTA MAYOREO</t>
        </is>
      </c>
      <c r="D13" s="17" t="inlineStr">
        <is>
          <t>VENTAS</t>
        </is>
      </c>
      <c r="E13" s="17" t="inlineStr">
        <is>
          <t>TRANSFERENCIA</t>
        </is>
      </c>
      <c r="F13" s="30" t="n">
        <v>26400</v>
      </c>
      <c r="G13" s="30" t="n"/>
      <c r="H13" s="34">
        <f>IF(AND(F13="",G13=""),"",$B$5+SUM($F$8:F13)-SUM($G$8:G13))</f>
        <v/>
      </c>
    </row>
    <row r="14">
      <c r="A14" s="32" t="n">
        <v>7</v>
      </c>
      <c r="B14" s="33" t="n">
        <v>46275</v>
      </c>
      <c r="C14" s="17" t="inlineStr">
        <is>
          <t>LUZ Y AGUA</t>
        </is>
      </c>
      <c r="D14" s="17" t="inlineStr">
        <is>
          <t>SERVICIOS (LUZ/AGUA/TEL)</t>
        </is>
      </c>
      <c r="E14" s="17" t="inlineStr">
        <is>
          <t>EFECTIVO</t>
        </is>
      </c>
      <c r="F14" s="30" t="n"/>
      <c r="G14" s="30" t="n">
        <v>1890</v>
      </c>
      <c r="H14" s="34">
        <f>IF(AND(F14="",G14=""),"",$B$5+SUM($F$8:F14)-SUM($G$8:G14))</f>
        <v/>
      </c>
    </row>
    <row r="15">
      <c r="A15" s="32" t="n">
        <v>8</v>
      </c>
      <c r="B15" s="33" t="n">
        <v>46277</v>
      </c>
      <c r="C15" s="17" t="inlineStr">
        <is>
          <t>CAMPAÑA EN REDES SOCIALES</t>
        </is>
      </c>
      <c r="D15" s="17" t="inlineStr">
        <is>
          <t>PUBLICIDAD</t>
        </is>
      </c>
      <c r="E15" s="17" t="inlineStr">
        <is>
          <t>TARJETA</t>
        </is>
      </c>
      <c r="F15" s="30" t="n"/>
      <c r="G15" s="30" t="n">
        <v>3200</v>
      </c>
      <c r="H15" s="34">
        <f>IF(AND(F15="",G15=""),"",$B$5+SUM($F$8:F15)-SUM($G$8:G15))</f>
        <v/>
      </c>
    </row>
    <row r="16">
      <c r="A16" s="32" t="n">
        <v>9</v>
      </c>
      <c r="B16" s="33" t="n">
        <v>46279</v>
      </c>
      <c r="C16" s="17" t="inlineStr">
        <is>
          <t>VENTA MOSTRADOR</t>
        </is>
      </c>
      <c r="D16" s="17" t="inlineStr">
        <is>
          <t>VENTAS</t>
        </is>
      </c>
      <c r="E16" s="17" t="inlineStr">
        <is>
          <t>EFECTIVO</t>
        </is>
      </c>
      <c r="F16" s="30" t="n">
        <v>15750</v>
      </c>
      <c r="G16" s="30" t="n"/>
      <c r="H16" s="34">
        <f>IF(AND(F16="",G16=""),"",$B$5+SUM($F$8:F16)-SUM($G$8:G16))</f>
        <v/>
      </c>
    </row>
    <row r="17">
      <c r="A17" s="32" t="n">
        <v>10</v>
      </c>
      <c r="B17" s="33" t="n">
        <v>46280</v>
      </c>
      <c r="C17" s="17" t="inlineStr">
        <is>
          <t>PAGO DE IVA</t>
        </is>
      </c>
      <c r="D17" s="17" t="inlineStr">
        <is>
          <t>IMPUESTOS</t>
        </is>
      </c>
      <c r="E17" s="17" t="inlineStr">
        <is>
          <t>TRANSFERENCIA</t>
        </is>
      </c>
      <c r="F17" s="30" t="n"/>
      <c r="G17" s="30" t="n">
        <v>6120</v>
      </c>
      <c r="H17" s="34">
        <f>IF(AND(F17="",G17=""),"",$B$5+SUM($F$8:F17)-SUM($G$8:G17))</f>
        <v/>
      </c>
    </row>
    <row r="18">
      <c r="A18" s="32" t="n">
        <v>11</v>
      </c>
      <c r="B18" s="33" t="n">
        <v>46282</v>
      </c>
      <c r="C18" s="17" t="inlineStr">
        <is>
          <t>SERVICIO DE MANTENIMIENTO</t>
        </is>
      </c>
      <c r="D18" s="17" t="inlineStr">
        <is>
          <t>SERVICIOS</t>
        </is>
      </c>
      <c r="E18" s="17" t="inlineStr">
        <is>
          <t>TRANSFERENCIA</t>
        </is>
      </c>
      <c r="F18" s="30" t="n">
        <v>9800</v>
      </c>
      <c r="G18" s="30" t="n"/>
      <c r="H18" s="34">
        <f>IF(AND(F18="",G18=""),"",$B$5+SUM($F$8:F18)-SUM($G$8:G18))</f>
        <v/>
      </c>
    </row>
    <row r="19">
      <c r="A19" s="32" t="n">
        <v>12</v>
      </c>
      <c r="B19" s="33" t="n">
        <v>46284</v>
      </c>
      <c r="C19" s="17" t="inlineStr">
        <is>
          <t>COMBUSTIBLE DE REPARTO</t>
        </is>
      </c>
      <c r="D19" s="17" t="inlineStr">
        <is>
          <t>TRANSPORTE</t>
        </is>
      </c>
      <c r="E19" s="17" t="inlineStr">
        <is>
          <t>TARJETA</t>
        </is>
      </c>
      <c r="F19" s="30" t="n"/>
      <c r="G19" s="30" t="n">
        <v>1450</v>
      </c>
      <c r="H19" s="34">
        <f>IF(AND(F19="",G19=""),"",$B$5+SUM($F$8:F19)-SUM($G$8:G19))</f>
        <v/>
      </c>
    </row>
    <row r="20">
      <c r="A20" s="32" t="n">
        <v>13</v>
      </c>
      <c r="B20" s="33" t="n">
        <v>46285</v>
      </c>
      <c r="C20" s="17" t="inlineStr">
        <is>
          <t>NÓMINA SEGUNDA QUINCENA</t>
        </is>
      </c>
      <c r="D20" s="17" t="inlineStr">
        <is>
          <t>NÓMINA</t>
        </is>
      </c>
      <c r="E20" s="17" t="inlineStr">
        <is>
          <t>TRANSFERENCIA</t>
        </is>
      </c>
      <c r="F20" s="30" t="n"/>
      <c r="G20" s="30" t="n">
        <v>14200</v>
      </c>
      <c r="H20" s="34">
        <f>IF(AND(F20="",G20=""),"",$B$5+SUM($F$8:F20)-SUM($G$8:G20))</f>
        <v/>
      </c>
    </row>
    <row r="21">
      <c r="A21" s="32" t="n">
        <v>14</v>
      </c>
      <c r="B21" s="33" t="n">
        <v>46288</v>
      </c>
      <c r="C21" s="17" t="inlineStr">
        <is>
          <t>INTERESES GANADOS</t>
        </is>
      </c>
      <c r="D21" s="17" t="inlineStr">
        <is>
          <t>OTROS INGRESOS</t>
        </is>
      </c>
      <c r="E21" s="17" t="inlineStr">
        <is>
          <t>TRANSFERENCIA</t>
        </is>
      </c>
      <c r="F21" s="30" t="n">
        <v>320</v>
      </c>
      <c r="G21" s="30" t="n"/>
      <c r="H21" s="34">
        <f>IF(AND(F21="",G21=""),"",$B$5+SUM($F$8:F21)-SUM($G$8:G21))</f>
        <v/>
      </c>
    </row>
    <row r="22">
      <c r="A22" s="32" t="n">
        <v>15</v>
      </c>
      <c r="B22" s="33" t="n">
        <v>46290</v>
      </c>
      <c r="C22" s="17" t="inlineStr">
        <is>
          <t>VENTA MOSTRADOR</t>
        </is>
      </c>
      <c r="D22" s="17" t="inlineStr">
        <is>
          <t>VENTAS</t>
        </is>
      </c>
      <c r="E22" s="17" t="inlineStr">
        <is>
          <t>EFECTIVO</t>
        </is>
      </c>
      <c r="F22" s="30" t="n">
        <v>21300</v>
      </c>
      <c r="G22" s="30" t="n"/>
      <c r="H22" s="34">
        <f>IF(AND(F22="",G22=""),"",$B$5+SUM($F$8:F22)-SUM($G$8:G22))</f>
        <v/>
      </c>
    </row>
    <row r="23">
      <c r="A23" s="32" t="n">
        <v>16</v>
      </c>
      <c r="B23" s="33" t="n">
        <v>46293</v>
      </c>
      <c r="C23" s="17" t="inlineStr">
        <is>
          <t>REPARACIONES MENORES</t>
        </is>
      </c>
      <c r="D23" s="17" t="inlineStr">
        <is>
          <t>OTROS GASTOS</t>
        </is>
      </c>
      <c r="E23" s="17" t="inlineStr">
        <is>
          <t>EFECTIVO</t>
        </is>
      </c>
      <c r="F23" s="30" t="n"/>
      <c r="G23" s="30" t="n">
        <v>1180</v>
      </c>
      <c r="H23" s="34">
        <f>IF(AND(F23="",G23=""),"",$B$5+SUM($F$8:F23)-SUM($G$8:G23))</f>
        <v/>
      </c>
    </row>
    <row r="24">
      <c r="A24" s="32" t="n">
        <v>17</v>
      </c>
      <c r="B24" s="33" t="n">
        <v>46267</v>
      </c>
      <c r="C24" s="17" t="inlineStr">
        <is>
          <t>VENTA MOSTRADOR</t>
        </is>
      </c>
      <c r="D24" s="17" t="inlineStr">
        <is>
          <t>VENTAS</t>
        </is>
      </c>
      <c r="E24" s="17" t="inlineStr">
        <is>
          <t>EFECTIVO</t>
        </is>
      </c>
      <c r="F24" s="30" t="n">
        <v>9800</v>
      </c>
      <c r="G24" s="30" t="n"/>
      <c r="H24" s="34">
        <f>IF(AND(F24="",G24=""),"",$B$5+SUM($F$8:F24)-SUM($G$8:G24))</f>
        <v/>
      </c>
    </row>
    <row r="25">
      <c r="A25" s="32" t="n">
        <v>18</v>
      </c>
      <c r="B25" s="33" t="n">
        <v>46269</v>
      </c>
      <c r="C25" s="17" t="inlineStr">
        <is>
          <t>PAGO DE INTERNET Y TELÉFONO</t>
        </is>
      </c>
      <c r="D25" s="17" t="inlineStr">
        <is>
          <t>SERVICIOS (LUZ/AGUA/TEL)</t>
        </is>
      </c>
      <c r="E25" s="17" t="inlineStr">
        <is>
          <t>TARJETA</t>
        </is>
      </c>
      <c r="F25" s="30" t="n"/>
      <c r="G25" s="30" t="n">
        <v>1250</v>
      </c>
      <c r="H25" s="34">
        <f>IF(AND(F25="",G25=""),"",$B$5+SUM($F$8:F25)-SUM($G$8:G25))</f>
        <v/>
      </c>
    </row>
    <row r="26">
      <c r="A26" s="32" t="n">
        <v>19</v>
      </c>
      <c r="B26" s="33" t="n">
        <v>46271</v>
      </c>
      <c r="C26" s="17" t="inlineStr">
        <is>
          <t>SERVICIO DE CONSULTORÍA</t>
        </is>
      </c>
      <c r="D26" s="17" t="inlineStr">
        <is>
          <t>SERVICIOS</t>
        </is>
      </c>
      <c r="E26" s="17" t="inlineStr">
        <is>
          <t>TRANSFERENCIA</t>
        </is>
      </c>
      <c r="F26" s="30" t="n">
        <v>7500</v>
      </c>
      <c r="G26" s="30" t="n"/>
      <c r="H26" s="34">
        <f>IF(AND(F26="",G26=""),"",$B$5+SUM($F$8:F26)-SUM($G$8:G26))</f>
        <v/>
      </c>
    </row>
    <row r="27">
      <c r="A27" s="32" t="n">
        <v>20</v>
      </c>
      <c r="B27" s="33" t="n">
        <v>46273</v>
      </c>
      <c r="C27" s="17" t="inlineStr">
        <is>
          <t>COMPRA DE INSUMOS DE LIMPIEZA</t>
        </is>
      </c>
      <c r="D27" s="17" t="inlineStr">
        <is>
          <t>INSUMOS</t>
        </is>
      </c>
      <c r="E27" s="17" t="inlineStr">
        <is>
          <t>EFECTIVO</t>
        </is>
      </c>
      <c r="F27" s="30" t="n"/>
      <c r="G27" s="30" t="n">
        <v>860</v>
      </c>
      <c r="H27" s="34">
        <f>IF(AND(F27="",G27=""),"",$B$5+SUM($F$8:F27)-SUM($G$8:G27))</f>
        <v/>
      </c>
    </row>
    <row r="28">
      <c r="A28" s="32" t="n">
        <v>21</v>
      </c>
      <c r="B28" s="33" t="n">
        <v>46276</v>
      </c>
      <c r="C28" s="17" t="inlineStr">
        <is>
          <t>VENTA MAYOREO</t>
        </is>
      </c>
      <c r="D28" s="17" t="inlineStr">
        <is>
          <t>VENTAS</t>
        </is>
      </c>
      <c r="E28" s="17" t="inlineStr">
        <is>
          <t>TRANSFERENCIA</t>
        </is>
      </c>
      <c r="F28" s="30" t="n">
        <v>31200</v>
      </c>
      <c r="G28" s="30" t="n"/>
      <c r="H28" s="34">
        <f>IF(AND(F28="",G28=""),"",$B$5+SUM($F$8:F28)-SUM($G$8:G28))</f>
        <v/>
      </c>
    </row>
    <row r="29">
      <c r="A29" s="32" t="n">
        <v>22</v>
      </c>
      <c r="B29" s="33" t="n">
        <v>46278</v>
      </c>
      <c r="C29" s="17" t="inlineStr">
        <is>
          <t>MANTENIMIENTO DE EQUIPO DE CÓMPUTO</t>
        </is>
      </c>
      <c r="D29" s="17" t="inlineStr">
        <is>
          <t>MANTENIMIENTO</t>
        </is>
      </c>
      <c r="E29" s="17" t="inlineStr">
        <is>
          <t>TARJETA</t>
        </is>
      </c>
      <c r="F29" s="30" t="n"/>
      <c r="G29" s="30" t="n">
        <v>2400</v>
      </c>
      <c r="H29" s="34">
        <f>IF(AND(F29="",G29=""),"",$B$5+SUM($F$8:F29)-SUM($G$8:G29))</f>
        <v/>
      </c>
    </row>
    <row r="30">
      <c r="A30" s="32" t="n">
        <v>23</v>
      </c>
      <c r="B30" s="33" t="n">
        <v>46281</v>
      </c>
      <c r="C30" s="17" t="inlineStr">
        <is>
          <t>VENTA MOSTRADOR</t>
        </is>
      </c>
      <c r="D30" s="17" t="inlineStr">
        <is>
          <t>VENTAS</t>
        </is>
      </c>
      <c r="E30" s="17" t="inlineStr">
        <is>
          <t>EFECTIVO</t>
        </is>
      </c>
      <c r="F30" s="30" t="n">
        <v>12400</v>
      </c>
      <c r="G30" s="30" t="n"/>
      <c r="H30" s="34">
        <f>IF(AND(F30="",G30=""),"",$B$5+SUM($F$8:F30)-SUM($G$8:G30))</f>
        <v/>
      </c>
    </row>
    <row r="31">
      <c r="A31" s="32" t="n">
        <v>24</v>
      </c>
      <c r="B31" s="33" t="n">
        <v>46283</v>
      </c>
      <c r="C31" s="17" t="inlineStr">
        <is>
          <t>COMBUSTIBLE</t>
        </is>
      </c>
      <c r="D31" s="17" t="inlineStr">
        <is>
          <t>TRANSPORTE</t>
        </is>
      </c>
      <c r="E31" s="17" t="inlineStr">
        <is>
          <t>TARJETA</t>
        </is>
      </c>
      <c r="F31" s="30" t="n"/>
      <c r="G31" s="30" t="n">
        <v>1320</v>
      </c>
      <c r="H31" s="34">
        <f>IF(AND(F31="",G31=""),"",$B$5+SUM($F$8:F31)-SUM($G$8:G31))</f>
        <v/>
      </c>
    </row>
    <row r="32">
      <c r="A32" s="32" t="n">
        <v>25</v>
      </c>
      <c r="B32" s="33" t="n">
        <v>46286</v>
      </c>
      <c r="C32" s="17" t="inlineStr">
        <is>
          <t>SERVICIO DE CAPACITACIÓN</t>
        </is>
      </c>
      <c r="D32" s="17" t="inlineStr">
        <is>
          <t>SERVICIOS</t>
        </is>
      </c>
      <c r="E32" s="17" t="inlineStr">
        <is>
          <t>TRANSFERENCIA</t>
        </is>
      </c>
      <c r="F32" s="30" t="n">
        <v>14500</v>
      </c>
      <c r="G32" s="30" t="n"/>
      <c r="H32" s="34">
        <f>IF(AND(F32="",G32=""),"",$B$5+SUM($F$8:F32)-SUM($G$8:G32))</f>
        <v/>
      </c>
    </row>
    <row r="33">
      <c r="A33" s="32" t="n">
        <v>26</v>
      </c>
      <c r="B33" s="33" t="n">
        <v>46287</v>
      </c>
      <c r="C33" s="17" t="inlineStr">
        <is>
          <t>PAGO ISR PROVISIONAL</t>
        </is>
      </c>
      <c r="D33" s="17" t="inlineStr">
        <is>
          <t>IMPUESTOS</t>
        </is>
      </c>
      <c r="E33" s="17" t="inlineStr">
        <is>
          <t>TRANSFERENCIA</t>
        </is>
      </c>
      <c r="F33" s="30" t="n"/>
      <c r="G33" s="30" t="n">
        <v>4380</v>
      </c>
      <c r="H33" s="34">
        <f>IF(AND(F33="",G33=""),"",$B$5+SUM($F$8:F33)-SUM($G$8:G33))</f>
        <v/>
      </c>
    </row>
    <row r="34">
      <c r="A34" s="32" t="n">
        <v>27</v>
      </c>
      <c r="B34" s="33" t="n">
        <v>46289</v>
      </c>
      <c r="C34" s="17" t="inlineStr">
        <is>
          <t>VENTA MOSTRADOR</t>
        </is>
      </c>
      <c r="D34" s="17" t="inlineStr">
        <is>
          <t>VENTAS</t>
        </is>
      </c>
      <c r="E34" s="17" t="inlineStr">
        <is>
          <t>EFECTIVO</t>
        </is>
      </c>
      <c r="F34" s="30" t="n">
        <v>16800</v>
      </c>
      <c r="G34" s="30" t="n"/>
      <c r="H34" s="34">
        <f>IF(AND(F34="",G34=""),"",$B$5+SUM($F$8:F34)-SUM($G$8:G34))</f>
        <v/>
      </c>
    </row>
    <row r="35">
      <c r="A35" s="32" t="n">
        <v>28</v>
      </c>
      <c r="B35" s="33" t="n">
        <v>46291</v>
      </c>
      <c r="C35" s="17" t="inlineStr">
        <is>
          <t>PUBLICIDAD IMPRESA</t>
        </is>
      </c>
      <c r="D35" s="17" t="inlineStr">
        <is>
          <t>PUBLICIDAD</t>
        </is>
      </c>
      <c r="E35" s="17" t="inlineStr">
        <is>
          <t>TARJETA</t>
        </is>
      </c>
      <c r="F35" s="30" t="n"/>
      <c r="G35" s="30" t="n">
        <v>1900</v>
      </c>
      <c r="H35" s="34">
        <f>IF(AND(F35="",G35=""),"",$B$5+SUM($F$8:F35)-SUM($G$8:G35))</f>
        <v/>
      </c>
    </row>
    <row r="36">
      <c r="A36" s="32" t="n">
        <v>29</v>
      </c>
      <c r="B36" s="33" t="n">
        <v>46292</v>
      </c>
      <c r="C36" s="17" t="inlineStr">
        <is>
          <t>VENTA MAYOREO</t>
        </is>
      </c>
      <c r="D36" s="17" t="inlineStr">
        <is>
          <t>VENTAS</t>
        </is>
      </c>
      <c r="E36" s="17" t="inlineStr">
        <is>
          <t>TRANSFERENCIA</t>
        </is>
      </c>
      <c r="F36" s="30" t="n">
        <v>22800</v>
      </c>
      <c r="G36" s="30" t="n"/>
      <c r="H36" s="34">
        <f>IF(AND(F36="",G36=""),"",$B$5+SUM($F$8:F36)-SUM($G$8:G36))</f>
        <v/>
      </c>
    </row>
    <row r="37">
      <c r="A37" s="32" t="n">
        <v>30</v>
      </c>
      <c r="B37" s="33" t="n">
        <v>46294</v>
      </c>
      <c r="C37" s="17" t="inlineStr">
        <is>
          <t>PAGO DE RENTA BODEGA</t>
        </is>
      </c>
      <c r="D37" s="17" t="inlineStr">
        <is>
          <t>RENTA</t>
        </is>
      </c>
      <c r="E37" s="17" t="inlineStr">
        <is>
          <t>TRANSFERENCIA</t>
        </is>
      </c>
      <c r="F37" s="30" t="n"/>
      <c r="G37" s="30" t="n">
        <v>6200</v>
      </c>
      <c r="H37" s="34">
        <f>IF(AND(F37="",G37=""),"",$B$5+SUM($F$8:F37)-SUM($G$8:G37))</f>
        <v/>
      </c>
    </row>
    <row r="38">
      <c r="A38" s="32" t="n">
        <v>31</v>
      </c>
      <c r="B38" s="33" t="n">
        <v>46027</v>
      </c>
      <c r="C38" s="17" t="inlineStr">
        <is>
          <t>VENTA MOSTRADOR</t>
        </is>
      </c>
      <c r="D38" s="17" t="inlineStr">
        <is>
          <t>VENTAS</t>
        </is>
      </c>
      <c r="E38" s="17" t="inlineStr">
        <is>
          <t>EFECTIVO</t>
        </is>
      </c>
      <c r="F38" s="30" t="n">
        <v>15700</v>
      </c>
      <c r="G38" s="30" t="n"/>
      <c r="H38" s="34">
        <f>IF(AND(F38="",G38=""),"",$B$5+SUM($F$8:F38)-SUM($G$8:G38))</f>
        <v/>
      </c>
    </row>
    <row r="39">
      <c r="A39" s="32" t="n">
        <v>32</v>
      </c>
      <c r="B39" s="33" t="n">
        <v>46034</v>
      </c>
      <c r="C39" s="17" t="inlineStr">
        <is>
          <t>SERVICIO DE CONSULTORÍA</t>
        </is>
      </c>
      <c r="D39" s="17" t="inlineStr">
        <is>
          <t>SERVICIOS</t>
        </is>
      </c>
      <c r="E39" s="17" t="inlineStr">
        <is>
          <t>TRANSFERENCIA</t>
        </is>
      </c>
      <c r="F39" s="30" t="n">
        <v>8900</v>
      </c>
      <c r="G39" s="30" t="n"/>
      <c r="H39" s="34">
        <f>IF(AND(F39="",G39=""),"",$B$5+SUM($F$8:F39)-SUM($G$8:G39))</f>
        <v/>
      </c>
    </row>
    <row r="40">
      <c r="A40" s="32" t="n">
        <v>33</v>
      </c>
      <c r="B40" s="33" t="n">
        <v>46037</v>
      </c>
      <c r="C40" s="17" t="inlineStr">
        <is>
          <t>NÓMINA QUINCENAL</t>
        </is>
      </c>
      <c r="D40" s="17" t="inlineStr">
        <is>
          <t>NÓMINA</t>
        </is>
      </c>
      <c r="E40" s="17" t="inlineStr">
        <is>
          <t>TRANSFERENCIA</t>
        </is>
      </c>
      <c r="F40" s="30" t="n"/>
      <c r="G40" s="30" t="n">
        <v>13600</v>
      </c>
      <c r="H40" s="34">
        <f>IF(AND(F40="",G40=""),"",$B$5+SUM($F$8:F40)-SUM($G$8:G40))</f>
        <v/>
      </c>
    </row>
    <row r="41">
      <c r="A41" s="32" t="n">
        <v>34</v>
      </c>
      <c r="B41" s="33" t="n">
        <v>46042</v>
      </c>
      <c r="C41" s="17" t="inlineStr">
        <is>
          <t>PAGO DE RENTA</t>
        </is>
      </c>
      <c r="D41" s="17" t="inlineStr">
        <is>
          <t>RENTA</t>
        </is>
      </c>
      <c r="E41" s="17" t="inlineStr">
        <is>
          <t>TRANSFERENCIA</t>
        </is>
      </c>
      <c r="F41" s="30" t="n"/>
      <c r="G41" s="30" t="n">
        <v>8500</v>
      </c>
      <c r="H41" s="34">
        <f>IF(AND(F41="",G41=""),"",$B$5+SUM($F$8:F41)-SUM($G$8:G41))</f>
        <v/>
      </c>
    </row>
    <row r="42">
      <c r="A42" s="32" t="n">
        <v>35</v>
      </c>
      <c r="B42" s="33" t="n">
        <v>46046</v>
      </c>
      <c r="C42" s="17" t="inlineStr">
        <is>
          <t>INSUMOS Y PAPELERÍA</t>
        </is>
      </c>
      <c r="D42" s="17" t="inlineStr">
        <is>
          <t>INSUMOS</t>
        </is>
      </c>
      <c r="E42" s="17" t="inlineStr">
        <is>
          <t>TARJETA</t>
        </is>
      </c>
      <c r="F42" s="30" t="n"/>
      <c r="G42" s="30" t="n">
        <v>1920</v>
      </c>
      <c r="H42" s="34">
        <f>IF(AND(F42="",G42=""),"",$B$5+SUM($F$8:F42)-SUM($G$8:G42))</f>
        <v/>
      </c>
    </row>
    <row r="43">
      <c r="A43" s="32" t="n">
        <v>36</v>
      </c>
      <c r="B43" s="33" t="n">
        <v>46049</v>
      </c>
      <c r="C43" s="17" t="inlineStr">
        <is>
          <t>PUBLICIDAD EN REDES</t>
        </is>
      </c>
      <c r="D43" s="17" t="inlineStr">
        <is>
          <t>PUBLICIDAD</t>
        </is>
      </c>
      <c r="E43" s="17" t="inlineStr">
        <is>
          <t>TARJETA</t>
        </is>
      </c>
      <c r="F43" s="30" t="n"/>
      <c r="G43" s="30" t="n">
        <v>2500</v>
      </c>
      <c r="H43" s="34">
        <f>IF(AND(F43="",G43=""),"",$B$5+SUM($F$8:F43)-SUM($G$8:G43))</f>
        <v/>
      </c>
    </row>
    <row r="44">
      <c r="A44" s="32" t="n">
        <v>37</v>
      </c>
      <c r="B44" s="33" t="n">
        <v>46058</v>
      </c>
      <c r="C44" s="17" t="inlineStr">
        <is>
          <t>VENTA MOSTRADOR</t>
        </is>
      </c>
      <c r="D44" s="17" t="inlineStr">
        <is>
          <t>VENTAS</t>
        </is>
      </c>
      <c r="E44" s="17" t="inlineStr">
        <is>
          <t>EFECTIVO</t>
        </is>
      </c>
      <c r="F44" s="30" t="n">
        <v>17400</v>
      </c>
      <c r="G44" s="30" t="n"/>
      <c r="H44" s="34">
        <f>IF(AND(F44="",G44=""),"",$B$5+SUM($F$8:F44)-SUM($G$8:G44))</f>
        <v/>
      </c>
    </row>
    <row r="45">
      <c r="A45" s="32" t="n">
        <v>38</v>
      </c>
      <c r="B45" s="33" t="n">
        <v>46065</v>
      </c>
      <c r="C45" s="17" t="inlineStr">
        <is>
          <t>SERVICIO DE CONSULTORÍA</t>
        </is>
      </c>
      <c r="D45" s="17" t="inlineStr">
        <is>
          <t>SERVICIOS</t>
        </is>
      </c>
      <c r="E45" s="17" t="inlineStr">
        <is>
          <t>TRANSFERENCIA</t>
        </is>
      </c>
      <c r="F45" s="30" t="n">
        <v>9800</v>
      </c>
      <c r="G45" s="30" t="n"/>
      <c r="H45" s="34">
        <f>IF(AND(F45="",G45=""),"",$B$5+SUM($F$8:F45)-SUM($G$8:G45))</f>
        <v/>
      </c>
    </row>
    <row r="46">
      <c r="A46" s="32" t="n">
        <v>39</v>
      </c>
      <c r="B46" s="33" t="n">
        <v>46068</v>
      </c>
      <c r="C46" s="17" t="inlineStr">
        <is>
          <t>NÓMINA QUINCENAL</t>
        </is>
      </c>
      <c r="D46" s="17" t="inlineStr">
        <is>
          <t>NÓMINA</t>
        </is>
      </c>
      <c r="E46" s="17" t="inlineStr">
        <is>
          <t>TRANSFERENCIA</t>
        </is>
      </c>
      <c r="F46" s="30" t="n"/>
      <c r="G46" s="30" t="n">
        <v>13700</v>
      </c>
      <c r="H46" s="34">
        <f>IF(AND(F46="",G46=""),"",$B$5+SUM($F$8:F46)-SUM($G$8:G46))</f>
        <v/>
      </c>
    </row>
    <row r="47">
      <c r="A47" s="32" t="n">
        <v>40</v>
      </c>
      <c r="B47" s="33" t="n">
        <v>46073</v>
      </c>
      <c r="C47" s="17" t="inlineStr">
        <is>
          <t>PAGO DE RENTA</t>
        </is>
      </c>
      <c r="D47" s="17" t="inlineStr">
        <is>
          <t>RENTA</t>
        </is>
      </c>
      <c r="E47" s="17" t="inlineStr">
        <is>
          <t>TRANSFERENCIA</t>
        </is>
      </c>
      <c r="F47" s="30" t="n"/>
      <c r="G47" s="30" t="n">
        <v>8500</v>
      </c>
      <c r="H47" s="34">
        <f>IF(AND(F47="",G47=""),"",$B$5+SUM($F$8:F47)-SUM($G$8:G47))</f>
        <v/>
      </c>
    </row>
    <row r="48">
      <c r="A48" s="32" t="n">
        <v>41</v>
      </c>
      <c r="B48" s="33" t="n">
        <v>46077</v>
      </c>
      <c r="C48" s="17" t="inlineStr">
        <is>
          <t>INSUMOS Y PAPELERÍA</t>
        </is>
      </c>
      <c r="D48" s="17" t="inlineStr">
        <is>
          <t>INSUMOS</t>
        </is>
      </c>
      <c r="E48" s="17" t="inlineStr">
        <is>
          <t>TARJETA</t>
        </is>
      </c>
      <c r="F48" s="30" t="n"/>
      <c r="G48" s="30" t="n">
        <v>2040</v>
      </c>
      <c r="H48" s="34">
        <f>IF(AND(F48="",G48=""),"",$B$5+SUM($F$8:F48)-SUM($G$8:G48))</f>
        <v/>
      </c>
    </row>
    <row r="49">
      <c r="A49" s="32" t="n">
        <v>42</v>
      </c>
      <c r="B49" s="33" t="n">
        <v>46080</v>
      </c>
      <c r="C49" s="17" t="inlineStr">
        <is>
          <t>PUBLICIDAD EN REDES</t>
        </is>
      </c>
      <c r="D49" s="17" t="inlineStr">
        <is>
          <t>PUBLICIDAD</t>
        </is>
      </c>
      <c r="E49" s="17" t="inlineStr">
        <is>
          <t>TARJETA</t>
        </is>
      </c>
      <c r="F49" s="30" t="n"/>
      <c r="G49" s="30" t="n">
        <v>2500</v>
      </c>
      <c r="H49" s="34">
        <f>IF(AND(F49="",G49=""),"",$B$5+SUM($F$8:F49)-SUM($G$8:G49))</f>
        <v/>
      </c>
    </row>
    <row r="50">
      <c r="A50" s="32" t="n">
        <v>43</v>
      </c>
      <c r="B50" s="33" t="n">
        <v>46086</v>
      </c>
      <c r="C50" s="17" t="inlineStr">
        <is>
          <t>VENTA MOSTRADOR</t>
        </is>
      </c>
      <c r="D50" s="17" t="inlineStr">
        <is>
          <t>VENTAS</t>
        </is>
      </c>
      <c r="E50" s="17" t="inlineStr">
        <is>
          <t>EFECTIVO</t>
        </is>
      </c>
      <c r="F50" s="30" t="n">
        <v>19100</v>
      </c>
      <c r="G50" s="30" t="n"/>
      <c r="H50" s="34">
        <f>IF(AND(F50="",G50=""),"",$B$5+SUM($F$8:F50)-SUM($G$8:G50))</f>
        <v/>
      </c>
    </row>
    <row r="51">
      <c r="A51" s="32" t="n">
        <v>44</v>
      </c>
      <c r="B51" s="33" t="n">
        <v>46093</v>
      </c>
      <c r="C51" s="17" t="inlineStr">
        <is>
          <t>SERVICIO DE CONSULTORÍA</t>
        </is>
      </c>
      <c r="D51" s="17" t="inlineStr">
        <is>
          <t>SERVICIOS</t>
        </is>
      </c>
      <c r="E51" s="17" t="inlineStr">
        <is>
          <t>TRANSFERENCIA</t>
        </is>
      </c>
      <c r="F51" s="30" t="n">
        <v>10700</v>
      </c>
      <c r="G51" s="30" t="n"/>
      <c r="H51" s="34">
        <f>IF(AND(F51="",G51=""),"",$B$5+SUM($F$8:F51)-SUM($G$8:G51))</f>
        <v/>
      </c>
    </row>
    <row r="52">
      <c r="A52" s="32" t="n">
        <v>45</v>
      </c>
      <c r="B52" s="33" t="n">
        <v>46096</v>
      </c>
      <c r="C52" s="17" t="inlineStr">
        <is>
          <t>NÓMINA QUINCENAL</t>
        </is>
      </c>
      <c r="D52" s="17" t="inlineStr">
        <is>
          <t>NÓMINA</t>
        </is>
      </c>
      <c r="E52" s="17" t="inlineStr">
        <is>
          <t>TRANSFERENCIA</t>
        </is>
      </c>
      <c r="F52" s="30" t="n"/>
      <c r="G52" s="30" t="n">
        <v>13800</v>
      </c>
      <c r="H52" s="34">
        <f>IF(AND(F52="",G52=""),"",$B$5+SUM($F$8:F52)-SUM($G$8:G52))</f>
        <v/>
      </c>
    </row>
    <row r="53">
      <c r="A53" s="32" t="n">
        <v>46</v>
      </c>
      <c r="B53" s="33" t="n">
        <v>46101</v>
      </c>
      <c r="C53" s="17" t="inlineStr">
        <is>
          <t>PAGO DE RENTA</t>
        </is>
      </c>
      <c r="D53" s="17" t="inlineStr">
        <is>
          <t>RENTA</t>
        </is>
      </c>
      <c r="E53" s="17" t="inlineStr">
        <is>
          <t>TRANSFERENCIA</t>
        </is>
      </c>
      <c r="F53" s="30" t="n"/>
      <c r="G53" s="30" t="n">
        <v>8500</v>
      </c>
      <c r="H53" s="34">
        <f>IF(AND(F53="",G53=""),"",$B$5+SUM($F$8:F53)-SUM($G$8:G53))</f>
        <v/>
      </c>
    </row>
    <row r="54">
      <c r="A54" s="32" t="n">
        <v>47</v>
      </c>
      <c r="B54" s="33" t="n">
        <v>46105</v>
      </c>
      <c r="C54" s="17" t="inlineStr">
        <is>
          <t>INSUMOS Y PAPELERÍA</t>
        </is>
      </c>
      <c r="D54" s="17" t="inlineStr">
        <is>
          <t>INSUMOS</t>
        </is>
      </c>
      <c r="E54" s="17" t="inlineStr">
        <is>
          <t>TARJETA</t>
        </is>
      </c>
      <c r="F54" s="30" t="n"/>
      <c r="G54" s="30" t="n">
        <v>2160</v>
      </c>
      <c r="H54" s="34">
        <f>IF(AND(F54="",G54=""),"",$B$5+SUM($F$8:F54)-SUM($G$8:G54))</f>
        <v/>
      </c>
    </row>
    <row r="55">
      <c r="A55" s="32" t="n">
        <v>48</v>
      </c>
      <c r="B55" s="33" t="n">
        <v>46108</v>
      </c>
      <c r="C55" s="17" t="inlineStr">
        <is>
          <t>PUBLICIDAD EN REDES</t>
        </is>
      </c>
      <c r="D55" s="17" t="inlineStr">
        <is>
          <t>PUBLICIDAD</t>
        </is>
      </c>
      <c r="E55" s="17" t="inlineStr">
        <is>
          <t>TARJETA</t>
        </is>
      </c>
      <c r="F55" s="30" t="n"/>
      <c r="G55" s="30" t="n">
        <v>2500</v>
      </c>
      <c r="H55" s="34">
        <f>IF(AND(F55="",G55=""),"",$B$5+SUM($F$8:F55)-SUM($G$8:G55))</f>
        <v/>
      </c>
    </row>
    <row r="56">
      <c r="A56" s="32" t="n">
        <v>49</v>
      </c>
      <c r="B56" s="33" t="n">
        <v>46117</v>
      </c>
      <c r="C56" s="17" t="inlineStr">
        <is>
          <t>VENTA MOSTRADOR</t>
        </is>
      </c>
      <c r="D56" s="17" t="inlineStr">
        <is>
          <t>VENTAS</t>
        </is>
      </c>
      <c r="E56" s="17" t="inlineStr">
        <is>
          <t>EFECTIVO</t>
        </is>
      </c>
      <c r="F56" s="30" t="n">
        <v>20800</v>
      </c>
      <c r="G56" s="30" t="n"/>
      <c r="H56" s="34">
        <f>IF(AND(F56="",G56=""),"",$B$5+SUM($F$8:F56)-SUM($G$8:G56))</f>
        <v/>
      </c>
    </row>
    <row r="57">
      <c r="A57" s="32" t="n">
        <v>50</v>
      </c>
      <c r="B57" s="33" t="n">
        <v>46124</v>
      </c>
      <c r="C57" s="17" t="inlineStr">
        <is>
          <t>SERVICIO DE CONSULTORÍA</t>
        </is>
      </c>
      <c r="D57" s="17" t="inlineStr">
        <is>
          <t>SERVICIOS</t>
        </is>
      </c>
      <c r="E57" s="17" t="inlineStr">
        <is>
          <t>TRANSFERENCIA</t>
        </is>
      </c>
      <c r="F57" s="30" t="n">
        <v>11600</v>
      </c>
      <c r="G57" s="30" t="n"/>
      <c r="H57" s="34">
        <f>IF(AND(F57="",G57=""),"",$B$5+SUM($F$8:F57)-SUM($G$8:G57))</f>
        <v/>
      </c>
    </row>
    <row r="58">
      <c r="A58" s="32" t="n">
        <v>51</v>
      </c>
      <c r="B58" s="33" t="n">
        <v>46127</v>
      </c>
      <c r="C58" s="17" t="inlineStr">
        <is>
          <t>NÓMINA QUINCENAL</t>
        </is>
      </c>
      <c r="D58" s="17" t="inlineStr">
        <is>
          <t>NÓMINA</t>
        </is>
      </c>
      <c r="E58" s="17" t="inlineStr">
        <is>
          <t>TRANSFERENCIA</t>
        </is>
      </c>
      <c r="F58" s="30" t="n"/>
      <c r="G58" s="30" t="n">
        <v>13900</v>
      </c>
      <c r="H58" s="34">
        <f>IF(AND(F58="",G58=""),"",$B$5+SUM($F$8:F58)-SUM($G$8:G58))</f>
        <v/>
      </c>
    </row>
    <row r="59">
      <c r="A59" s="32" t="n">
        <v>52</v>
      </c>
      <c r="B59" s="33" t="n">
        <v>46132</v>
      </c>
      <c r="C59" s="17" t="inlineStr">
        <is>
          <t>PAGO DE RENTA</t>
        </is>
      </c>
      <c r="D59" s="17" t="inlineStr">
        <is>
          <t>RENTA</t>
        </is>
      </c>
      <c r="E59" s="17" t="inlineStr">
        <is>
          <t>TRANSFERENCIA</t>
        </is>
      </c>
      <c r="F59" s="30" t="n"/>
      <c r="G59" s="30" t="n">
        <v>8500</v>
      </c>
      <c r="H59" s="34">
        <f>IF(AND(F59="",G59=""),"",$B$5+SUM($F$8:F59)-SUM($G$8:G59))</f>
        <v/>
      </c>
    </row>
    <row r="60">
      <c r="A60" s="32" t="n">
        <v>53</v>
      </c>
      <c r="B60" s="33" t="n">
        <v>46136</v>
      </c>
      <c r="C60" s="17" t="inlineStr">
        <is>
          <t>INSUMOS Y PAPELERÍA</t>
        </is>
      </c>
      <c r="D60" s="17" t="inlineStr">
        <is>
          <t>INSUMOS</t>
        </is>
      </c>
      <c r="E60" s="17" t="inlineStr">
        <is>
          <t>TARJETA</t>
        </is>
      </c>
      <c r="F60" s="30" t="n"/>
      <c r="G60" s="30" t="n">
        <v>2280</v>
      </c>
      <c r="H60" s="34">
        <f>IF(AND(F60="",G60=""),"",$B$5+SUM($F$8:F60)-SUM($G$8:G60))</f>
        <v/>
      </c>
    </row>
    <row r="61">
      <c r="A61" s="32" t="n">
        <v>54</v>
      </c>
      <c r="B61" s="33" t="n">
        <v>46139</v>
      </c>
      <c r="C61" s="17" t="inlineStr">
        <is>
          <t>PUBLICIDAD EN REDES</t>
        </is>
      </c>
      <c r="D61" s="17" t="inlineStr">
        <is>
          <t>PUBLICIDAD</t>
        </is>
      </c>
      <c r="E61" s="17" t="inlineStr">
        <is>
          <t>TARJETA</t>
        </is>
      </c>
      <c r="F61" s="30" t="n"/>
      <c r="G61" s="30" t="n">
        <v>2500</v>
      </c>
      <c r="H61" s="34">
        <f>IF(AND(F61="",G61=""),"",$B$5+SUM($F$8:F61)-SUM($G$8:G61))</f>
        <v/>
      </c>
    </row>
    <row r="62">
      <c r="A62" s="32" t="n">
        <v>55</v>
      </c>
      <c r="B62" s="33" t="n">
        <v>46147</v>
      </c>
      <c r="C62" s="17" t="inlineStr">
        <is>
          <t>VENTA MOSTRADOR</t>
        </is>
      </c>
      <c r="D62" s="17" t="inlineStr">
        <is>
          <t>VENTAS</t>
        </is>
      </c>
      <c r="E62" s="17" t="inlineStr">
        <is>
          <t>EFECTIVO</t>
        </is>
      </c>
      <c r="F62" s="30" t="n">
        <v>22500</v>
      </c>
      <c r="G62" s="30" t="n"/>
      <c r="H62" s="34">
        <f>IF(AND(F62="",G62=""),"",$B$5+SUM($F$8:F62)-SUM($G$8:G62))</f>
        <v/>
      </c>
    </row>
    <row r="63">
      <c r="A63" s="32" t="n">
        <v>56</v>
      </c>
      <c r="B63" s="33" t="n">
        <v>46154</v>
      </c>
      <c r="C63" s="17" t="inlineStr">
        <is>
          <t>SERVICIO DE CONSULTORÍA</t>
        </is>
      </c>
      <c r="D63" s="17" t="inlineStr">
        <is>
          <t>SERVICIOS</t>
        </is>
      </c>
      <c r="E63" s="17" t="inlineStr">
        <is>
          <t>TRANSFERENCIA</t>
        </is>
      </c>
      <c r="F63" s="30" t="n">
        <v>12500</v>
      </c>
      <c r="G63" s="30" t="n"/>
      <c r="H63" s="34">
        <f>IF(AND(F63="",G63=""),"",$B$5+SUM($F$8:F63)-SUM($G$8:G63))</f>
        <v/>
      </c>
    </row>
    <row r="64">
      <c r="A64" s="32" t="n">
        <v>57</v>
      </c>
      <c r="B64" s="33" t="n">
        <v>46157</v>
      </c>
      <c r="C64" s="17" t="inlineStr">
        <is>
          <t>NÓMINA QUINCENAL</t>
        </is>
      </c>
      <c r="D64" s="17" t="inlineStr">
        <is>
          <t>NÓMINA</t>
        </is>
      </c>
      <c r="E64" s="17" t="inlineStr">
        <is>
          <t>TRANSFERENCIA</t>
        </is>
      </c>
      <c r="F64" s="30" t="n"/>
      <c r="G64" s="30" t="n">
        <v>14000</v>
      </c>
      <c r="H64" s="34">
        <f>IF(AND(F64="",G64=""),"",$B$5+SUM($F$8:F64)-SUM($G$8:G64))</f>
        <v/>
      </c>
    </row>
    <row r="65">
      <c r="A65" s="32" t="n">
        <v>58</v>
      </c>
      <c r="B65" s="33" t="n">
        <v>46162</v>
      </c>
      <c r="C65" s="17" t="inlineStr">
        <is>
          <t>PAGO DE RENTA</t>
        </is>
      </c>
      <c r="D65" s="17" t="inlineStr">
        <is>
          <t>RENTA</t>
        </is>
      </c>
      <c r="E65" s="17" t="inlineStr">
        <is>
          <t>TRANSFERENCIA</t>
        </is>
      </c>
      <c r="F65" s="30" t="n"/>
      <c r="G65" s="30" t="n">
        <v>8500</v>
      </c>
      <c r="H65" s="34">
        <f>IF(AND(F65="",G65=""),"",$B$5+SUM($F$8:F65)-SUM($G$8:G65))</f>
        <v/>
      </c>
    </row>
    <row r="66">
      <c r="A66" s="32" t="n">
        <v>59</v>
      </c>
      <c r="B66" s="33" t="n">
        <v>46166</v>
      </c>
      <c r="C66" s="17" t="inlineStr">
        <is>
          <t>INSUMOS Y PAPELERÍA</t>
        </is>
      </c>
      <c r="D66" s="17" t="inlineStr">
        <is>
          <t>INSUMOS</t>
        </is>
      </c>
      <c r="E66" s="17" t="inlineStr">
        <is>
          <t>TARJETA</t>
        </is>
      </c>
      <c r="F66" s="30" t="n"/>
      <c r="G66" s="30" t="n">
        <v>2400</v>
      </c>
      <c r="H66" s="34">
        <f>IF(AND(F66="",G66=""),"",$B$5+SUM($F$8:F66)-SUM($G$8:G66))</f>
        <v/>
      </c>
    </row>
    <row r="67">
      <c r="A67" s="32" t="n">
        <v>60</v>
      </c>
      <c r="B67" s="33" t="n">
        <v>46169</v>
      </c>
      <c r="C67" s="17" t="inlineStr">
        <is>
          <t>PUBLICIDAD EN REDES</t>
        </is>
      </c>
      <c r="D67" s="17" t="inlineStr">
        <is>
          <t>PUBLICIDAD</t>
        </is>
      </c>
      <c r="E67" s="17" t="inlineStr">
        <is>
          <t>TARJETA</t>
        </is>
      </c>
      <c r="F67" s="30" t="n"/>
      <c r="G67" s="30" t="n">
        <v>2500</v>
      </c>
      <c r="H67" s="34">
        <f>IF(AND(F67="",G67=""),"",$B$5+SUM($F$8:F67)-SUM($G$8:G67))</f>
        <v/>
      </c>
    </row>
    <row r="68">
      <c r="A68" s="32" t="n">
        <v>61</v>
      </c>
      <c r="B68" s="33" t="n">
        <v>46178</v>
      </c>
      <c r="C68" s="17" t="inlineStr">
        <is>
          <t>VENTA MOSTRADOR</t>
        </is>
      </c>
      <c r="D68" s="17" t="inlineStr">
        <is>
          <t>VENTAS</t>
        </is>
      </c>
      <c r="E68" s="17" t="inlineStr">
        <is>
          <t>EFECTIVO</t>
        </is>
      </c>
      <c r="F68" s="30" t="n">
        <v>24200</v>
      </c>
      <c r="G68" s="30" t="n"/>
      <c r="H68" s="34">
        <f>IF(AND(F68="",G68=""),"",$B$5+SUM($F$8:F68)-SUM($G$8:G68))</f>
        <v/>
      </c>
    </row>
    <row r="69">
      <c r="A69" s="32" t="n">
        <v>62</v>
      </c>
      <c r="B69" s="33" t="n">
        <v>46185</v>
      </c>
      <c r="C69" s="17" t="inlineStr">
        <is>
          <t>SERVICIO DE CONSULTORÍA</t>
        </is>
      </c>
      <c r="D69" s="17" t="inlineStr">
        <is>
          <t>SERVICIOS</t>
        </is>
      </c>
      <c r="E69" s="17" t="inlineStr">
        <is>
          <t>TRANSFERENCIA</t>
        </is>
      </c>
      <c r="F69" s="30" t="n">
        <v>13400</v>
      </c>
      <c r="G69" s="30" t="n"/>
      <c r="H69" s="34">
        <f>IF(AND(F69="",G69=""),"",$B$5+SUM($F$8:F69)-SUM($G$8:G69))</f>
        <v/>
      </c>
    </row>
    <row r="70">
      <c r="A70" s="32" t="n">
        <v>63</v>
      </c>
      <c r="B70" s="33" t="n">
        <v>46188</v>
      </c>
      <c r="C70" s="17" t="inlineStr">
        <is>
          <t>NÓMINA QUINCENAL</t>
        </is>
      </c>
      <c r="D70" s="17" t="inlineStr">
        <is>
          <t>NÓMINA</t>
        </is>
      </c>
      <c r="E70" s="17" t="inlineStr">
        <is>
          <t>TRANSFERENCIA</t>
        </is>
      </c>
      <c r="F70" s="30" t="n"/>
      <c r="G70" s="30" t="n">
        <v>14100</v>
      </c>
      <c r="H70" s="34">
        <f>IF(AND(F70="",G70=""),"",$B$5+SUM($F$8:F70)-SUM($G$8:G70))</f>
        <v/>
      </c>
    </row>
    <row r="71">
      <c r="A71" s="32" t="n">
        <v>64</v>
      </c>
      <c r="B71" s="33" t="n">
        <v>46193</v>
      </c>
      <c r="C71" s="17" t="inlineStr">
        <is>
          <t>PAGO DE RENTA</t>
        </is>
      </c>
      <c r="D71" s="17" t="inlineStr">
        <is>
          <t>RENTA</t>
        </is>
      </c>
      <c r="E71" s="17" t="inlineStr">
        <is>
          <t>TRANSFERENCIA</t>
        </is>
      </c>
      <c r="F71" s="30" t="n"/>
      <c r="G71" s="30" t="n">
        <v>8500</v>
      </c>
      <c r="H71" s="34">
        <f>IF(AND(F71="",G71=""),"",$B$5+SUM($F$8:F71)-SUM($G$8:G71))</f>
        <v/>
      </c>
    </row>
    <row r="72">
      <c r="A72" s="32" t="n">
        <v>65</v>
      </c>
      <c r="B72" s="33" t="n">
        <v>46197</v>
      </c>
      <c r="C72" s="17" t="inlineStr">
        <is>
          <t>INSUMOS Y PAPELERÍA</t>
        </is>
      </c>
      <c r="D72" s="17" t="inlineStr">
        <is>
          <t>INSUMOS</t>
        </is>
      </c>
      <c r="E72" s="17" t="inlineStr">
        <is>
          <t>TARJETA</t>
        </is>
      </c>
      <c r="F72" s="30" t="n"/>
      <c r="G72" s="30" t="n">
        <v>2520</v>
      </c>
      <c r="H72" s="34">
        <f>IF(AND(F72="",G72=""),"",$B$5+SUM($F$8:F72)-SUM($G$8:G72))</f>
        <v/>
      </c>
    </row>
    <row r="73">
      <c r="A73" s="32" t="n">
        <v>66</v>
      </c>
      <c r="B73" s="33" t="n">
        <v>46200</v>
      </c>
      <c r="C73" s="17" t="inlineStr">
        <is>
          <t>PUBLICIDAD EN REDES</t>
        </is>
      </c>
      <c r="D73" s="17" t="inlineStr">
        <is>
          <t>PUBLICIDAD</t>
        </is>
      </c>
      <c r="E73" s="17" t="inlineStr">
        <is>
          <t>TARJETA</t>
        </is>
      </c>
      <c r="F73" s="30" t="n"/>
      <c r="G73" s="30" t="n">
        <v>2500</v>
      </c>
      <c r="H73" s="34">
        <f>IF(AND(F73="",G73=""),"",$B$5+SUM($F$8:F73)-SUM($G$8:G73))</f>
        <v/>
      </c>
    </row>
    <row r="74">
      <c r="A74" s="32" t="n">
        <v>67</v>
      </c>
      <c r="B74" s="33" t="n">
        <v>46208</v>
      </c>
      <c r="C74" s="17" t="inlineStr">
        <is>
          <t>VENTA MOSTRADOR</t>
        </is>
      </c>
      <c r="D74" s="17" t="inlineStr">
        <is>
          <t>VENTAS</t>
        </is>
      </c>
      <c r="E74" s="17" t="inlineStr">
        <is>
          <t>EFECTIVO</t>
        </is>
      </c>
      <c r="F74" s="30" t="n">
        <v>25900</v>
      </c>
      <c r="G74" s="30" t="n"/>
      <c r="H74" s="34">
        <f>IF(AND(F74="",G74=""),"",$B$5+SUM($F$8:F74)-SUM($G$8:G74))</f>
        <v/>
      </c>
    </row>
    <row r="75">
      <c r="A75" s="32" t="n">
        <v>68</v>
      </c>
      <c r="B75" s="33" t="n">
        <v>46215</v>
      </c>
      <c r="C75" s="17" t="inlineStr">
        <is>
          <t>SERVICIO DE CONSULTORÍA</t>
        </is>
      </c>
      <c r="D75" s="17" t="inlineStr">
        <is>
          <t>SERVICIOS</t>
        </is>
      </c>
      <c r="E75" s="17" t="inlineStr">
        <is>
          <t>TRANSFERENCIA</t>
        </is>
      </c>
      <c r="F75" s="30" t="n">
        <v>14300</v>
      </c>
      <c r="G75" s="30" t="n"/>
      <c r="H75" s="34">
        <f>IF(AND(F75="",G75=""),"",$B$5+SUM($F$8:F75)-SUM($G$8:G75))</f>
        <v/>
      </c>
    </row>
    <row r="76">
      <c r="A76" s="32" t="n">
        <v>69</v>
      </c>
      <c r="B76" s="33" t="n">
        <v>46218</v>
      </c>
      <c r="C76" s="17" t="inlineStr">
        <is>
          <t>NÓMINA QUINCENAL</t>
        </is>
      </c>
      <c r="D76" s="17" t="inlineStr">
        <is>
          <t>NÓMINA</t>
        </is>
      </c>
      <c r="E76" s="17" t="inlineStr">
        <is>
          <t>TRANSFERENCIA</t>
        </is>
      </c>
      <c r="F76" s="30" t="n"/>
      <c r="G76" s="30" t="n">
        <v>14200</v>
      </c>
      <c r="H76" s="34">
        <f>IF(AND(F76="",G76=""),"",$B$5+SUM($F$8:F76)-SUM($G$8:G76))</f>
        <v/>
      </c>
    </row>
    <row r="77">
      <c r="A77" s="32" t="n">
        <v>70</v>
      </c>
      <c r="B77" s="33" t="n">
        <v>46223</v>
      </c>
      <c r="C77" s="17" t="inlineStr">
        <is>
          <t>PAGO DE RENTA</t>
        </is>
      </c>
      <c r="D77" s="17" t="inlineStr">
        <is>
          <t>RENTA</t>
        </is>
      </c>
      <c r="E77" s="17" t="inlineStr">
        <is>
          <t>TRANSFERENCIA</t>
        </is>
      </c>
      <c r="F77" s="30" t="n"/>
      <c r="G77" s="30" t="n">
        <v>8500</v>
      </c>
      <c r="H77" s="34">
        <f>IF(AND(F77="",G77=""),"",$B$5+SUM($F$8:F77)-SUM($G$8:G77))</f>
        <v/>
      </c>
    </row>
    <row r="78">
      <c r="A78" s="32" t="n">
        <v>71</v>
      </c>
      <c r="B78" s="33" t="n">
        <v>46227</v>
      </c>
      <c r="C78" s="17" t="inlineStr">
        <is>
          <t>INSUMOS Y PAPELERÍA</t>
        </is>
      </c>
      <c r="D78" s="17" t="inlineStr">
        <is>
          <t>INSUMOS</t>
        </is>
      </c>
      <c r="E78" s="17" t="inlineStr">
        <is>
          <t>TARJETA</t>
        </is>
      </c>
      <c r="F78" s="30" t="n"/>
      <c r="G78" s="30" t="n">
        <v>2640</v>
      </c>
      <c r="H78" s="34">
        <f>IF(AND(F78="",G78=""),"",$B$5+SUM($F$8:F78)-SUM($G$8:G78))</f>
        <v/>
      </c>
    </row>
    <row r="79">
      <c r="A79" s="32" t="n">
        <v>72</v>
      </c>
      <c r="B79" s="33" t="n">
        <v>46230</v>
      </c>
      <c r="C79" s="17" t="inlineStr">
        <is>
          <t>PUBLICIDAD EN REDES</t>
        </is>
      </c>
      <c r="D79" s="17" t="inlineStr">
        <is>
          <t>PUBLICIDAD</t>
        </is>
      </c>
      <c r="E79" s="17" t="inlineStr">
        <is>
          <t>TARJETA</t>
        </is>
      </c>
      <c r="F79" s="30" t="n"/>
      <c r="G79" s="30" t="n">
        <v>2500</v>
      </c>
      <c r="H79" s="34">
        <f>IF(AND(F79="",G79=""),"",$B$5+SUM($F$8:F79)-SUM($G$8:G79))</f>
        <v/>
      </c>
    </row>
    <row r="80">
      <c r="A80" s="32" t="n">
        <v>73</v>
      </c>
      <c r="B80" s="33" t="n">
        <v>46239</v>
      </c>
      <c r="C80" s="17" t="inlineStr">
        <is>
          <t>VENTA MOSTRADOR</t>
        </is>
      </c>
      <c r="D80" s="17" t="inlineStr">
        <is>
          <t>VENTAS</t>
        </is>
      </c>
      <c r="E80" s="17" t="inlineStr">
        <is>
          <t>EFECTIVO</t>
        </is>
      </c>
      <c r="F80" s="30" t="n">
        <v>27600</v>
      </c>
      <c r="G80" s="30" t="n"/>
      <c r="H80" s="34">
        <f>IF(AND(F80="",G80=""),"",$B$5+SUM($F$8:F80)-SUM($G$8:G80))</f>
        <v/>
      </c>
    </row>
    <row r="81">
      <c r="A81" s="32" t="n">
        <v>74</v>
      </c>
      <c r="B81" s="33" t="n">
        <v>46246</v>
      </c>
      <c r="C81" s="17" t="inlineStr">
        <is>
          <t>SERVICIO DE CONSULTORÍA</t>
        </is>
      </c>
      <c r="D81" s="17" t="inlineStr">
        <is>
          <t>SERVICIOS</t>
        </is>
      </c>
      <c r="E81" s="17" t="inlineStr">
        <is>
          <t>TRANSFERENCIA</t>
        </is>
      </c>
      <c r="F81" s="30" t="n">
        <v>15200</v>
      </c>
      <c r="G81" s="30" t="n"/>
      <c r="H81" s="34">
        <f>IF(AND(F81="",G81=""),"",$B$5+SUM($F$8:F81)-SUM($G$8:G81))</f>
        <v/>
      </c>
    </row>
    <row r="82">
      <c r="A82" s="32" t="n">
        <v>75</v>
      </c>
      <c r="B82" s="33" t="n">
        <v>46249</v>
      </c>
      <c r="C82" s="17" t="inlineStr">
        <is>
          <t>NÓMINA QUINCENAL</t>
        </is>
      </c>
      <c r="D82" s="17" t="inlineStr">
        <is>
          <t>NÓMINA</t>
        </is>
      </c>
      <c r="E82" s="17" t="inlineStr">
        <is>
          <t>TRANSFERENCIA</t>
        </is>
      </c>
      <c r="F82" s="30" t="n"/>
      <c r="G82" s="30" t="n">
        <v>14300</v>
      </c>
      <c r="H82" s="34">
        <f>IF(AND(F82="",G82=""),"",$B$5+SUM($F$8:F82)-SUM($G$8:G82))</f>
        <v/>
      </c>
    </row>
    <row r="83">
      <c r="A83" s="32" t="n">
        <v>76</v>
      </c>
      <c r="B83" s="33" t="n">
        <v>46254</v>
      </c>
      <c r="C83" s="17" t="inlineStr">
        <is>
          <t>PAGO DE RENTA</t>
        </is>
      </c>
      <c r="D83" s="17" t="inlineStr">
        <is>
          <t>RENTA</t>
        </is>
      </c>
      <c r="E83" s="17" t="inlineStr">
        <is>
          <t>TRANSFERENCIA</t>
        </is>
      </c>
      <c r="F83" s="30" t="n"/>
      <c r="G83" s="30" t="n">
        <v>8500</v>
      </c>
      <c r="H83" s="34">
        <f>IF(AND(F83="",G83=""),"",$B$5+SUM($F$8:F83)-SUM($G$8:G83))</f>
        <v/>
      </c>
    </row>
    <row r="84">
      <c r="A84" s="32" t="n">
        <v>77</v>
      </c>
      <c r="B84" s="33" t="n">
        <v>46258</v>
      </c>
      <c r="C84" s="17" t="inlineStr">
        <is>
          <t>INSUMOS Y PAPELERÍA</t>
        </is>
      </c>
      <c r="D84" s="17" t="inlineStr">
        <is>
          <t>INSUMOS</t>
        </is>
      </c>
      <c r="E84" s="17" t="inlineStr">
        <is>
          <t>TARJETA</t>
        </is>
      </c>
      <c r="F84" s="30" t="n"/>
      <c r="G84" s="30" t="n">
        <v>2760</v>
      </c>
      <c r="H84" s="34">
        <f>IF(AND(F84="",G84=""),"",$B$5+SUM($F$8:F84)-SUM($G$8:G84))</f>
        <v/>
      </c>
    </row>
    <row r="85">
      <c r="A85" s="32" t="n">
        <v>78</v>
      </c>
      <c r="B85" s="33" t="n">
        <v>46261</v>
      </c>
      <c r="C85" s="17" t="inlineStr">
        <is>
          <t>PUBLICIDAD EN REDES</t>
        </is>
      </c>
      <c r="D85" s="17" t="inlineStr">
        <is>
          <t>PUBLICIDAD</t>
        </is>
      </c>
      <c r="E85" s="17" t="inlineStr">
        <is>
          <t>TARJETA</t>
        </is>
      </c>
      <c r="F85" s="30" t="n"/>
      <c r="G85" s="30" t="n">
        <v>2500</v>
      </c>
      <c r="H85" s="34">
        <f>IF(AND(F85="",G85=""),"",$B$5+SUM($F$8:F85)-SUM($G$8:G85))</f>
        <v/>
      </c>
    </row>
    <row r="86">
      <c r="A86" s="32" t="n">
        <v>79</v>
      </c>
      <c r="B86" s="33" t="n"/>
      <c r="C86" s="17" t="n"/>
      <c r="D86" s="17" t="n"/>
      <c r="E86" s="17" t="n"/>
      <c r="F86" s="30" t="n"/>
      <c r="G86" s="30" t="n"/>
      <c r="H86" s="34">
        <f>IF(AND(F86="",G86=""),"",$B$5+SUM($F$8:F86)-SUM($G$8:G86))</f>
        <v/>
      </c>
    </row>
    <row r="87">
      <c r="A87" s="32" t="n">
        <v>80</v>
      </c>
      <c r="B87" s="33" t="n"/>
      <c r="C87" s="17" t="n"/>
      <c r="D87" s="17" t="n"/>
      <c r="E87" s="17" t="n"/>
      <c r="F87" s="30" t="n"/>
      <c r="G87" s="30" t="n"/>
      <c r="H87" s="34">
        <f>IF(AND(F87="",G87=""),"",$B$5+SUM($F$8:F87)-SUM($G$8:G87))</f>
        <v/>
      </c>
    </row>
    <row r="88">
      <c r="A88" s="32" t="n">
        <v>81</v>
      </c>
      <c r="B88" s="33" t="n"/>
      <c r="C88" s="17" t="n"/>
      <c r="D88" s="17" t="n"/>
      <c r="E88" s="17" t="n"/>
      <c r="F88" s="30" t="n"/>
      <c r="G88" s="30" t="n"/>
      <c r="H88" s="34">
        <f>IF(AND(F88="",G88=""),"",$B$5+SUM($F$8:F88)-SUM($G$8:G88))</f>
        <v/>
      </c>
    </row>
    <row r="89">
      <c r="A89" s="32" t="n">
        <v>82</v>
      </c>
      <c r="B89" s="33" t="n"/>
      <c r="C89" s="17" t="n"/>
      <c r="D89" s="17" t="n"/>
      <c r="E89" s="17" t="n"/>
      <c r="F89" s="30" t="n"/>
      <c r="G89" s="30" t="n"/>
      <c r="H89" s="34">
        <f>IF(AND(F89="",G89=""),"",$B$5+SUM($F$8:F89)-SUM($G$8:G89))</f>
        <v/>
      </c>
    </row>
    <row r="90">
      <c r="A90" s="32" t="n">
        <v>83</v>
      </c>
      <c r="B90" s="33" t="n"/>
      <c r="C90" s="17" t="n"/>
      <c r="D90" s="17" t="n"/>
      <c r="E90" s="17" t="n"/>
      <c r="F90" s="30" t="n"/>
      <c r="G90" s="30" t="n"/>
      <c r="H90" s="34">
        <f>IF(AND(F90="",G90=""),"",$B$5+SUM($F$8:F90)-SUM($G$8:G90))</f>
        <v/>
      </c>
    </row>
    <row r="91">
      <c r="A91" s="32" t="n">
        <v>84</v>
      </c>
      <c r="B91" s="33" t="n"/>
      <c r="C91" s="17" t="n"/>
      <c r="D91" s="17" t="n"/>
      <c r="E91" s="17" t="n"/>
      <c r="F91" s="30" t="n"/>
      <c r="G91" s="30" t="n"/>
      <c r="H91" s="34">
        <f>IF(AND(F91="",G91=""),"",$B$5+SUM($F$8:F91)-SUM($G$8:G91))</f>
        <v/>
      </c>
    </row>
    <row r="92">
      <c r="A92" s="32" t="n">
        <v>85</v>
      </c>
      <c r="B92" s="33" t="n"/>
      <c r="C92" s="17" t="n"/>
      <c r="D92" s="17" t="n"/>
      <c r="E92" s="17" t="n"/>
      <c r="F92" s="30" t="n"/>
      <c r="G92" s="30" t="n"/>
      <c r="H92" s="34">
        <f>IF(AND(F92="",G92=""),"",$B$5+SUM($F$8:F92)-SUM($G$8:G92))</f>
        <v/>
      </c>
    </row>
    <row r="93">
      <c r="A93" s="32" t="n">
        <v>86</v>
      </c>
      <c r="B93" s="33" t="n"/>
      <c r="C93" s="17" t="n"/>
      <c r="D93" s="17" t="n"/>
      <c r="E93" s="17" t="n"/>
      <c r="F93" s="30" t="n"/>
      <c r="G93" s="30" t="n"/>
      <c r="H93" s="34">
        <f>IF(AND(F93="",G93=""),"",$B$5+SUM($F$8:F93)-SUM($G$8:G93))</f>
        <v/>
      </c>
    </row>
    <row r="94">
      <c r="A94" s="32" t="n">
        <v>87</v>
      </c>
      <c r="B94" s="33" t="n"/>
      <c r="C94" s="17" t="n"/>
      <c r="D94" s="17" t="n"/>
      <c r="E94" s="17" t="n"/>
      <c r="F94" s="30" t="n"/>
      <c r="G94" s="30" t="n"/>
      <c r="H94" s="34">
        <f>IF(AND(F94="",G94=""),"",$B$5+SUM($F$8:F94)-SUM($G$8:G94))</f>
        <v/>
      </c>
    </row>
    <row r="95">
      <c r="A95" s="32" t="n">
        <v>88</v>
      </c>
      <c r="B95" s="33" t="n"/>
      <c r="C95" s="17" t="n"/>
      <c r="D95" s="17" t="n"/>
      <c r="E95" s="17" t="n"/>
      <c r="F95" s="30" t="n"/>
      <c r="G95" s="30" t="n"/>
      <c r="H95" s="34">
        <f>IF(AND(F95="",G95=""),"",$B$5+SUM($F$8:F95)-SUM($G$8:G95))</f>
        <v/>
      </c>
    </row>
    <row r="96">
      <c r="A96" s="32" t="n">
        <v>89</v>
      </c>
      <c r="B96" s="33" t="n"/>
      <c r="C96" s="17" t="n"/>
      <c r="D96" s="17" t="n"/>
      <c r="E96" s="17" t="n"/>
      <c r="F96" s="30" t="n"/>
      <c r="G96" s="30" t="n"/>
      <c r="H96" s="34">
        <f>IF(AND(F96="",G96=""),"",$B$5+SUM($F$8:F96)-SUM($G$8:G96))</f>
        <v/>
      </c>
    </row>
    <row r="97">
      <c r="A97" s="32" t="n">
        <v>90</v>
      </c>
      <c r="B97" s="33" t="n"/>
      <c r="C97" s="17" t="n"/>
      <c r="D97" s="17" t="n"/>
      <c r="E97" s="17" t="n"/>
      <c r="F97" s="30" t="n"/>
      <c r="G97" s="30" t="n"/>
      <c r="H97" s="34">
        <f>IF(AND(F97="",G97=""),"",$B$5+SUM($F$8:F97)-SUM($G$8:G97))</f>
        <v/>
      </c>
    </row>
    <row r="98">
      <c r="A98" s="32" t="n">
        <v>91</v>
      </c>
      <c r="B98" s="33" t="n"/>
      <c r="C98" s="17" t="n"/>
      <c r="D98" s="17" t="n"/>
      <c r="E98" s="17" t="n"/>
      <c r="F98" s="30" t="n"/>
      <c r="G98" s="30" t="n"/>
      <c r="H98" s="34">
        <f>IF(AND(F98="",G98=""),"",$B$5+SUM($F$8:F98)-SUM($G$8:G98))</f>
        <v/>
      </c>
    </row>
    <row r="99">
      <c r="A99" s="32" t="n">
        <v>92</v>
      </c>
      <c r="B99" s="33" t="n"/>
      <c r="C99" s="17" t="n"/>
      <c r="D99" s="17" t="n"/>
      <c r="E99" s="17" t="n"/>
      <c r="F99" s="30" t="n"/>
      <c r="G99" s="30" t="n"/>
      <c r="H99" s="34">
        <f>IF(AND(F99="",G99=""),"",$B$5+SUM($F$8:F99)-SUM($G$8:G99))</f>
        <v/>
      </c>
    </row>
    <row r="100">
      <c r="A100" s="32" t="n">
        <v>93</v>
      </c>
      <c r="B100" s="33" t="n"/>
      <c r="C100" s="17" t="n"/>
      <c r="D100" s="17" t="n"/>
      <c r="E100" s="17" t="n"/>
      <c r="F100" s="30" t="n"/>
      <c r="G100" s="30" t="n"/>
      <c r="H100" s="34">
        <f>IF(AND(F100="",G100=""),"",$B$5+SUM($F$8:F100)-SUM($G$8:G100))</f>
        <v/>
      </c>
    </row>
    <row r="101">
      <c r="A101" s="32" t="n">
        <v>94</v>
      </c>
      <c r="B101" s="33" t="n"/>
      <c r="C101" s="17" t="n"/>
      <c r="D101" s="17" t="n"/>
      <c r="E101" s="17" t="n"/>
      <c r="F101" s="30" t="n"/>
      <c r="G101" s="30" t="n"/>
      <c r="H101" s="34">
        <f>IF(AND(F101="",G101=""),"",$B$5+SUM($F$8:F101)-SUM($G$8:G101))</f>
        <v/>
      </c>
    </row>
    <row r="102">
      <c r="A102" s="32" t="n">
        <v>95</v>
      </c>
      <c r="B102" s="33" t="n"/>
      <c r="C102" s="17" t="n"/>
      <c r="D102" s="17" t="n"/>
      <c r="E102" s="17" t="n"/>
      <c r="F102" s="30" t="n"/>
      <c r="G102" s="30" t="n"/>
      <c r="H102" s="34">
        <f>IF(AND(F102="",G102=""),"",$B$5+SUM($F$8:F102)-SUM($G$8:G102))</f>
        <v/>
      </c>
    </row>
    <row r="103">
      <c r="A103" s="32" t="n">
        <v>96</v>
      </c>
      <c r="B103" s="33" t="n"/>
      <c r="C103" s="17" t="n"/>
      <c r="D103" s="17" t="n"/>
      <c r="E103" s="17" t="n"/>
      <c r="F103" s="30" t="n"/>
      <c r="G103" s="30" t="n"/>
      <c r="H103" s="34">
        <f>IF(AND(F103="",G103=""),"",$B$5+SUM($F$8:F103)-SUM($G$8:G103))</f>
        <v/>
      </c>
    </row>
    <row r="104">
      <c r="A104" s="32" t="n">
        <v>97</v>
      </c>
      <c r="B104" s="33" t="n"/>
      <c r="C104" s="17" t="n"/>
      <c r="D104" s="17" t="n"/>
      <c r="E104" s="17" t="n"/>
      <c r="F104" s="30" t="n"/>
      <c r="G104" s="30" t="n"/>
      <c r="H104" s="34">
        <f>IF(AND(F104="",G104=""),"",$B$5+SUM($F$8:F104)-SUM($G$8:G104))</f>
        <v/>
      </c>
    </row>
    <row r="105">
      <c r="A105" s="32" t="n">
        <v>98</v>
      </c>
      <c r="B105" s="33" t="n"/>
      <c r="C105" s="17" t="n"/>
      <c r="D105" s="17" t="n"/>
      <c r="E105" s="17" t="n"/>
      <c r="F105" s="30" t="n"/>
      <c r="G105" s="30" t="n"/>
      <c r="H105" s="34">
        <f>IF(AND(F105="",G105=""),"",$B$5+SUM($F$8:F105)-SUM($G$8:G105))</f>
        <v/>
      </c>
    </row>
    <row r="106">
      <c r="A106" s="32" t="n">
        <v>99</v>
      </c>
      <c r="B106" s="33" t="n"/>
      <c r="C106" s="17" t="n"/>
      <c r="D106" s="17" t="n"/>
      <c r="E106" s="17" t="n"/>
      <c r="F106" s="30" t="n"/>
      <c r="G106" s="30" t="n"/>
      <c r="H106" s="34">
        <f>IF(AND(F106="",G106=""),"",$B$5+SUM($F$8:F106)-SUM($G$8:G106))</f>
        <v/>
      </c>
    </row>
    <row r="107">
      <c r="A107" s="32" t="n">
        <v>100</v>
      </c>
      <c r="B107" s="33" t="n"/>
      <c r="C107" s="17" t="n"/>
      <c r="D107" s="17" t="n"/>
      <c r="E107" s="17" t="n"/>
      <c r="F107" s="30" t="n"/>
      <c r="G107" s="30" t="n"/>
      <c r="H107" s="34">
        <f>IF(AND(F107="",G107=""),"",$B$5+SUM($F$8:F107)-SUM($G$8:G107))</f>
        <v/>
      </c>
    </row>
    <row r="108">
      <c r="A108" s="32" t="n">
        <v>101</v>
      </c>
      <c r="B108" s="33" t="n"/>
      <c r="C108" s="17" t="n"/>
      <c r="D108" s="17" t="n"/>
      <c r="E108" s="17" t="n"/>
      <c r="F108" s="30" t="n"/>
      <c r="G108" s="30" t="n"/>
      <c r="H108" s="34">
        <f>IF(AND(F108="",G108=""),"",$B$5+SUM($F$8:F108)-SUM($G$8:G108))</f>
        <v/>
      </c>
    </row>
    <row r="109">
      <c r="A109" s="32" t="n">
        <v>102</v>
      </c>
      <c r="B109" s="33" t="n"/>
      <c r="C109" s="17" t="n"/>
      <c r="D109" s="17" t="n"/>
      <c r="E109" s="17" t="n"/>
      <c r="F109" s="30" t="n"/>
      <c r="G109" s="30" t="n"/>
      <c r="H109" s="34">
        <f>IF(AND(F109="",G109=""),"",$B$5+SUM($F$8:F109)-SUM($G$8:G109))</f>
        <v/>
      </c>
    </row>
    <row r="110">
      <c r="A110" s="32" t="n">
        <v>103</v>
      </c>
      <c r="B110" s="33" t="n"/>
      <c r="C110" s="17" t="n"/>
      <c r="D110" s="17" t="n"/>
      <c r="E110" s="17" t="n"/>
      <c r="F110" s="30" t="n"/>
      <c r="G110" s="30" t="n"/>
      <c r="H110" s="34">
        <f>IF(AND(F110="",G110=""),"",$B$5+SUM($F$8:F110)-SUM($G$8:G110))</f>
        <v/>
      </c>
    </row>
    <row r="111">
      <c r="A111" s="32" t="n">
        <v>104</v>
      </c>
      <c r="B111" s="33" t="n"/>
      <c r="C111" s="17" t="n"/>
      <c r="D111" s="17" t="n"/>
      <c r="E111" s="17" t="n"/>
      <c r="F111" s="30" t="n"/>
      <c r="G111" s="30" t="n"/>
      <c r="H111" s="34">
        <f>IF(AND(F111="",G111=""),"",$B$5+SUM($F$8:F111)-SUM($G$8:G111))</f>
        <v/>
      </c>
    </row>
    <row r="112">
      <c r="A112" s="32" t="n">
        <v>105</v>
      </c>
      <c r="B112" s="33" t="n"/>
      <c r="C112" s="17" t="n"/>
      <c r="D112" s="17" t="n"/>
      <c r="E112" s="17" t="n"/>
      <c r="F112" s="30" t="n"/>
      <c r="G112" s="30" t="n"/>
      <c r="H112" s="34">
        <f>IF(AND(F112="",G112=""),"",$B$5+SUM($F$8:F112)-SUM($G$8:G112))</f>
        <v/>
      </c>
    </row>
    <row r="113">
      <c r="A113" s="32" t="n">
        <v>106</v>
      </c>
      <c r="B113" s="33" t="n"/>
      <c r="C113" s="17" t="n"/>
      <c r="D113" s="17" t="n"/>
      <c r="E113" s="17" t="n"/>
      <c r="F113" s="30" t="n"/>
      <c r="G113" s="30" t="n"/>
      <c r="H113" s="34">
        <f>IF(AND(F113="",G113=""),"",$B$5+SUM($F$8:F113)-SUM($G$8:G113))</f>
        <v/>
      </c>
    </row>
    <row r="114">
      <c r="A114" s="32" t="n">
        <v>107</v>
      </c>
      <c r="B114" s="33" t="n"/>
      <c r="C114" s="17" t="n"/>
      <c r="D114" s="17" t="n"/>
      <c r="E114" s="17" t="n"/>
      <c r="F114" s="30" t="n"/>
      <c r="G114" s="30" t="n"/>
      <c r="H114" s="34">
        <f>IF(AND(F114="",G114=""),"",$B$5+SUM($F$8:F114)-SUM($G$8:G114))</f>
        <v/>
      </c>
    </row>
    <row r="115">
      <c r="A115" s="32" t="n">
        <v>108</v>
      </c>
      <c r="B115" s="33" t="n"/>
      <c r="C115" s="17" t="n"/>
      <c r="D115" s="17" t="n"/>
      <c r="E115" s="17" t="n"/>
      <c r="F115" s="30" t="n"/>
      <c r="G115" s="30" t="n"/>
      <c r="H115" s="34">
        <f>IF(AND(F115="",G115=""),"",$B$5+SUM($F$8:F115)-SUM($G$8:G115))</f>
        <v/>
      </c>
    </row>
    <row r="116">
      <c r="A116" s="32" t="n">
        <v>109</v>
      </c>
      <c r="B116" s="33" t="n"/>
      <c r="C116" s="17" t="n"/>
      <c r="D116" s="17" t="n"/>
      <c r="E116" s="17" t="n"/>
      <c r="F116" s="30" t="n"/>
      <c r="G116" s="30" t="n"/>
      <c r="H116" s="34">
        <f>IF(AND(F116="",G116=""),"",$B$5+SUM($F$8:F116)-SUM($G$8:G116))</f>
        <v/>
      </c>
    </row>
    <row r="117">
      <c r="A117" s="32" t="n">
        <v>110</v>
      </c>
      <c r="B117" s="33" t="n"/>
      <c r="C117" s="17" t="n"/>
      <c r="D117" s="17" t="n"/>
      <c r="E117" s="17" t="n"/>
      <c r="F117" s="30" t="n"/>
      <c r="G117" s="30" t="n"/>
      <c r="H117" s="34">
        <f>IF(AND(F117="",G117=""),"",$B$5+SUM($F$8:F117)-SUM($G$8:G117))</f>
        <v/>
      </c>
    </row>
    <row r="118">
      <c r="A118" s="32" t="n">
        <v>111</v>
      </c>
      <c r="B118" s="33" t="n"/>
      <c r="C118" s="17" t="n"/>
      <c r="D118" s="17" t="n"/>
      <c r="E118" s="17" t="n"/>
      <c r="F118" s="30" t="n"/>
      <c r="G118" s="30" t="n"/>
      <c r="H118" s="34">
        <f>IF(AND(F118="",G118=""),"",$B$5+SUM($F$8:F118)-SUM($G$8:G118))</f>
        <v/>
      </c>
    </row>
    <row r="119">
      <c r="A119" s="32" t="n">
        <v>112</v>
      </c>
      <c r="B119" s="33" t="n"/>
      <c r="C119" s="17" t="n"/>
      <c r="D119" s="17" t="n"/>
      <c r="E119" s="17" t="n"/>
      <c r="F119" s="30" t="n"/>
      <c r="G119" s="30" t="n"/>
      <c r="H119" s="34">
        <f>IF(AND(F119="",G119=""),"",$B$5+SUM($F$8:F119)-SUM($G$8:G119))</f>
        <v/>
      </c>
    </row>
    <row r="120">
      <c r="A120" s="32" t="n">
        <v>113</v>
      </c>
      <c r="B120" s="33" t="n"/>
      <c r="C120" s="17" t="n"/>
      <c r="D120" s="17" t="n"/>
      <c r="E120" s="17" t="n"/>
      <c r="F120" s="30" t="n"/>
      <c r="G120" s="30" t="n"/>
      <c r="H120" s="34">
        <f>IF(AND(F120="",G120=""),"",$B$5+SUM($F$8:F120)-SUM($G$8:G120))</f>
        <v/>
      </c>
    </row>
    <row r="121">
      <c r="A121" s="32" t="n">
        <v>114</v>
      </c>
      <c r="B121" s="33" t="n"/>
      <c r="C121" s="17" t="n"/>
      <c r="D121" s="17" t="n"/>
      <c r="E121" s="17" t="n"/>
      <c r="F121" s="30" t="n"/>
      <c r="G121" s="30" t="n"/>
      <c r="H121" s="34">
        <f>IF(AND(F121="",G121=""),"",$B$5+SUM($F$8:F121)-SUM($G$8:G121))</f>
        <v/>
      </c>
    </row>
    <row r="122">
      <c r="A122" s="32" t="n">
        <v>115</v>
      </c>
      <c r="B122" s="33" t="n"/>
      <c r="C122" s="17" t="n"/>
      <c r="D122" s="17" t="n"/>
      <c r="E122" s="17" t="n"/>
      <c r="F122" s="30" t="n"/>
      <c r="G122" s="30" t="n"/>
      <c r="H122" s="34">
        <f>IF(AND(F122="",G122=""),"",$B$5+SUM($F$8:F122)-SUM($G$8:G122))</f>
        <v/>
      </c>
    </row>
    <row r="123">
      <c r="A123" s="32" t="n">
        <v>116</v>
      </c>
      <c r="B123" s="33" t="n"/>
      <c r="C123" s="17" t="n"/>
      <c r="D123" s="17" t="n"/>
      <c r="E123" s="17" t="n"/>
      <c r="F123" s="30" t="n"/>
      <c r="G123" s="30" t="n"/>
      <c r="H123" s="34">
        <f>IF(AND(F123="",G123=""),"",$B$5+SUM($F$8:F123)-SUM($G$8:G123))</f>
        <v/>
      </c>
    </row>
    <row r="124">
      <c r="A124" s="32" t="n">
        <v>117</v>
      </c>
      <c r="B124" s="33" t="n"/>
      <c r="C124" s="17" t="n"/>
      <c r="D124" s="17" t="n"/>
      <c r="E124" s="17" t="n"/>
      <c r="F124" s="30" t="n"/>
      <c r="G124" s="30" t="n"/>
      <c r="H124" s="34">
        <f>IF(AND(F124="",G124=""),"",$B$5+SUM($F$8:F124)-SUM($G$8:G124))</f>
        <v/>
      </c>
    </row>
    <row r="125">
      <c r="A125" s="32" t="n">
        <v>118</v>
      </c>
      <c r="B125" s="33" t="n"/>
      <c r="C125" s="17" t="n"/>
      <c r="D125" s="17" t="n"/>
      <c r="E125" s="17" t="n"/>
      <c r="F125" s="30" t="n"/>
      <c r="G125" s="30" t="n"/>
      <c r="H125" s="34">
        <f>IF(AND(F125="",G125=""),"",$B$5+SUM($F$8:F125)-SUM($G$8:G125))</f>
        <v/>
      </c>
    </row>
    <row r="126">
      <c r="A126" s="32" t="n">
        <v>119</v>
      </c>
      <c r="B126" s="33" t="n"/>
      <c r="C126" s="17" t="n"/>
      <c r="D126" s="17" t="n"/>
      <c r="E126" s="17" t="n"/>
      <c r="F126" s="30" t="n"/>
      <c r="G126" s="30" t="n"/>
      <c r="H126" s="34">
        <f>IF(AND(F126="",G126=""),"",$B$5+SUM($F$8:F126)-SUM($G$8:G126))</f>
        <v/>
      </c>
    </row>
    <row r="127">
      <c r="A127" s="32" t="n">
        <v>120</v>
      </c>
      <c r="B127" s="33" t="n"/>
      <c r="C127" s="17" t="n"/>
      <c r="D127" s="17" t="n"/>
      <c r="E127" s="17" t="n"/>
      <c r="F127" s="30" t="n"/>
      <c r="G127" s="30" t="n"/>
      <c r="H127" s="34">
        <f>IF(AND(F127="",G127=""),"",$B$5+SUM($F$8:F127)-SUM($G$8:G127))</f>
        <v/>
      </c>
    </row>
    <row r="128">
      <c r="A128" s="32" t="n">
        <v>121</v>
      </c>
      <c r="B128" s="33" t="n"/>
      <c r="C128" s="17" t="n"/>
      <c r="D128" s="17" t="n"/>
      <c r="E128" s="17" t="n"/>
      <c r="F128" s="30" t="n"/>
      <c r="G128" s="30" t="n"/>
      <c r="H128" s="34">
        <f>IF(AND(F128="",G128=""),"",$B$5+SUM($F$8:F128)-SUM($G$8:G128))</f>
        <v/>
      </c>
    </row>
    <row r="129">
      <c r="A129" s="32" t="n">
        <v>122</v>
      </c>
      <c r="B129" s="33" t="n"/>
      <c r="C129" s="17" t="n"/>
      <c r="D129" s="17" t="n"/>
      <c r="E129" s="17" t="n"/>
      <c r="F129" s="30" t="n"/>
      <c r="G129" s="30" t="n"/>
      <c r="H129" s="34">
        <f>IF(AND(F129="",G129=""),"",$B$5+SUM($F$8:F129)-SUM($G$8:G129))</f>
        <v/>
      </c>
    </row>
    <row r="130">
      <c r="A130" s="32" t="n">
        <v>123</v>
      </c>
      <c r="B130" s="33" t="n"/>
      <c r="C130" s="17" t="n"/>
      <c r="D130" s="17" t="n"/>
      <c r="E130" s="17" t="n"/>
      <c r="F130" s="30" t="n"/>
      <c r="G130" s="30" t="n"/>
      <c r="H130" s="34">
        <f>IF(AND(F130="",G130=""),"",$B$5+SUM($F$8:F130)-SUM($G$8:G130))</f>
        <v/>
      </c>
    </row>
    <row r="131">
      <c r="A131" s="32" t="n">
        <v>124</v>
      </c>
      <c r="B131" s="33" t="n"/>
      <c r="C131" s="17" t="n"/>
      <c r="D131" s="17" t="n"/>
      <c r="E131" s="17" t="n"/>
      <c r="F131" s="30" t="n"/>
      <c r="G131" s="30" t="n"/>
      <c r="H131" s="34">
        <f>IF(AND(F131="",G131=""),"",$B$5+SUM($F$8:F131)-SUM($G$8:G131))</f>
        <v/>
      </c>
    </row>
    <row r="132">
      <c r="A132" s="32" t="n">
        <v>125</v>
      </c>
      <c r="B132" s="33" t="n"/>
      <c r="C132" s="17" t="n"/>
      <c r="D132" s="17" t="n"/>
      <c r="E132" s="17" t="n"/>
      <c r="F132" s="30" t="n"/>
      <c r="G132" s="30" t="n"/>
      <c r="H132" s="34">
        <f>IF(AND(F132="",G132=""),"",$B$5+SUM($F$8:F132)-SUM($G$8:G132))</f>
        <v/>
      </c>
    </row>
    <row r="133">
      <c r="A133" s="32" t="n">
        <v>126</v>
      </c>
      <c r="B133" s="33" t="n"/>
      <c r="C133" s="17" t="n"/>
      <c r="D133" s="17" t="n"/>
      <c r="E133" s="17" t="n"/>
      <c r="F133" s="30" t="n"/>
      <c r="G133" s="30" t="n"/>
      <c r="H133" s="34">
        <f>IF(AND(F133="",G133=""),"",$B$5+SUM($F$8:F133)-SUM($G$8:G133))</f>
        <v/>
      </c>
    </row>
    <row r="134">
      <c r="A134" s="32" t="n">
        <v>127</v>
      </c>
      <c r="B134" s="33" t="n"/>
      <c r="C134" s="17" t="n"/>
      <c r="D134" s="17" t="n"/>
      <c r="E134" s="17" t="n"/>
      <c r="F134" s="30" t="n"/>
      <c r="G134" s="30" t="n"/>
      <c r="H134" s="34">
        <f>IF(AND(F134="",G134=""),"",$B$5+SUM($F$8:F134)-SUM($G$8:G134))</f>
        <v/>
      </c>
    </row>
    <row r="135">
      <c r="A135" s="32" t="n">
        <v>128</v>
      </c>
      <c r="B135" s="33" t="n"/>
      <c r="C135" s="17" t="n"/>
      <c r="D135" s="17" t="n"/>
      <c r="E135" s="17" t="n"/>
      <c r="F135" s="30" t="n"/>
      <c r="G135" s="30" t="n"/>
      <c r="H135" s="34">
        <f>IF(AND(F135="",G135=""),"",$B$5+SUM($F$8:F135)-SUM($G$8:G135))</f>
        <v/>
      </c>
    </row>
    <row r="136">
      <c r="A136" s="32" t="n">
        <v>129</v>
      </c>
      <c r="B136" s="33" t="n"/>
      <c r="C136" s="17" t="n"/>
      <c r="D136" s="17" t="n"/>
      <c r="E136" s="17" t="n"/>
      <c r="F136" s="30" t="n"/>
      <c r="G136" s="30" t="n"/>
      <c r="H136" s="34">
        <f>IF(AND(F136="",G136=""),"",$B$5+SUM($F$8:F136)-SUM($G$8:G136))</f>
        <v/>
      </c>
    </row>
    <row r="137">
      <c r="A137" s="32" t="n">
        <v>130</v>
      </c>
      <c r="B137" s="33" t="n"/>
      <c r="C137" s="17" t="n"/>
      <c r="D137" s="17" t="n"/>
      <c r="E137" s="17" t="n"/>
      <c r="F137" s="30" t="n"/>
      <c r="G137" s="30" t="n"/>
      <c r="H137" s="34">
        <f>IF(AND(F137="",G137=""),"",$B$5+SUM($F$8:F137)-SUM($G$8:G137))</f>
        <v/>
      </c>
    </row>
    <row r="138">
      <c r="A138" s="32" t="n">
        <v>131</v>
      </c>
      <c r="B138" s="33" t="n"/>
      <c r="C138" s="17" t="n"/>
      <c r="D138" s="17" t="n"/>
      <c r="E138" s="17" t="n"/>
      <c r="F138" s="30" t="n"/>
      <c r="G138" s="30" t="n"/>
      <c r="H138" s="34">
        <f>IF(AND(F138="",G138=""),"",$B$5+SUM($F$8:F138)-SUM($G$8:G138))</f>
        <v/>
      </c>
    </row>
    <row r="139">
      <c r="A139" s="32" t="n">
        <v>132</v>
      </c>
      <c r="B139" s="33" t="n"/>
      <c r="C139" s="17" t="n"/>
      <c r="D139" s="17" t="n"/>
      <c r="E139" s="17" t="n"/>
      <c r="F139" s="30" t="n"/>
      <c r="G139" s="30" t="n"/>
      <c r="H139" s="34">
        <f>IF(AND(F139="",G139=""),"",$B$5+SUM($F$8:F139)-SUM($G$8:G139))</f>
        <v/>
      </c>
    </row>
    <row r="140">
      <c r="A140" s="32" t="n">
        <v>133</v>
      </c>
      <c r="B140" s="33" t="n"/>
      <c r="C140" s="17" t="n"/>
      <c r="D140" s="17" t="n"/>
      <c r="E140" s="17" t="n"/>
      <c r="F140" s="30" t="n"/>
      <c r="G140" s="30" t="n"/>
      <c r="H140" s="34">
        <f>IF(AND(F140="",G140=""),"",$B$5+SUM($F$8:F140)-SUM($G$8:G140))</f>
        <v/>
      </c>
    </row>
    <row r="141">
      <c r="A141" s="32" t="n">
        <v>134</v>
      </c>
      <c r="B141" s="33" t="n"/>
      <c r="C141" s="17" t="n"/>
      <c r="D141" s="17" t="n"/>
      <c r="E141" s="17" t="n"/>
      <c r="F141" s="30" t="n"/>
      <c r="G141" s="30" t="n"/>
      <c r="H141" s="34">
        <f>IF(AND(F141="",G141=""),"",$B$5+SUM($F$8:F141)-SUM($G$8:G141))</f>
        <v/>
      </c>
    </row>
    <row r="142">
      <c r="A142" s="32" t="n">
        <v>135</v>
      </c>
      <c r="B142" s="33" t="n"/>
      <c r="C142" s="17" t="n"/>
      <c r="D142" s="17" t="n"/>
      <c r="E142" s="17" t="n"/>
      <c r="F142" s="30" t="n"/>
      <c r="G142" s="30" t="n"/>
      <c r="H142" s="34">
        <f>IF(AND(F142="",G142=""),"",$B$5+SUM($F$8:F142)-SUM($G$8:G142))</f>
        <v/>
      </c>
    </row>
    <row r="143">
      <c r="A143" s="32" t="n">
        <v>136</v>
      </c>
      <c r="B143" s="33" t="n"/>
      <c r="C143" s="17" t="n"/>
      <c r="D143" s="17" t="n"/>
      <c r="E143" s="17" t="n"/>
      <c r="F143" s="30" t="n"/>
      <c r="G143" s="30" t="n"/>
      <c r="H143" s="34">
        <f>IF(AND(F143="",G143=""),"",$B$5+SUM($F$8:F143)-SUM($G$8:G143))</f>
        <v/>
      </c>
    </row>
    <row r="144">
      <c r="A144" s="32" t="n">
        <v>137</v>
      </c>
      <c r="B144" s="33" t="n"/>
      <c r="C144" s="17" t="n"/>
      <c r="D144" s="17" t="n"/>
      <c r="E144" s="17" t="n"/>
      <c r="F144" s="30" t="n"/>
      <c r="G144" s="30" t="n"/>
      <c r="H144" s="34">
        <f>IF(AND(F144="",G144=""),"",$B$5+SUM($F$8:F144)-SUM($G$8:G144))</f>
        <v/>
      </c>
    </row>
    <row r="145">
      <c r="A145" s="32" t="n">
        <v>138</v>
      </c>
      <c r="B145" s="33" t="n"/>
      <c r="C145" s="17" t="n"/>
      <c r="D145" s="17" t="n"/>
      <c r="E145" s="17" t="n"/>
      <c r="F145" s="30" t="n"/>
      <c r="G145" s="30" t="n"/>
      <c r="H145" s="34">
        <f>IF(AND(F145="",G145=""),"",$B$5+SUM($F$8:F145)-SUM($G$8:G145))</f>
        <v/>
      </c>
    </row>
    <row r="146">
      <c r="A146" s="32" t="n">
        <v>139</v>
      </c>
      <c r="B146" s="33" t="n"/>
      <c r="C146" s="17" t="n"/>
      <c r="D146" s="17" t="n"/>
      <c r="E146" s="17" t="n"/>
      <c r="F146" s="30" t="n"/>
      <c r="G146" s="30" t="n"/>
      <c r="H146" s="34">
        <f>IF(AND(F146="",G146=""),"",$B$5+SUM($F$8:F146)-SUM($G$8:G146))</f>
        <v/>
      </c>
    </row>
    <row r="147">
      <c r="A147" s="32" t="n">
        <v>140</v>
      </c>
      <c r="B147" s="33" t="n"/>
      <c r="C147" s="17" t="n"/>
      <c r="D147" s="17" t="n"/>
      <c r="E147" s="17" t="n"/>
      <c r="F147" s="30" t="n"/>
      <c r="G147" s="30" t="n"/>
      <c r="H147" s="34">
        <f>IF(AND(F147="",G147=""),"",$B$5+SUM($F$8:F147)-SUM($G$8:G147))</f>
        <v/>
      </c>
    </row>
    <row r="148">
      <c r="A148" s="32" t="n">
        <v>141</v>
      </c>
      <c r="B148" s="33" t="n"/>
      <c r="C148" s="17" t="n"/>
      <c r="D148" s="17" t="n"/>
      <c r="E148" s="17" t="n"/>
      <c r="F148" s="30" t="n"/>
      <c r="G148" s="30" t="n"/>
      <c r="H148" s="34">
        <f>IF(AND(F148="",G148=""),"",$B$5+SUM($F$8:F148)-SUM($G$8:G148))</f>
        <v/>
      </c>
    </row>
    <row r="149">
      <c r="A149" s="32" t="n">
        <v>142</v>
      </c>
      <c r="B149" s="33" t="n"/>
      <c r="C149" s="17" t="n"/>
      <c r="D149" s="17" t="n"/>
      <c r="E149" s="17" t="n"/>
      <c r="F149" s="30" t="n"/>
      <c r="G149" s="30" t="n"/>
      <c r="H149" s="34">
        <f>IF(AND(F149="",G149=""),"",$B$5+SUM($F$8:F149)-SUM($G$8:G149))</f>
        <v/>
      </c>
    </row>
    <row r="150">
      <c r="A150" s="32" t="n">
        <v>143</v>
      </c>
      <c r="B150" s="33" t="n"/>
      <c r="C150" s="17" t="n"/>
      <c r="D150" s="17" t="n"/>
      <c r="E150" s="17" t="n"/>
      <c r="F150" s="30" t="n"/>
      <c r="G150" s="30" t="n"/>
      <c r="H150" s="34">
        <f>IF(AND(F150="",G150=""),"",$B$5+SUM($F$8:F150)-SUM($G$8:G150))</f>
        <v/>
      </c>
    </row>
    <row r="151">
      <c r="A151" s="32" t="n">
        <v>144</v>
      </c>
      <c r="B151" s="33" t="n"/>
      <c r="C151" s="17" t="n"/>
      <c r="D151" s="17" t="n"/>
      <c r="E151" s="17" t="n"/>
      <c r="F151" s="30" t="n"/>
      <c r="G151" s="30" t="n"/>
      <c r="H151" s="34">
        <f>IF(AND(F151="",G151=""),"",$B$5+SUM($F$8:F151)-SUM($G$8:G151))</f>
        <v/>
      </c>
    </row>
    <row r="152">
      <c r="A152" s="32" t="n">
        <v>145</v>
      </c>
      <c r="B152" s="33" t="n"/>
      <c r="C152" s="17" t="n"/>
      <c r="D152" s="17" t="n"/>
      <c r="E152" s="17" t="n"/>
      <c r="F152" s="30" t="n"/>
      <c r="G152" s="30" t="n"/>
      <c r="H152" s="34">
        <f>IF(AND(F152="",G152=""),"",$B$5+SUM($F$8:F152)-SUM($G$8:G152))</f>
        <v/>
      </c>
    </row>
    <row r="153">
      <c r="A153" s="32" t="n">
        <v>146</v>
      </c>
      <c r="B153" s="33" t="n"/>
      <c r="C153" s="17" t="n"/>
      <c r="D153" s="17" t="n"/>
      <c r="E153" s="17" t="n"/>
      <c r="F153" s="30" t="n"/>
      <c r="G153" s="30" t="n"/>
      <c r="H153" s="34">
        <f>IF(AND(F153="",G153=""),"",$B$5+SUM($F$8:F153)-SUM($G$8:G153))</f>
        <v/>
      </c>
    </row>
    <row r="154">
      <c r="A154" s="32" t="n">
        <v>147</v>
      </c>
      <c r="B154" s="33" t="n"/>
      <c r="C154" s="17" t="n"/>
      <c r="D154" s="17" t="n"/>
      <c r="E154" s="17" t="n"/>
      <c r="F154" s="30" t="n"/>
      <c r="G154" s="30" t="n"/>
      <c r="H154" s="34">
        <f>IF(AND(F154="",G154=""),"",$B$5+SUM($F$8:F154)-SUM($G$8:G154))</f>
        <v/>
      </c>
    </row>
    <row r="155">
      <c r="A155" s="32" t="n">
        <v>148</v>
      </c>
      <c r="B155" s="33" t="n"/>
      <c r="C155" s="17" t="n"/>
      <c r="D155" s="17" t="n"/>
      <c r="E155" s="17" t="n"/>
      <c r="F155" s="30" t="n"/>
      <c r="G155" s="30" t="n"/>
      <c r="H155" s="34">
        <f>IF(AND(F155="",G155=""),"",$B$5+SUM($F$8:F155)-SUM($G$8:G155))</f>
        <v/>
      </c>
    </row>
    <row r="156">
      <c r="A156" s="32" t="n">
        <v>149</v>
      </c>
      <c r="B156" s="33" t="n"/>
      <c r="C156" s="17" t="n"/>
      <c r="D156" s="17" t="n"/>
      <c r="E156" s="17" t="n"/>
      <c r="F156" s="30" t="n"/>
      <c r="G156" s="30" t="n"/>
      <c r="H156" s="34">
        <f>IF(AND(F156="",G156=""),"",$B$5+SUM($F$8:F156)-SUM($G$8:G156))</f>
        <v/>
      </c>
    </row>
    <row r="157">
      <c r="A157" s="32" t="n">
        <v>150</v>
      </c>
      <c r="B157" s="33" t="n"/>
      <c r="C157" s="17" t="n"/>
      <c r="D157" s="17" t="n"/>
      <c r="E157" s="17" t="n"/>
      <c r="F157" s="30" t="n"/>
      <c r="G157" s="30" t="n"/>
      <c r="H157" s="34">
        <f>IF(AND(F157="",G157=""),"",$B$5+SUM($F$8:F157)-SUM($G$8:G157))</f>
        <v/>
      </c>
    </row>
    <row r="158">
      <c r="A158" s="32" t="n">
        <v>151</v>
      </c>
      <c r="B158" s="33" t="n"/>
      <c r="C158" s="17" t="n"/>
      <c r="D158" s="17" t="n"/>
      <c r="E158" s="17" t="n"/>
      <c r="F158" s="30" t="n"/>
      <c r="G158" s="30" t="n"/>
      <c r="H158" s="34">
        <f>IF(AND(F158="",G158=""),"",$B$5+SUM($F$8:F158)-SUM($G$8:G158))</f>
        <v/>
      </c>
    </row>
    <row r="159">
      <c r="A159" s="32" t="n">
        <v>152</v>
      </c>
      <c r="B159" s="33" t="n"/>
      <c r="C159" s="17" t="n"/>
      <c r="D159" s="17" t="n"/>
      <c r="E159" s="17" t="n"/>
      <c r="F159" s="30" t="n"/>
      <c r="G159" s="30" t="n"/>
      <c r="H159" s="34">
        <f>IF(AND(F159="",G159=""),"",$B$5+SUM($F$8:F159)-SUM($G$8:G159))</f>
        <v/>
      </c>
    </row>
    <row r="160">
      <c r="A160" s="32" t="n">
        <v>153</v>
      </c>
      <c r="B160" s="33" t="n"/>
      <c r="C160" s="17" t="n"/>
      <c r="D160" s="17" t="n"/>
      <c r="E160" s="17" t="n"/>
      <c r="F160" s="30" t="n"/>
      <c r="G160" s="30" t="n"/>
      <c r="H160" s="34">
        <f>IF(AND(F160="",G160=""),"",$B$5+SUM($F$8:F160)-SUM($G$8:G160))</f>
        <v/>
      </c>
    </row>
    <row r="161">
      <c r="A161" s="32" t="n">
        <v>154</v>
      </c>
      <c r="B161" s="33" t="n"/>
      <c r="C161" s="17" t="n"/>
      <c r="D161" s="17" t="n"/>
      <c r="E161" s="17" t="n"/>
      <c r="F161" s="30" t="n"/>
      <c r="G161" s="30" t="n"/>
      <c r="H161" s="34">
        <f>IF(AND(F161="",G161=""),"",$B$5+SUM($F$8:F161)-SUM($G$8:G161))</f>
        <v/>
      </c>
    </row>
    <row r="162">
      <c r="A162" s="32" t="n">
        <v>155</v>
      </c>
      <c r="B162" s="33" t="n"/>
      <c r="C162" s="17" t="n"/>
      <c r="D162" s="17" t="n"/>
      <c r="E162" s="17" t="n"/>
      <c r="F162" s="30" t="n"/>
      <c r="G162" s="30" t="n"/>
      <c r="H162" s="34">
        <f>IF(AND(F162="",G162=""),"",$B$5+SUM($F$8:F162)-SUM($G$8:G162))</f>
        <v/>
      </c>
    </row>
    <row r="163">
      <c r="A163" s="32" t="n">
        <v>156</v>
      </c>
      <c r="B163" s="33" t="n"/>
      <c r="C163" s="17" t="n"/>
      <c r="D163" s="17" t="n"/>
      <c r="E163" s="17" t="n"/>
      <c r="F163" s="30" t="n"/>
      <c r="G163" s="30" t="n"/>
      <c r="H163" s="34">
        <f>IF(AND(F163="",G163=""),"",$B$5+SUM($F$8:F163)-SUM($G$8:G163))</f>
        <v/>
      </c>
    </row>
    <row r="164">
      <c r="A164" s="32" t="n">
        <v>157</v>
      </c>
      <c r="B164" s="33" t="n"/>
      <c r="C164" s="17" t="n"/>
      <c r="D164" s="17" t="n"/>
      <c r="E164" s="17" t="n"/>
      <c r="F164" s="30" t="n"/>
      <c r="G164" s="30" t="n"/>
      <c r="H164" s="34">
        <f>IF(AND(F164="",G164=""),"",$B$5+SUM($F$8:F164)-SUM($G$8:G164))</f>
        <v/>
      </c>
    </row>
    <row r="165">
      <c r="A165" s="32" t="n">
        <v>158</v>
      </c>
      <c r="B165" s="33" t="n"/>
      <c r="C165" s="17" t="n"/>
      <c r="D165" s="17" t="n"/>
      <c r="E165" s="17" t="n"/>
      <c r="F165" s="30" t="n"/>
      <c r="G165" s="30" t="n"/>
      <c r="H165" s="34">
        <f>IF(AND(F165="",G165=""),"",$B$5+SUM($F$8:F165)-SUM($G$8:G165))</f>
        <v/>
      </c>
    </row>
    <row r="166">
      <c r="A166" s="32" t="n">
        <v>159</v>
      </c>
      <c r="B166" s="33" t="n"/>
      <c r="C166" s="17" t="n"/>
      <c r="D166" s="17" t="n"/>
      <c r="E166" s="17" t="n"/>
      <c r="F166" s="30" t="n"/>
      <c r="G166" s="30" t="n"/>
      <c r="H166" s="34">
        <f>IF(AND(F166="",G166=""),"",$B$5+SUM($F$8:F166)-SUM($G$8:G166))</f>
        <v/>
      </c>
    </row>
    <row r="167">
      <c r="A167" s="32" t="n">
        <v>160</v>
      </c>
      <c r="B167" s="33" t="n"/>
      <c r="C167" s="17" t="n"/>
      <c r="D167" s="17" t="n"/>
      <c r="E167" s="17" t="n"/>
      <c r="F167" s="30" t="n"/>
      <c r="G167" s="30" t="n"/>
      <c r="H167" s="34">
        <f>IF(AND(F167="",G167=""),"",$B$5+SUM($F$8:F167)-SUM($G$8:G167))</f>
        <v/>
      </c>
    </row>
    <row r="168">
      <c r="A168" s="32" t="n">
        <v>161</v>
      </c>
      <c r="B168" s="33" t="n"/>
      <c r="C168" s="17" t="n"/>
      <c r="D168" s="17" t="n"/>
      <c r="E168" s="17" t="n"/>
      <c r="F168" s="30" t="n"/>
      <c r="G168" s="30" t="n"/>
      <c r="H168" s="34">
        <f>IF(AND(F168="",G168=""),"",$B$5+SUM($F$8:F168)-SUM($G$8:G168))</f>
        <v/>
      </c>
    </row>
    <row r="169">
      <c r="A169" s="32" t="n">
        <v>162</v>
      </c>
      <c r="B169" s="33" t="n"/>
      <c r="C169" s="17" t="n"/>
      <c r="D169" s="17" t="n"/>
      <c r="E169" s="17" t="n"/>
      <c r="F169" s="30" t="n"/>
      <c r="G169" s="30" t="n"/>
      <c r="H169" s="34">
        <f>IF(AND(F169="",G169=""),"",$B$5+SUM($F$8:F169)-SUM($G$8:G169))</f>
        <v/>
      </c>
    </row>
    <row r="170">
      <c r="A170" s="32" t="n">
        <v>163</v>
      </c>
      <c r="B170" s="33" t="n"/>
      <c r="C170" s="17" t="n"/>
      <c r="D170" s="17" t="n"/>
      <c r="E170" s="17" t="n"/>
      <c r="F170" s="30" t="n"/>
      <c r="G170" s="30" t="n"/>
      <c r="H170" s="34">
        <f>IF(AND(F170="",G170=""),"",$B$5+SUM($F$8:F170)-SUM($G$8:G170))</f>
        <v/>
      </c>
    </row>
    <row r="171">
      <c r="A171" s="32" t="n">
        <v>164</v>
      </c>
      <c r="B171" s="33" t="n"/>
      <c r="C171" s="17" t="n"/>
      <c r="D171" s="17" t="n"/>
      <c r="E171" s="17" t="n"/>
      <c r="F171" s="30" t="n"/>
      <c r="G171" s="30" t="n"/>
      <c r="H171" s="34">
        <f>IF(AND(F171="",G171=""),"",$B$5+SUM($F$8:F171)-SUM($G$8:G171))</f>
        <v/>
      </c>
    </row>
    <row r="172">
      <c r="A172" s="32" t="n">
        <v>165</v>
      </c>
      <c r="B172" s="33" t="n"/>
      <c r="C172" s="17" t="n"/>
      <c r="D172" s="17" t="n"/>
      <c r="E172" s="17" t="n"/>
      <c r="F172" s="30" t="n"/>
      <c r="G172" s="30" t="n"/>
      <c r="H172" s="34">
        <f>IF(AND(F172="",G172=""),"",$B$5+SUM($F$8:F172)-SUM($G$8:G172))</f>
        <v/>
      </c>
    </row>
    <row r="173">
      <c r="A173" s="32" t="n">
        <v>166</v>
      </c>
      <c r="B173" s="33" t="n"/>
      <c r="C173" s="17" t="n"/>
      <c r="D173" s="17" t="n"/>
      <c r="E173" s="17" t="n"/>
      <c r="F173" s="30" t="n"/>
      <c r="G173" s="30" t="n"/>
      <c r="H173" s="34">
        <f>IF(AND(F173="",G173=""),"",$B$5+SUM($F$8:F173)-SUM($G$8:G173))</f>
        <v/>
      </c>
    </row>
    <row r="174">
      <c r="A174" s="32" t="n">
        <v>167</v>
      </c>
      <c r="B174" s="33" t="n"/>
      <c r="C174" s="17" t="n"/>
      <c r="D174" s="17" t="n"/>
      <c r="E174" s="17" t="n"/>
      <c r="F174" s="30" t="n"/>
      <c r="G174" s="30" t="n"/>
      <c r="H174" s="34">
        <f>IF(AND(F174="",G174=""),"",$B$5+SUM($F$8:F174)-SUM($G$8:G174))</f>
        <v/>
      </c>
    </row>
    <row r="175">
      <c r="A175" s="32" t="n">
        <v>168</v>
      </c>
      <c r="B175" s="33" t="n"/>
      <c r="C175" s="17" t="n"/>
      <c r="D175" s="17" t="n"/>
      <c r="E175" s="17" t="n"/>
      <c r="F175" s="30" t="n"/>
      <c r="G175" s="30" t="n"/>
      <c r="H175" s="34">
        <f>IF(AND(F175="",G175=""),"",$B$5+SUM($F$8:F175)-SUM($G$8:G175))</f>
        <v/>
      </c>
    </row>
    <row r="176">
      <c r="A176" s="32" t="n">
        <v>169</v>
      </c>
      <c r="B176" s="33" t="n"/>
      <c r="C176" s="17" t="n"/>
      <c r="D176" s="17" t="n"/>
      <c r="E176" s="17" t="n"/>
      <c r="F176" s="30" t="n"/>
      <c r="G176" s="30" t="n"/>
      <c r="H176" s="34">
        <f>IF(AND(F176="",G176=""),"",$B$5+SUM($F$8:F176)-SUM($G$8:G176))</f>
        <v/>
      </c>
    </row>
    <row r="177">
      <c r="A177" s="32" t="n">
        <v>170</v>
      </c>
      <c r="B177" s="33" t="n"/>
      <c r="C177" s="17" t="n"/>
      <c r="D177" s="17" t="n"/>
      <c r="E177" s="17" t="n"/>
      <c r="F177" s="30" t="n"/>
      <c r="G177" s="30" t="n"/>
      <c r="H177" s="34">
        <f>IF(AND(F177="",G177=""),"",$B$5+SUM($F$8:F177)-SUM($G$8:G177))</f>
        <v/>
      </c>
    </row>
    <row r="178">
      <c r="A178" s="32" t="n">
        <v>171</v>
      </c>
      <c r="B178" s="33" t="n"/>
      <c r="C178" s="17" t="n"/>
      <c r="D178" s="17" t="n"/>
      <c r="E178" s="17" t="n"/>
      <c r="F178" s="30" t="n"/>
      <c r="G178" s="30" t="n"/>
      <c r="H178" s="34">
        <f>IF(AND(F178="",G178=""),"",$B$5+SUM($F$8:F178)-SUM($G$8:G178))</f>
        <v/>
      </c>
    </row>
    <row r="179">
      <c r="A179" s="32" t="n">
        <v>172</v>
      </c>
      <c r="B179" s="33" t="n"/>
      <c r="C179" s="17" t="n"/>
      <c r="D179" s="17" t="n"/>
      <c r="E179" s="17" t="n"/>
      <c r="F179" s="30" t="n"/>
      <c r="G179" s="30" t="n"/>
      <c r="H179" s="34">
        <f>IF(AND(F179="",G179=""),"",$B$5+SUM($F$8:F179)-SUM($G$8:G179))</f>
        <v/>
      </c>
    </row>
    <row r="180">
      <c r="A180" s="32" t="n">
        <v>173</v>
      </c>
      <c r="B180" s="33" t="n"/>
      <c r="C180" s="17" t="n"/>
      <c r="D180" s="17" t="n"/>
      <c r="E180" s="17" t="n"/>
      <c r="F180" s="30" t="n"/>
      <c r="G180" s="30" t="n"/>
      <c r="H180" s="34">
        <f>IF(AND(F180="",G180=""),"",$B$5+SUM($F$8:F180)-SUM($G$8:G180))</f>
        <v/>
      </c>
    </row>
    <row r="181">
      <c r="A181" s="32" t="n">
        <v>174</v>
      </c>
      <c r="B181" s="33" t="n"/>
      <c r="C181" s="17" t="n"/>
      <c r="D181" s="17" t="n"/>
      <c r="E181" s="17" t="n"/>
      <c r="F181" s="30" t="n"/>
      <c r="G181" s="30" t="n"/>
      <c r="H181" s="34">
        <f>IF(AND(F181="",G181=""),"",$B$5+SUM($F$8:F181)-SUM($G$8:G181))</f>
        <v/>
      </c>
    </row>
    <row r="182">
      <c r="A182" s="32" t="n">
        <v>175</v>
      </c>
      <c r="B182" s="33" t="n"/>
      <c r="C182" s="17" t="n"/>
      <c r="D182" s="17" t="n"/>
      <c r="E182" s="17" t="n"/>
      <c r="F182" s="30" t="n"/>
      <c r="G182" s="30" t="n"/>
      <c r="H182" s="34">
        <f>IF(AND(F182="",G182=""),"",$B$5+SUM($F$8:F182)-SUM($G$8:G182))</f>
        <v/>
      </c>
    </row>
    <row r="183">
      <c r="A183" s="32" t="n">
        <v>176</v>
      </c>
      <c r="B183" s="33" t="n"/>
      <c r="C183" s="17" t="n"/>
      <c r="D183" s="17" t="n"/>
      <c r="E183" s="17" t="n"/>
      <c r="F183" s="30" t="n"/>
      <c r="G183" s="30" t="n"/>
      <c r="H183" s="34">
        <f>IF(AND(F183="",G183=""),"",$B$5+SUM($F$8:F183)-SUM($G$8:G183))</f>
        <v/>
      </c>
    </row>
    <row r="184">
      <c r="A184" s="32" t="n">
        <v>177</v>
      </c>
      <c r="B184" s="33" t="n"/>
      <c r="C184" s="17" t="n"/>
      <c r="D184" s="17" t="n"/>
      <c r="E184" s="17" t="n"/>
      <c r="F184" s="30" t="n"/>
      <c r="G184" s="30" t="n"/>
      <c r="H184" s="34">
        <f>IF(AND(F184="",G184=""),"",$B$5+SUM($F$8:F184)-SUM($G$8:G184))</f>
        <v/>
      </c>
    </row>
    <row r="185">
      <c r="A185" s="32" t="n">
        <v>178</v>
      </c>
      <c r="B185" s="33" t="n"/>
      <c r="C185" s="17" t="n"/>
      <c r="D185" s="17" t="n"/>
      <c r="E185" s="17" t="n"/>
      <c r="F185" s="30" t="n"/>
      <c r="G185" s="30" t="n"/>
      <c r="H185" s="34">
        <f>IF(AND(F185="",G185=""),"",$B$5+SUM($F$8:F185)-SUM($G$8:G185))</f>
        <v/>
      </c>
    </row>
    <row r="186">
      <c r="A186" s="32" t="n">
        <v>179</v>
      </c>
      <c r="B186" s="33" t="n"/>
      <c r="C186" s="17" t="n"/>
      <c r="D186" s="17" t="n"/>
      <c r="E186" s="17" t="n"/>
      <c r="F186" s="30" t="n"/>
      <c r="G186" s="30" t="n"/>
      <c r="H186" s="34">
        <f>IF(AND(F186="",G186=""),"",$B$5+SUM($F$8:F186)-SUM($G$8:G186))</f>
        <v/>
      </c>
    </row>
    <row r="187">
      <c r="A187" s="32" t="n">
        <v>180</v>
      </c>
      <c r="B187" s="33" t="n"/>
      <c r="C187" s="17" t="n"/>
      <c r="D187" s="17" t="n"/>
      <c r="E187" s="17" t="n"/>
      <c r="F187" s="30" t="n"/>
      <c r="G187" s="30" t="n"/>
      <c r="H187" s="34">
        <f>IF(AND(F187="",G187=""),"",$B$5+SUM($F$8:F187)-SUM($G$8:G187))</f>
        <v/>
      </c>
    </row>
    <row r="188">
      <c r="A188" s="32" t="n">
        <v>181</v>
      </c>
      <c r="B188" s="33" t="n"/>
      <c r="C188" s="17" t="n"/>
      <c r="D188" s="17" t="n"/>
      <c r="E188" s="17" t="n"/>
      <c r="F188" s="30" t="n"/>
      <c r="G188" s="30" t="n"/>
      <c r="H188" s="34">
        <f>IF(AND(F188="",G188=""),"",$B$5+SUM($F$8:F188)-SUM($G$8:G188))</f>
        <v/>
      </c>
    </row>
    <row r="189">
      <c r="A189" s="32" t="n">
        <v>182</v>
      </c>
      <c r="B189" s="33" t="n"/>
      <c r="C189" s="17" t="n"/>
      <c r="D189" s="17" t="n"/>
      <c r="E189" s="17" t="n"/>
      <c r="F189" s="30" t="n"/>
      <c r="G189" s="30" t="n"/>
      <c r="H189" s="34">
        <f>IF(AND(F189="",G189=""),"",$B$5+SUM($F$8:F189)-SUM($G$8:G189))</f>
        <v/>
      </c>
    </row>
    <row r="190">
      <c r="A190" s="32" t="n">
        <v>183</v>
      </c>
      <c r="B190" s="33" t="n"/>
      <c r="C190" s="17" t="n"/>
      <c r="D190" s="17" t="n"/>
      <c r="E190" s="17" t="n"/>
      <c r="F190" s="30" t="n"/>
      <c r="G190" s="30" t="n"/>
      <c r="H190" s="34">
        <f>IF(AND(F190="",G190=""),"",$B$5+SUM($F$8:F190)-SUM($G$8:G190))</f>
        <v/>
      </c>
    </row>
    <row r="191">
      <c r="A191" s="32" t="n">
        <v>184</v>
      </c>
      <c r="B191" s="33" t="n"/>
      <c r="C191" s="17" t="n"/>
      <c r="D191" s="17" t="n"/>
      <c r="E191" s="17" t="n"/>
      <c r="F191" s="30" t="n"/>
      <c r="G191" s="30" t="n"/>
      <c r="H191" s="34">
        <f>IF(AND(F191="",G191=""),"",$B$5+SUM($F$8:F191)-SUM($G$8:G191))</f>
        <v/>
      </c>
    </row>
    <row r="192">
      <c r="A192" s="32" t="n">
        <v>185</v>
      </c>
      <c r="B192" s="33" t="n"/>
      <c r="C192" s="17" t="n"/>
      <c r="D192" s="17" t="n"/>
      <c r="E192" s="17" t="n"/>
      <c r="F192" s="30" t="n"/>
      <c r="G192" s="30" t="n"/>
      <c r="H192" s="34">
        <f>IF(AND(F192="",G192=""),"",$B$5+SUM($F$8:F192)-SUM($G$8:G192))</f>
        <v/>
      </c>
    </row>
    <row r="193">
      <c r="A193" s="32" t="n">
        <v>186</v>
      </c>
      <c r="B193" s="33" t="n"/>
      <c r="C193" s="17" t="n"/>
      <c r="D193" s="17" t="n"/>
      <c r="E193" s="17" t="n"/>
      <c r="F193" s="30" t="n"/>
      <c r="G193" s="30" t="n"/>
      <c r="H193" s="34">
        <f>IF(AND(F193="",G193=""),"",$B$5+SUM($F$8:F193)-SUM($G$8:G193))</f>
        <v/>
      </c>
    </row>
    <row r="194">
      <c r="A194" s="32" t="n">
        <v>187</v>
      </c>
      <c r="B194" s="33" t="n"/>
      <c r="C194" s="17" t="n"/>
      <c r="D194" s="17" t="n"/>
      <c r="E194" s="17" t="n"/>
      <c r="F194" s="30" t="n"/>
      <c r="G194" s="30" t="n"/>
      <c r="H194" s="34">
        <f>IF(AND(F194="",G194=""),"",$B$5+SUM($F$8:F194)-SUM($G$8:G194))</f>
        <v/>
      </c>
    </row>
    <row r="195">
      <c r="A195" s="32" t="n">
        <v>188</v>
      </c>
      <c r="B195" s="33" t="n"/>
      <c r="C195" s="17" t="n"/>
      <c r="D195" s="17" t="n"/>
      <c r="E195" s="17" t="n"/>
      <c r="F195" s="30" t="n"/>
      <c r="G195" s="30" t="n"/>
      <c r="H195" s="34">
        <f>IF(AND(F195="",G195=""),"",$B$5+SUM($F$8:F195)-SUM($G$8:G195))</f>
        <v/>
      </c>
    </row>
    <row r="196">
      <c r="A196" s="32" t="n">
        <v>189</v>
      </c>
      <c r="B196" s="33" t="n"/>
      <c r="C196" s="17" t="n"/>
      <c r="D196" s="17" t="n"/>
      <c r="E196" s="17" t="n"/>
      <c r="F196" s="30" t="n"/>
      <c r="G196" s="30" t="n"/>
      <c r="H196" s="34">
        <f>IF(AND(F196="",G196=""),"",$B$5+SUM($F$8:F196)-SUM($G$8:G196))</f>
        <v/>
      </c>
    </row>
    <row r="197">
      <c r="A197" s="32" t="n">
        <v>190</v>
      </c>
      <c r="B197" s="33" t="n"/>
      <c r="C197" s="17" t="n"/>
      <c r="D197" s="17" t="n"/>
      <c r="E197" s="17" t="n"/>
      <c r="F197" s="30" t="n"/>
      <c r="G197" s="30" t="n"/>
      <c r="H197" s="34">
        <f>IF(AND(F197="",G197=""),"",$B$5+SUM($F$8:F197)-SUM($G$8:G197))</f>
        <v/>
      </c>
    </row>
    <row r="198">
      <c r="A198" s="32" t="n">
        <v>191</v>
      </c>
      <c r="B198" s="33" t="n"/>
      <c r="C198" s="17" t="n"/>
      <c r="D198" s="17" t="n"/>
      <c r="E198" s="17" t="n"/>
      <c r="F198" s="30" t="n"/>
      <c r="G198" s="30" t="n"/>
      <c r="H198" s="34">
        <f>IF(AND(F198="",G198=""),"",$B$5+SUM($F$8:F198)-SUM($G$8:G198))</f>
        <v/>
      </c>
    </row>
    <row r="199">
      <c r="A199" s="32" t="n">
        <v>192</v>
      </c>
      <c r="B199" s="33" t="n"/>
      <c r="C199" s="17" t="n"/>
      <c r="D199" s="17" t="n"/>
      <c r="E199" s="17" t="n"/>
      <c r="F199" s="30" t="n"/>
      <c r="G199" s="30" t="n"/>
      <c r="H199" s="34">
        <f>IF(AND(F199="",G199=""),"",$B$5+SUM($F$8:F199)-SUM($G$8:G199))</f>
        <v/>
      </c>
    </row>
    <row r="200">
      <c r="A200" s="32" t="n">
        <v>193</v>
      </c>
      <c r="B200" s="33" t="n"/>
      <c r="C200" s="17" t="n"/>
      <c r="D200" s="17" t="n"/>
      <c r="E200" s="17" t="n"/>
      <c r="F200" s="30" t="n"/>
      <c r="G200" s="30" t="n"/>
      <c r="H200" s="34">
        <f>IF(AND(F200="",G200=""),"",$B$5+SUM($F$8:F200)-SUM($G$8:G200))</f>
        <v/>
      </c>
    </row>
    <row r="201">
      <c r="A201" s="32" t="n">
        <v>194</v>
      </c>
      <c r="B201" s="33" t="n"/>
      <c r="C201" s="17" t="n"/>
      <c r="D201" s="17" t="n"/>
      <c r="E201" s="17" t="n"/>
      <c r="F201" s="30" t="n"/>
      <c r="G201" s="30" t="n"/>
      <c r="H201" s="34">
        <f>IF(AND(F201="",G201=""),"",$B$5+SUM($F$8:F201)-SUM($G$8:G201))</f>
        <v/>
      </c>
    </row>
    <row r="202">
      <c r="A202" s="32" t="n">
        <v>195</v>
      </c>
      <c r="B202" s="33" t="n"/>
      <c r="C202" s="17" t="n"/>
      <c r="D202" s="17" t="n"/>
      <c r="E202" s="17" t="n"/>
      <c r="F202" s="30" t="n"/>
      <c r="G202" s="30" t="n"/>
      <c r="H202" s="34">
        <f>IF(AND(F202="",G202=""),"",$B$5+SUM($F$8:F202)-SUM($G$8:G202))</f>
        <v/>
      </c>
    </row>
    <row r="203">
      <c r="A203" s="32" t="n">
        <v>196</v>
      </c>
      <c r="B203" s="33" t="n"/>
      <c r="C203" s="17" t="n"/>
      <c r="D203" s="17" t="n"/>
      <c r="E203" s="17" t="n"/>
      <c r="F203" s="30" t="n"/>
      <c r="G203" s="30" t="n"/>
      <c r="H203" s="34">
        <f>IF(AND(F203="",G203=""),"",$B$5+SUM($F$8:F203)-SUM($G$8:G203))</f>
        <v/>
      </c>
    </row>
    <row r="204">
      <c r="A204" s="32" t="n">
        <v>197</v>
      </c>
      <c r="B204" s="33" t="n"/>
      <c r="C204" s="17" t="n"/>
      <c r="D204" s="17" t="n"/>
      <c r="E204" s="17" t="n"/>
      <c r="F204" s="30" t="n"/>
      <c r="G204" s="30" t="n"/>
      <c r="H204" s="34">
        <f>IF(AND(F204="",G204=""),"",$B$5+SUM($F$8:F204)-SUM($G$8:G204))</f>
        <v/>
      </c>
    </row>
    <row r="205">
      <c r="A205" s="32" t="n">
        <v>198</v>
      </c>
      <c r="B205" s="33" t="n"/>
      <c r="C205" s="17" t="n"/>
      <c r="D205" s="17" t="n"/>
      <c r="E205" s="17" t="n"/>
      <c r="F205" s="30" t="n"/>
      <c r="G205" s="30" t="n"/>
      <c r="H205" s="34">
        <f>IF(AND(F205="",G205=""),"",$B$5+SUM($F$8:F205)-SUM($G$8:G205))</f>
        <v/>
      </c>
    </row>
    <row r="206">
      <c r="A206" s="32" t="n">
        <v>199</v>
      </c>
      <c r="B206" s="33" t="n"/>
      <c r="C206" s="17" t="n"/>
      <c r="D206" s="17" t="n"/>
      <c r="E206" s="17" t="n"/>
      <c r="F206" s="30" t="n"/>
      <c r="G206" s="30" t="n"/>
      <c r="H206" s="34">
        <f>IF(AND(F206="",G206=""),"",$B$5+SUM($F$8:F206)-SUM($G$8:G206))</f>
        <v/>
      </c>
    </row>
    <row r="207">
      <c r="A207" s="32" t="n">
        <v>200</v>
      </c>
      <c r="B207" s="33" t="n"/>
      <c r="C207" s="17" t="n"/>
      <c r="D207" s="17" t="n"/>
      <c r="E207" s="17" t="n"/>
      <c r="F207" s="30" t="n"/>
      <c r="G207" s="30" t="n"/>
      <c r="H207" s="34">
        <f>IF(AND(F207="",G207=""),"",$B$5+SUM($F$8:F207)-SUM($G$8:G207))</f>
        <v/>
      </c>
    </row>
    <row r="208">
      <c r="A208" s="32" t="n">
        <v>201</v>
      </c>
      <c r="B208" s="33" t="n"/>
      <c r="C208" s="17" t="n"/>
      <c r="D208" s="17" t="n"/>
      <c r="E208" s="17" t="n"/>
      <c r="F208" s="30" t="n"/>
      <c r="G208" s="30" t="n"/>
      <c r="H208" s="34">
        <f>IF(AND(F208="",G208=""),"",$B$5+SUM($F$8:F208)-SUM($G$8:G208))</f>
        <v/>
      </c>
    </row>
    <row r="209">
      <c r="A209" s="32" t="n">
        <v>202</v>
      </c>
      <c r="B209" s="33" t="n"/>
      <c r="C209" s="17" t="n"/>
      <c r="D209" s="17" t="n"/>
      <c r="E209" s="17" t="n"/>
      <c r="F209" s="30" t="n"/>
      <c r="G209" s="30" t="n"/>
      <c r="H209" s="34">
        <f>IF(AND(F209="",G209=""),"",$B$5+SUM($F$8:F209)-SUM($G$8:G209))</f>
        <v/>
      </c>
    </row>
    <row r="210">
      <c r="A210" s="32" t="n">
        <v>203</v>
      </c>
      <c r="B210" s="33" t="n"/>
      <c r="C210" s="17" t="n"/>
      <c r="D210" s="17" t="n"/>
      <c r="E210" s="17" t="n"/>
      <c r="F210" s="30" t="n"/>
      <c r="G210" s="30" t="n"/>
      <c r="H210" s="34">
        <f>IF(AND(F210="",G210=""),"",$B$5+SUM($F$8:F210)-SUM($G$8:G210))</f>
        <v/>
      </c>
    </row>
    <row r="211">
      <c r="A211" s="32" t="n">
        <v>204</v>
      </c>
      <c r="B211" s="33" t="n"/>
      <c r="C211" s="17" t="n"/>
      <c r="D211" s="17" t="n"/>
      <c r="E211" s="17" t="n"/>
      <c r="F211" s="30" t="n"/>
      <c r="G211" s="30" t="n"/>
      <c r="H211" s="34">
        <f>IF(AND(F211="",G211=""),"",$B$5+SUM($F$8:F211)-SUM($G$8:G211))</f>
        <v/>
      </c>
    </row>
    <row r="212">
      <c r="A212" s="32" t="n">
        <v>205</v>
      </c>
      <c r="B212" s="33" t="n"/>
      <c r="C212" s="17" t="n"/>
      <c r="D212" s="17" t="n"/>
      <c r="E212" s="17" t="n"/>
      <c r="F212" s="30" t="n"/>
      <c r="G212" s="30" t="n"/>
      <c r="H212" s="34">
        <f>IF(AND(F212="",G212=""),"",$B$5+SUM($F$8:F212)-SUM($G$8:G212))</f>
        <v/>
      </c>
    </row>
    <row r="213">
      <c r="A213" s="32" t="n">
        <v>206</v>
      </c>
      <c r="B213" s="33" t="n"/>
      <c r="C213" s="17" t="n"/>
      <c r="D213" s="17" t="n"/>
      <c r="E213" s="17" t="n"/>
      <c r="F213" s="30" t="n"/>
      <c r="G213" s="30" t="n"/>
      <c r="H213" s="34">
        <f>IF(AND(F213="",G213=""),"",$B$5+SUM($F$8:F213)-SUM($G$8:G213))</f>
        <v/>
      </c>
    </row>
    <row r="214">
      <c r="A214" s="32" t="n">
        <v>207</v>
      </c>
      <c r="B214" s="33" t="n"/>
      <c r="C214" s="17" t="n"/>
      <c r="D214" s="17" t="n"/>
      <c r="E214" s="17" t="n"/>
      <c r="F214" s="30" t="n"/>
      <c r="G214" s="30" t="n"/>
      <c r="H214" s="34">
        <f>IF(AND(F214="",G214=""),"",$B$5+SUM($F$8:F214)-SUM($G$8:G214))</f>
        <v/>
      </c>
    </row>
    <row r="215">
      <c r="A215" s="32" t="n">
        <v>208</v>
      </c>
      <c r="B215" s="33" t="n"/>
      <c r="C215" s="17" t="n"/>
      <c r="D215" s="17" t="n"/>
      <c r="E215" s="17" t="n"/>
      <c r="F215" s="30" t="n"/>
      <c r="G215" s="30" t="n"/>
      <c r="H215" s="34">
        <f>IF(AND(F215="",G215=""),"",$B$5+SUM($F$8:F215)-SUM($G$8:G215))</f>
        <v/>
      </c>
    </row>
    <row r="216">
      <c r="A216" s="32" t="n">
        <v>209</v>
      </c>
      <c r="B216" s="33" t="n"/>
      <c r="C216" s="17" t="n"/>
      <c r="D216" s="17" t="n"/>
      <c r="E216" s="17" t="n"/>
      <c r="F216" s="30" t="n"/>
      <c r="G216" s="30" t="n"/>
      <c r="H216" s="34">
        <f>IF(AND(F216="",G216=""),"",$B$5+SUM($F$8:F216)-SUM($G$8:G216))</f>
        <v/>
      </c>
    </row>
    <row r="217">
      <c r="A217" s="32" t="n">
        <v>210</v>
      </c>
      <c r="B217" s="33" t="n"/>
      <c r="C217" s="17" t="n"/>
      <c r="D217" s="17" t="n"/>
      <c r="E217" s="17" t="n"/>
      <c r="F217" s="30" t="n"/>
      <c r="G217" s="30" t="n"/>
      <c r="H217" s="34">
        <f>IF(AND(F217="",G217=""),"",$B$5+SUM($F$8:F217)-SUM($G$8:G217))</f>
        <v/>
      </c>
    </row>
    <row r="218">
      <c r="A218" s="32" t="n">
        <v>211</v>
      </c>
      <c r="B218" s="33" t="n"/>
      <c r="C218" s="17" t="n"/>
      <c r="D218" s="17" t="n"/>
      <c r="E218" s="17" t="n"/>
      <c r="F218" s="30" t="n"/>
      <c r="G218" s="30" t="n"/>
      <c r="H218" s="34">
        <f>IF(AND(F218="",G218=""),"",$B$5+SUM($F$8:F218)-SUM($G$8:G218))</f>
        <v/>
      </c>
    </row>
    <row r="219">
      <c r="A219" s="32" t="n">
        <v>212</v>
      </c>
      <c r="B219" s="33" t="n"/>
      <c r="C219" s="17" t="n"/>
      <c r="D219" s="17" t="n"/>
      <c r="E219" s="17" t="n"/>
      <c r="F219" s="30" t="n"/>
      <c r="G219" s="30" t="n"/>
      <c r="H219" s="34">
        <f>IF(AND(F219="",G219=""),"",$B$5+SUM($F$8:F219)-SUM($G$8:G219))</f>
        <v/>
      </c>
    </row>
    <row r="220">
      <c r="A220" s="32" t="n">
        <v>213</v>
      </c>
      <c r="B220" s="33" t="n"/>
      <c r="C220" s="17" t="n"/>
      <c r="D220" s="17" t="n"/>
      <c r="E220" s="17" t="n"/>
      <c r="F220" s="30" t="n"/>
      <c r="G220" s="30" t="n"/>
      <c r="H220" s="34">
        <f>IF(AND(F220="",G220=""),"",$B$5+SUM($F$8:F220)-SUM($G$8:G220))</f>
        <v/>
      </c>
    </row>
    <row r="221">
      <c r="A221" s="32" t="n">
        <v>214</v>
      </c>
      <c r="B221" s="33" t="n"/>
      <c r="C221" s="17" t="n"/>
      <c r="D221" s="17" t="n"/>
      <c r="E221" s="17" t="n"/>
      <c r="F221" s="30" t="n"/>
      <c r="G221" s="30" t="n"/>
      <c r="H221" s="34">
        <f>IF(AND(F221="",G221=""),"",$B$5+SUM($F$8:F221)-SUM($G$8:G221))</f>
        <v/>
      </c>
    </row>
    <row r="222">
      <c r="A222" s="32" t="n">
        <v>215</v>
      </c>
      <c r="B222" s="33" t="n"/>
      <c r="C222" s="17" t="n"/>
      <c r="D222" s="17" t="n"/>
      <c r="E222" s="17" t="n"/>
      <c r="F222" s="30" t="n"/>
      <c r="G222" s="30" t="n"/>
      <c r="H222" s="34">
        <f>IF(AND(F222="",G222=""),"",$B$5+SUM($F$8:F222)-SUM($G$8:G222))</f>
        <v/>
      </c>
    </row>
    <row r="223">
      <c r="A223" s="32" t="n">
        <v>216</v>
      </c>
      <c r="B223" s="33" t="n"/>
      <c r="C223" s="17" t="n"/>
      <c r="D223" s="17" t="n"/>
      <c r="E223" s="17" t="n"/>
      <c r="F223" s="30" t="n"/>
      <c r="G223" s="30" t="n"/>
      <c r="H223" s="34">
        <f>IF(AND(F223="",G223=""),"",$B$5+SUM($F$8:F223)-SUM($G$8:G223))</f>
        <v/>
      </c>
    </row>
    <row r="224">
      <c r="A224" s="32" t="n">
        <v>217</v>
      </c>
      <c r="B224" s="33" t="n"/>
      <c r="C224" s="17" t="n"/>
      <c r="D224" s="17" t="n"/>
      <c r="E224" s="17" t="n"/>
      <c r="F224" s="30" t="n"/>
      <c r="G224" s="30" t="n"/>
      <c r="H224" s="34">
        <f>IF(AND(F224="",G224=""),"",$B$5+SUM($F$8:F224)-SUM($G$8:G224))</f>
        <v/>
      </c>
    </row>
    <row r="225">
      <c r="A225" s="32" t="n">
        <v>218</v>
      </c>
      <c r="B225" s="33" t="n"/>
      <c r="C225" s="17" t="n"/>
      <c r="D225" s="17" t="n"/>
      <c r="E225" s="17" t="n"/>
      <c r="F225" s="30" t="n"/>
      <c r="G225" s="30" t="n"/>
      <c r="H225" s="34">
        <f>IF(AND(F225="",G225=""),"",$B$5+SUM($F$8:F225)-SUM($G$8:G225))</f>
        <v/>
      </c>
    </row>
    <row r="226">
      <c r="A226" s="32" t="n">
        <v>219</v>
      </c>
      <c r="B226" s="33" t="n"/>
      <c r="C226" s="17" t="n"/>
      <c r="D226" s="17" t="n"/>
      <c r="E226" s="17" t="n"/>
      <c r="F226" s="30" t="n"/>
      <c r="G226" s="30" t="n"/>
      <c r="H226" s="34">
        <f>IF(AND(F226="",G226=""),"",$B$5+SUM($F$8:F226)-SUM($G$8:G226))</f>
        <v/>
      </c>
    </row>
    <row r="227">
      <c r="A227" s="32" t="n">
        <v>220</v>
      </c>
      <c r="B227" s="33" t="n"/>
      <c r="C227" s="17" t="n"/>
      <c r="D227" s="17" t="n"/>
      <c r="E227" s="17" t="n"/>
      <c r="F227" s="30" t="n"/>
      <c r="G227" s="30" t="n"/>
      <c r="H227" s="34">
        <f>IF(AND(F227="",G227=""),"",$B$5+SUM($F$8:F227)-SUM($G$8:G227))</f>
        <v/>
      </c>
    </row>
    <row r="228">
      <c r="A228" s="32" t="n">
        <v>221</v>
      </c>
      <c r="B228" s="33" t="n"/>
      <c r="C228" s="17" t="n"/>
      <c r="D228" s="17" t="n"/>
      <c r="E228" s="17" t="n"/>
      <c r="F228" s="30" t="n"/>
      <c r="G228" s="30" t="n"/>
      <c r="H228" s="34">
        <f>IF(AND(F228="",G228=""),"",$B$5+SUM($F$8:F228)-SUM($G$8:G228))</f>
        <v/>
      </c>
    </row>
    <row r="229">
      <c r="A229" s="32" t="n">
        <v>222</v>
      </c>
      <c r="B229" s="33" t="n"/>
      <c r="C229" s="17" t="n"/>
      <c r="D229" s="17" t="n"/>
      <c r="E229" s="17" t="n"/>
      <c r="F229" s="30" t="n"/>
      <c r="G229" s="30" t="n"/>
      <c r="H229" s="34">
        <f>IF(AND(F229="",G229=""),"",$B$5+SUM($F$8:F229)-SUM($G$8:G229))</f>
        <v/>
      </c>
    </row>
    <row r="230">
      <c r="A230" s="32" t="n">
        <v>223</v>
      </c>
      <c r="B230" s="33" t="n"/>
      <c r="C230" s="17" t="n"/>
      <c r="D230" s="17" t="n"/>
      <c r="E230" s="17" t="n"/>
      <c r="F230" s="30" t="n"/>
      <c r="G230" s="30" t="n"/>
      <c r="H230" s="34">
        <f>IF(AND(F230="",G230=""),"",$B$5+SUM($F$8:F230)-SUM($G$8:G230))</f>
        <v/>
      </c>
    </row>
    <row r="231">
      <c r="A231" s="32" t="n">
        <v>224</v>
      </c>
      <c r="B231" s="33" t="n"/>
      <c r="C231" s="17" t="n"/>
      <c r="D231" s="17" t="n"/>
      <c r="E231" s="17" t="n"/>
      <c r="F231" s="30" t="n"/>
      <c r="G231" s="30" t="n"/>
      <c r="H231" s="34">
        <f>IF(AND(F231="",G231=""),"",$B$5+SUM($F$8:F231)-SUM($G$8:G231))</f>
        <v/>
      </c>
    </row>
    <row r="232">
      <c r="A232" s="32" t="n">
        <v>225</v>
      </c>
      <c r="B232" s="33" t="n"/>
      <c r="C232" s="17" t="n"/>
      <c r="D232" s="17" t="n"/>
      <c r="E232" s="17" t="n"/>
      <c r="F232" s="30" t="n"/>
      <c r="G232" s="30" t="n"/>
      <c r="H232" s="34">
        <f>IF(AND(F232="",G232=""),"",$B$5+SUM($F$8:F232)-SUM($G$8:G232))</f>
        <v/>
      </c>
    </row>
    <row r="233">
      <c r="A233" s="32" t="n">
        <v>226</v>
      </c>
      <c r="B233" s="33" t="n"/>
      <c r="C233" s="17" t="n"/>
      <c r="D233" s="17" t="n"/>
      <c r="E233" s="17" t="n"/>
      <c r="F233" s="30" t="n"/>
      <c r="G233" s="30" t="n"/>
      <c r="H233" s="34">
        <f>IF(AND(F233="",G233=""),"",$B$5+SUM($F$8:F233)-SUM($G$8:G233))</f>
        <v/>
      </c>
    </row>
    <row r="234">
      <c r="A234" s="32" t="n">
        <v>227</v>
      </c>
      <c r="B234" s="33" t="n"/>
      <c r="C234" s="17" t="n"/>
      <c r="D234" s="17" t="n"/>
      <c r="E234" s="17" t="n"/>
      <c r="F234" s="30" t="n"/>
      <c r="G234" s="30" t="n"/>
      <c r="H234" s="34">
        <f>IF(AND(F234="",G234=""),"",$B$5+SUM($F$8:F234)-SUM($G$8:G234))</f>
        <v/>
      </c>
    </row>
    <row r="235">
      <c r="A235" s="32" t="n">
        <v>228</v>
      </c>
      <c r="B235" s="33" t="n"/>
      <c r="C235" s="17" t="n"/>
      <c r="D235" s="17" t="n"/>
      <c r="E235" s="17" t="n"/>
      <c r="F235" s="30" t="n"/>
      <c r="G235" s="30" t="n"/>
      <c r="H235" s="34">
        <f>IF(AND(F235="",G235=""),"",$B$5+SUM($F$8:F235)-SUM($G$8:G235))</f>
        <v/>
      </c>
    </row>
    <row r="236">
      <c r="A236" s="32" t="n">
        <v>229</v>
      </c>
      <c r="B236" s="33" t="n"/>
      <c r="C236" s="17" t="n"/>
      <c r="D236" s="17" t="n"/>
      <c r="E236" s="17" t="n"/>
      <c r="F236" s="30" t="n"/>
      <c r="G236" s="30" t="n"/>
      <c r="H236" s="34">
        <f>IF(AND(F236="",G236=""),"",$B$5+SUM($F$8:F236)-SUM($G$8:G236))</f>
        <v/>
      </c>
    </row>
    <row r="237">
      <c r="A237" s="32" t="n">
        <v>230</v>
      </c>
      <c r="B237" s="33" t="n"/>
      <c r="C237" s="17" t="n"/>
      <c r="D237" s="17" t="n"/>
      <c r="E237" s="17" t="n"/>
      <c r="F237" s="30" t="n"/>
      <c r="G237" s="30" t="n"/>
      <c r="H237" s="34">
        <f>IF(AND(F237="",G237=""),"",$B$5+SUM($F$8:F237)-SUM($G$8:G237))</f>
        <v/>
      </c>
    </row>
    <row r="238">
      <c r="A238" s="32" t="n">
        <v>231</v>
      </c>
      <c r="B238" s="33" t="n"/>
      <c r="C238" s="17" t="n"/>
      <c r="D238" s="17" t="n"/>
      <c r="E238" s="17" t="n"/>
      <c r="F238" s="30" t="n"/>
      <c r="G238" s="30" t="n"/>
      <c r="H238" s="34">
        <f>IF(AND(F238="",G238=""),"",$B$5+SUM($F$8:F238)-SUM($G$8:G238))</f>
        <v/>
      </c>
    </row>
    <row r="239">
      <c r="A239" s="32" t="n">
        <v>232</v>
      </c>
      <c r="B239" s="33" t="n"/>
      <c r="C239" s="17" t="n"/>
      <c r="D239" s="17" t="n"/>
      <c r="E239" s="17" t="n"/>
      <c r="F239" s="30" t="n"/>
      <c r="G239" s="30" t="n"/>
      <c r="H239" s="34">
        <f>IF(AND(F239="",G239=""),"",$B$5+SUM($F$8:F239)-SUM($G$8:G239))</f>
        <v/>
      </c>
    </row>
    <row r="240">
      <c r="A240" s="32" t="n">
        <v>233</v>
      </c>
      <c r="B240" s="33" t="n"/>
      <c r="C240" s="17" t="n"/>
      <c r="D240" s="17" t="n"/>
      <c r="E240" s="17" t="n"/>
      <c r="F240" s="30" t="n"/>
      <c r="G240" s="30" t="n"/>
      <c r="H240" s="34">
        <f>IF(AND(F240="",G240=""),"",$B$5+SUM($F$8:F240)-SUM($G$8:G240))</f>
        <v/>
      </c>
    </row>
    <row r="241">
      <c r="A241" s="32" t="n">
        <v>234</v>
      </c>
      <c r="B241" s="33" t="n"/>
      <c r="C241" s="17" t="n"/>
      <c r="D241" s="17" t="n"/>
      <c r="E241" s="17" t="n"/>
      <c r="F241" s="30" t="n"/>
      <c r="G241" s="30" t="n"/>
      <c r="H241" s="34">
        <f>IF(AND(F241="",G241=""),"",$B$5+SUM($F$8:F241)-SUM($G$8:G241))</f>
        <v/>
      </c>
    </row>
    <row r="242">
      <c r="A242" s="32" t="n">
        <v>235</v>
      </c>
      <c r="B242" s="33" t="n"/>
      <c r="C242" s="17" t="n"/>
      <c r="D242" s="17" t="n"/>
      <c r="E242" s="17" t="n"/>
      <c r="F242" s="30" t="n"/>
      <c r="G242" s="30" t="n"/>
      <c r="H242" s="34">
        <f>IF(AND(F242="",G242=""),"",$B$5+SUM($F$8:F242)-SUM($G$8:G242))</f>
        <v/>
      </c>
    </row>
    <row r="243">
      <c r="A243" s="32" t="n">
        <v>236</v>
      </c>
      <c r="B243" s="33" t="n"/>
      <c r="C243" s="17" t="n"/>
      <c r="D243" s="17" t="n"/>
      <c r="E243" s="17" t="n"/>
      <c r="F243" s="30" t="n"/>
      <c r="G243" s="30" t="n"/>
      <c r="H243" s="34">
        <f>IF(AND(F243="",G243=""),"",$B$5+SUM($F$8:F243)-SUM($G$8:G243))</f>
        <v/>
      </c>
    </row>
    <row r="244">
      <c r="A244" s="32" t="n">
        <v>237</v>
      </c>
      <c r="B244" s="33" t="n"/>
      <c r="C244" s="17" t="n"/>
      <c r="D244" s="17" t="n"/>
      <c r="E244" s="17" t="n"/>
      <c r="F244" s="30" t="n"/>
      <c r="G244" s="30" t="n"/>
      <c r="H244" s="34">
        <f>IF(AND(F244="",G244=""),"",$B$5+SUM($F$8:F244)-SUM($G$8:G244))</f>
        <v/>
      </c>
    </row>
    <row r="245">
      <c r="A245" s="32" t="n">
        <v>238</v>
      </c>
      <c r="B245" s="33" t="n"/>
      <c r="C245" s="17" t="n"/>
      <c r="D245" s="17" t="n"/>
      <c r="E245" s="17" t="n"/>
      <c r="F245" s="30" t="n"/>
      <c r="G245" s="30" t="n"/>
      <c r="H245" s="34">
        <f>IF(AND(F245="",G245=""),"",$B$5+SUM($F$8:F245)-SUM($G$8:G245))</f>
        <v/>
      </c>
    </row>
    <row r="246">
      <c r="A246" s="32" t="n">
        <v>239</v>
      </c>
      <c r="B246" s="33" t="n"/>
      <c r="C246" s="17" t="n"/>
      <c r="D246" s="17" t="n"/>
      <c r="E246" s="17" t="n"/>
      <c r="F246" s="30" t="n"/>
      <c r="G246" s="30" t="n"/>
      <c r="H246" s="34">
        <f>IF(AND(F246="",G246=""),"",$B$5+SUM($F$8:F246)-SUM($G$8:G246))</f>
        <v/>
      </c>
    </row>
    <row r="247">
      <c r="A247" s="32" t="n">
        <v>240</v>
      </c>
      <c r="B247" s="33" t="n"/>
      <c r="C247" s="17" t="n"/>
      <c r="D247" s="17" t="n"/>
      <c r="E247" s="17" t="n"/>
      <c r="F247" s="30" t="n"/>
      <c r="G247" s="30" t="n"/>
      <c r="H247" s="34">
        <f>IF(AND(F247="",G247=""),"",$B$5+SUM($F$8:F247)-SUM($G$8:G247))</f>
        <v/>
      </c>
    </row>
    <row r="248">
      <c r="A248" s="32" t="n">
        <v>241</v>
      </c>
      <c r="B248" s="33" t="n"/>
      <c r="C248" s="17" t="n"/>
      <c r="D248" s="17" t="n"/>
      <c r="E248" s="17" t="n"/>
      <c r="F248" s="30" t="n"/>
      <c r="G248" s="30" t="n"/>
      <c r="H248" s="34">
        <f>IF(AND(F248="",G248=""),"",$B$5+SUM($F$8:F248)-SUM($G$8:G248))</f>
        <v/>
      </c>
    </row>
    <row r="249">
      <c r="A249" s="32" t="n">
        <v>242</v>
      </c>
      <c r="B249" s="33" t="n"/>
      <c r="C249" s="17" t="n"/>
      <c r="D249" s="17" t="n"/>
      <c r="E249" s="17" t="n"/>
      <c r="F249" s="30" t="n"/>
      <c r="G249" s="30" t="n"/>
      <c r="H249" s="34">
        <f>IF(AND(F249="",G249=""),"",$B$5+SUM($F$8:F249)-SUM($G$8:G249))</f>
        <v/>
      </c>
    </row>
    <row r="250">
      <c r="A250" s="32" t="n">
        <v>243</v>
      </c>
      <c r="B250" s="33" t="n"/>
      <c r="C250" s="17" t="n"/>
      <c r="D250" s="17" t="n"/>
      <c r="E250" s="17" t="n"/>
      <c r="F250" s="30" t="n"/>
      <c r="G250" s="30" t="n"/>
      <c r="H250" s="34">
        <f>IF(AND(F250="",G250=""),"",$B$5+SUM($F$8:F250)-SUM($G$8:G250))</f>
        <v/>
      </c>
    </row>
    <row r="251">
      <c r="A251" s="32" t="n">
        <v>244</v>
      </c>
      <c r="B251" s="33" t="n"/>
      <c r="C251" s="17" t="n"/>
      <c r="D251" s="17" t="n"/>
      <c r="E251" s="17" t="n"/>
      <c r="F251" s="30" t="n"/>
      <c r="G251" s="30" t="n"/>
      <c r="H251" s="34">
        <f>IF(AND(F251="",G251=""),"",$B$5+SUM($F$8:F251)-SUM($G$8:G251))</f>
        <v/>
      </c>
    </row>
    <row r="252">
      <c r="A252" s="32" t="n">
        <v>245</v>
      </c>
      <c r="B252" s="33" t="n"/>
      <c r="C252" s="17" t="n"/>
      <c r="D252" s="17" t="n"/>
      <c r="E252" s="17" t="n"/>
      <c r="F252" s="30" t="n"/>
      <c r="G252" s="30" t="n"/>
      <c r="H252" s="34">
        <f>IF(AND(F252="",G252=""),"",$B$5+SUM($F$8:F252)-SUM($G$8:G252))</f>
        <v/>
      </c>
    </row>
    <row r="253">
      <c r="A253" s="32" t="n">
        <v>246</v>
      </c>
      <c r="B253" s="33" t="n"/>
      <c r="C253" s="17" t="n"/>
      <c r="D253" s="17" t="n"/>
      <c r="E253" s="17" t="n"/>
      <c r="F253" s="30" t="n"/>
      <c r="G253" s="30" t="n"/>
      <c r="H253" s="34">
        <f>IF(AND(F253="",G253=""),"",$B$5+SUM($F$8:F253)-SUM($G$8:G253))</f>
        <v/>
      </c>
    </row>
    <row r="254">
      <c r="A254" s="32" t="n">
        <v>247</v>
      </c>
      <c r="B254" s="33" t="n"/>
      <c r="C254" s="17" t="n"/>
      <c r="D254" s="17" t="n"/>
      <c r="E254" s="17" t="n"/>
      <c r="F254" s="30" t="n"/>
      <c r="G254" s="30" t="n"/>
      <c r="H254" s="34">
        <f>IF(AND(F254="",G254=""),"",$B$5+SUM($F$8:F254)-SUM($G$8:G254))</f>
        <v/>
      </c>
    </row>
    <row r="255">
      <c r="A255" s="32" t="n">
        <v>248</v>
      </c>
      <c r="B255" s="33" t="n"/>
      <c r="C255" s="17" t="n"/>
      <c r="D255" s="17" t="n"/>
      <c r="E255" s="17" t="n"/>
      <c r="F255" s="30" t="n"/>
      <c r="G255" s="30" t="n"/>
      <c r="H255" s="34">
        <f>IF(AND(F255="",G255=""),"",$B$5+SUM($F$8:F255)-SUM($G$8:G255))</f>
        <v/>
      </c>
    </row>
    <row r="256">
      <c r="A256" s="32" t="n">
        <v>249</v>
      </c>
      <c r="B256" s="33" t="n"/>
      <c r="C256" s="17" t="n"/>
      <c r="D256" s="17" t="n"/>
      <c r="E256" s="17" t="n"/>
      <c r="F256" s="30" t="n"/>
      <c r="G256" s="30" t="n"/>
      <c r="H256" s="34">
        <f>IF(AND(F256="",G256=""),"",$B$5+SUM($F$8:F256)-SUM($G$8:G256))</f>
        <v/>
      </c>
    </row>
    <row r="257">
      <c r="A257" s="32" t="n">
        <v>250</v>
      </c>
      <c r="B257" s="33" t="n"/>
      <c r="C257" s="17" t="n"/>
      <c r="D257" s="17" t="n"/>
      <c r="E257" s="17" t="n"/>
      <c r="F257" s="30" t="n"/>
      <c r="G257" s="30" t="n"/>
      <c r="H257" s="34">
        <f>IF(AND(F257="",G257=""),"",$B$5+SUM($F$8:F257)-SUM($G$8:G257))</f>
        <v/>
      </c>
    </row>
    <row r="258">
      <c r="A258" s="32" t="n">
        <v>251</v>
      </c>
      <c r="B258" s="33" t="n"/>
      <c r="C258" s="17" t="n"/>
      <c r="D258" s="17" t="n"/>
      <c r="E258" s="17" t="n"/>
      <c r="F258" s="30" t="n"/>
      <c r="G258" s="30" t="n"/>
      <c r="H258" s="34">
        <f>IF(AND(F258="",G258=""),"",$B$5+SUM($F$8:F258)-SUM($G$8:G258))</f>
        <v/>
      </c>
    </row>
    <row r="259">
      <c r="A259" s="32" t="n">
        <v>252</v>
      </c>
      <c r="B259" s="33" t="n"/>
      <c r="C259" s="17" t="n"/>
      <c r="D259" s="17" t="n"/>
      <c r="E259" s="17" t="n"/>
      <c r="F259" s="30" t="n"/>
      <c r="G259" s="30" t="n"/>
      <c r="H259" s="34">
        <f>IF(AND(F259="",G259=""),"",$B$5+SUM($F$8:F259)-SUM($G$8:G259))</f>
        <v/>
      </c>
    </row>
    <row r="260">
      <c r="A260" s="32" t="n">
        <v>253</v>
      </c>
      <c r="B260" s="33" t="n"/>
      <c r="C260" s="17" t="n"/>
      <c r="D260" s="17" t="n"/>
      <c r="E260" s="17" t="n"/>
      <c r="F260" s="30" t="n"/>
      <c r="G260" s="30" t="n"/>
      <c r="H260" s="34">
        <f>IF(AND(F260="",G260=""),"",$B$5+SUM($F$8:F260)-SUM($G$8:G260))</f>
        <v/>
      </c>
    </row>
    <row r="261">
      <c r="A261" s="32" t="n">
        <v>254</v>
      </c>
      <c r="B261" s="33" t="n"/>
      <c r="C261" s="17" t="n"/>
      <c r="D261" s="17" t="n"/>
      <c r="E261" s="17" t="n"/>
      <c r="F261" s="30" t="n"/>
      <c r="G261" s="30" t="n"/>
      <c r="H261" s="34">
        <f>IF(AND(F261="",G261=""),"",$B$5+SUM($F$8:F261)-SUM($G$8:G261))</f>
        <v/>
      </c>
    </row>
    <row r="262">
      <c r="A262" s="32" t="n">
        <v>255</v>
      </c>
      <c r="B262" s="33" t="n"/>
      <c r="C262" s="17" t="n"/>
      <c r="D262" s="17" t="n"/>
      <c r="E262" s="17" t="n"/>
      <c r="F262" s="30" t="n"/>
      <c r="G262" s="30" t="n"/>
      <c r="H262" s="34">
        <f>IF(AND(F262="",G262=""),"",$B$5+SUM($F$8:F262)-SUM($G$8:G262))</f>
        <v/>
      </c>
    </row>
    <row r="263">
      <c r="A263" s="32" t="n">
        <v>256</v>
      </c>
      <c r="B263" s="33" t="n"/>
      <c r="C263" s="17" t="n"/>
      <c r="D263" s="17" t="n"/>
      <c r="E263" s="17" t="n"/>
      <c r="F263" s="30" t="n"/>
      <c r="G263" s="30" t="n"/>
      <c r="H263" s="34">
        <f>IF(AND(F263="",G263=""),"",$B$5+SUM($F$8:F263)-SUM($G$8:G263))</f>
        <v/>
      </c>
    </row>
    <row r="264">
      <c r="A264" s="32" t="n">
        <v>257</v>
      </c>
      <c r="B264" s="33" t="n"/>
      <c r="C264" s="17" t="n"/>
      <c r="D264" s="17" t="n"/>
      <c r="E264" s="17" t="n"/>
      <c r="F264" s="30" t="n"/>
      <c r="G264" s="30" t="n"/>
      <c r="H264" s="34">
        <f>IF(AND(F264="",G264=""),"",$B$5+SUM($F$8:F264)-SUM($G$8:G264))</f>
        <v/>
      </c>
    </row>
    <row r="265">
      <c r="A265" s="32" t="n">
        <v>258</v>
      </c>
      <c r="B265" s="33" t="n"/>
      <c r="C265" s="17" t="n"/>
      <c r="D265" s="17" t="n"/>
      <c r="E265" s="17" t="n"/>
      <c r="F265" s="30" t="n"/>
      <c r="G265" s="30" t="n"/>
      <c r="H265" s="34">
        <f>IF(AND(F265="",G265=""),"",$B$5+SUM($F$8:F265)-SUM($G$8:G265))</f>
        <v/>
      </c>
    </row>
    <row r="266">
      <c r="A266" s="32" t="n">
        <v>259</v>
      </c>
      <c r="B266" s="33" t="n"/>
      <c r="C266" s="17" t="n"/>
      <c r="D266" s="17" t="n"/>
      <c r="E266" s="17" t="n"/>
      <c r="F266" s="30" t="n"/>
      <c r="G266" s="30" t="n"/>
      <c r="H266" s="34">
        <f>IF(AND(F266="",G266=""),"",$B$5+SUM($F$8:F266)-SUM($G$8:G266))</f>
        <v/>
      </c>
    </row>
    <row r="267">
      <c r="A267" s="32" t="n">
        <v>260</v>
      </c>
      <c r="B267" s="33" t="n"/>
      <c r="C267" s="17" t="n"/>
      <c r="D267" s="17" t="n"/>
      <c r="E267" s="17" t="n"/>
      <c r="F267" s="30" t="n"/>
      <c r="G267" s="30" t="n"/>
      <c r="H267" s="34">
        <f>IF(AND(F267="",G267=""),"",$B$5+SUM($F$8:F267)-SUM($G$8:G267))</f>
        <v/>
      </c>
    </row>
    <row r="268">
      <c r="A268" s="32" t="n">
        <v>261</v>
      </c>
      <c r="B268" s="33" t="n"/>
      <c r="C268" s="17" t="n"/>
      <c r="D268" s="17" t="n"/>
      <c r="E268" s="17" t="n"/>
      <c r="F268" s="30" t="n"/>
      <c r="G268" s="30" t="n"/>
      <c r="H268" s="34">
        <f>IF(AND(F268="",G268=""),"",$B$5+SUM($F$8:F268)-SUM($G$8:G268))</f>
        <v/>
      </c>
    </row>
    <row r="269">
      <c r="A269" s="32" t="n">
        <v>262</v>
      </c>
      <c r="B269" s="33" t="n"/>
      <c r="C269" s="17" t="n"/>
      <c r="D269" s="17" t="n"/>
      <c r="E269" s="17" t="n"/>
      <c r="F269" s="30" t="n"/>
      <c r="G269" s="30" t="n"/>
      <c r="H269" s="34">
        <f>IF(AND(F269="",G269=""),"",$B$5+SUM($F$8:F269)-SUM($G$8:G269))</f>
        <v/>
      </c>
    </row>
    <row r="270">
      <c r="A270" s="32" t="n">
        <v>263</v>
      </c>
      <c r="B270" s="33" t="n"/>
      <c r="C270" s="17" t="n"/>
      <c r="D270" s="17" t="n"/>
      <c r="E270" s="17" t="n"/>
      <c r="F270" s="30" t="n"/>
      <c r="G270" s="30" t="n"/>
      <c r="H270" s="34">
        <f>IF(AND(F270="",G270=""),"",$B$5+SUM($F$8:F270)-SUM($G$8:G270))</f>
        <v/>
      </c>
    </row>
    <row r="271">
      <c r="A271" s="32" t="n">
        <v>264</v>
      </c>
      <c r="B271" s="33" t="n"/>
      <c r="C271" s="17" t="n"/>
      <c r="D271" s="17" t="n"/>
      <c r="E271" s="17" t="n"/>
      <c r="F271" s="30" t="n"/>
      <c r="G271" s="30" t="n"/>
      <c r="H271" s="34">
        <f>IF(AND(F271="",G271=""),"",$B$5+SUM($F$8:F271)-SUM($G$8:G271))</f>
        <v/>
      </c>
    </row>
    <row r="272">
      <c r="A272" s="32" t="n">
        <v>265</v>
      </c>
      <c r="B272" s="33" t="n"/>
      <c r="C272" s="17" t="n"/>
      <c r="D272" s="17" t="n"/>
      <c r="E272" s="17" t="n"/>
      <c r="F272" s="30" t="n"/>
      <c r="G272" s="30" t="n"/>
      <c r="H272" s="34">
        <f>IF(AND(F272="",G272=""),"",$B$5+SUM($F$8:F272)-SUM($G$8:G272))</f>
        <v/>
      </c>
    </row>
    <row r="273">
      <c r="A273" s="32" t="n">
        <v>266</v>
      </c>
      <c r="B273" s="33" t="n"/>
      <c r="C273" s="17" t="n"/>
      <c r="D273" s="17" t="n"/>
      <c r="E273" s="17" t="n"/>
      <c r="F273" s="30" t="n"/>
      <c r="G273" s="30" t="n"/>
      <c r="H273" s="34">
        <f>IF(AND(F273="",G273=""),"",$B$5+SUM($F$8:F273)-SUM($G$8:G273))</f>
        <v/>
      </c>
    </row>
    <row r="274">
      <c r="A274" s="32" t="n">
        <v>267</v>
      </c>
      <c r="B274" s="33" t="n"/>
      <c r="C274" s="17" t="n"/>
      <c r="D274" s="17" t="n"/>
      <c r="E274" s="17" t="n"/>
      <c r="F274" s="30" t="n"/>
      <c r="G274" s="30" t="n"/>
      <c r="H274" s="34">
        <f>IF(AND(F274="",G274=""),"",$B$5+SUM($F$8:F274)-SUM($G$8:G274))</f>
        <v/>
      </c>
    </row>
    <row r="275">
      <c r="A275" s="32" t="n">
        <v>268</v>
      </c>
      <c r="B275" s="33" t="n"/>
      <c r="C275" s="17" t="n"/>
      <c r="D275" s="17" t="n"/>
      <c r="E275" s="17" t="n"/>
      <c r="F275" s="30" t="n"/>
      <c r="G275" s="30" t="n"/>
      <c r="H275" s="34">
        <f>IF(AND(F275="",G275=""),"",$B$5+SUM($F$8:F275)-SUM($G$8:G275))</f>
        <v/>
      </c>
    </row>
    <row r="276">
      <c r="A276" s="32" t="n">
        <v>269</v>
      </c>
      <c r="B276" s="33" t="n"/>
      <c r="C276" s="17" t="n"/>
      <c r="D276" s="17" t="n"/>
      <c r="E276" s="17" t="n"/>
      <c r="F276" s="30" t="n"/>
      <c r="G276" s="30" t="n"/>
      <c r="H276" s="34">
        <f>IF(AND(F276="",G276=""),"",$B$5+SUM($F$8:F276)-SUM($G$8:G276))</f>
        <v/>
      </c>
    </row>
    <row r="277">
      <c r="A277" s="32" t="n">
        <v>270</v>
      </c>
      <c r="B277" s="33" t="n"/>
      <c r="C277" s="17" t="n"/>
      <c r="D277" s="17" t="n"/>
      <c r="E277" s="17" t="n"/>
      <c r="F277" s="30" t="n"/>
      <c r="G277" s="30" t="n"/>
      <c r="H277" s="34">
        <f>IF(AND(F277="",G277=""),"",$B$5+SUM($F$8:F277)-SUM($G$8:G277))</f>
        <v/>
      </c>
    </row>
    <row r="278">
      <c r="A278" s="32" t="n">
        <v>271</v>
      </c>
      <c r="B278" s="33" t="n"/>
      <c r="C278" s="17" t="n"/>
      <c r="D278" s="17" t="n"/>
      <c r="E278" s="17" t="n"/>
      <c r="F278" s="30" t="n"/>
      <c r="G278" s="30" t="n"/>
      <c r="H278" s="34">
        <f>IF(AND(F278="",G278=""),"",$B$5+SUM($F$8:F278)-SUM($G$8:G278))</f>
        <v/>
      </c>
    </row>
    <row r="279">
      <c r="A279" s="32" t="n">
        <v>272</v>
      </c>
      <c r="B279" s="33" t="n"/>
      <c r="C279" s="17" t="n"/>
      <c r="D279" s="17" t="n"/>
      <c r="E279" s="17" t="n"/>
      <c r="F279" s="30" t="n"/>
      <c r="G279" s="30" t="n"/>
      <c r="H279" s="34">
        <f>IF(AND(F279="",G279=""),"",$B$5+SUM($F$8:F279)-SUM($G$8:G279))</f>
        <v/>
      </c>
    </row>
    <row r="280">
      <c r="A280" s="32" t="n">
        <v>273</v>
      </c>
      <c r="B280" s="33" t="n"/>
      <c r="C280" s="17" t="n"/>
      <c r="D280" s="17" t="n"/>
      <c r="E280" s="17" t="n"/>
      <c r="F280" s="30" t="n"/>
      <c r="G280" s="30" t="n"/>
      <c r="H280" s="34">
        <f>IF(AND(F280="",G280=""),"",$B$5+SUM($F$8:F280)-SUM($G$8:G280))</f>
        <v/>
      </c>
    </row>
    <row r="281">
      <c r="A281" s="32" t="n">
        <v>274</v>
      </c>
      <c r="B281" s="33" t="n"/>
      <c r="C281" s="17" t="n"/>
      <c r="D281" s="17" t="n"/>
      <c r="E281" s="17" t="n"/>
      <c r="F281" s="30" t="n"/>
      <c r="G281" s="30" t="n"/>
      <c r="H281" s="34">
        <f>IF(AND(F281="",G281=""),"",$B$5+SUM($F$8:F281)-SUM($G$8:G281))</f>
        <v/>
      </c>
    </row>
    <row r="282">
      <c r="A282" s="32" t="n">
        <v>275</v>
      </c>
      <c r="B282" s="33" t="n"/>
      <c r="C282" s="17" t="n"/>
      <c r="D282" s="17" t="n"/>
      <c r="E282" s="17" t="n"/>
      <c r="F282" s="30" t="n"/>
      <c r="G282" s="30" t="n"/>
      <c r="H282" s="34">
        <f>IF(AND(F282="",G282=""),"",$B$5+SUM($F$8:F282)-SUM($G$8:G282))</f>
        <v/>
      </c>
    </row>
    <row r="283">
      <c r="A283" s="32" t="n">
        <v>276</v>
      </c>
      <c r="B283" s="33" t="n"/>
      <c r="C283" s="17" t="n"/>
      <c r="D283" s="17" t="n"/>
      <c r="E283" s="17" t="n"/>
      <c r="F283" s="30" t="n"/>
      <c r="G283" s="30" t="n"/>
      <c r="H283" s="34">
        <f>IF(AND(F283="",G283=""),"",$B$5+SUM($F$8:F283)-SUM($G$8:G283))</f>
        <v/>
      </c>
    </row>
    <row r="284">
      <c r="A284" s="32" t="n">
        <v>277</v>
      </c>
      <c r="B284" s="33" t="n"/>
      <c r="C284" s="17" t="n"/>
      <c r="D284" s="17" t="n"/>
      <c r="E284" s="17" t="n"/>
      <c r="F284" s="30" t="n"/>
      <c r="G284" s="30" t="n"/>
      <c r="H284" s="34">
        <f>IF(AND(F284="",G284=""),"",$B$5+SUM($F$8:F284)-SUM($G$8:G284))</f>
        <v/>
      </c>
    </row>
    <row r="285">
      <c r="A285" s="32" t="n">
        <v>278</v>
      </c>
      <c r="B285" s="33" t="n"/>
      <c r="C285" s="17" t="n"/>
      <c r="D285" s="17" t="n"/>
      <c r="E285" s="17" t="n"/>
      <c r="F285" s="30" t="n"/>
      <c r="G285" s="30" t="n"/>
      <c r="H285" s="34">
        <f>IF(AND(F285="",G285=""),"",$B$5+SUM($F$8:F285)-SUM($G$8:G285))</f>
        <v/>
      </c>
    </row>
    <row r="286">
      <c r="A286" s="32" t="n">
        <v>279</v>
      </c>
      <c r="B286" s="33" t="n"/>
      <c r="C286" s="17" t="n"/>
      <c r="D286" s="17" t="n"/>
      <c r="E286" s="17" t="n"/>
      <c r="F286" s="30" t="n"/>
      <c r="G286" s="30" t="n"/>
      <c r="H286" s="34">
        <f>IF(AND(F286="",G286=""),"",$B$5+SUM($F$8:F286)-SUM($G$8:G286))</f>
        <v/>
      </c>
    </row>
    <row r="287">
      <c r="A287" s="32" t="n">
        <v>280</v>
      </c>
      <c r="B287" s="33" t="n"/>
      <c r="C287" s="17" t="n"/>
      <c r="D287" s="17" t="n"/>
      <c r="E287" s="17" t="n"/>
      <c r="F287" s="30" t="n"/>
      <c r="G287" s="30" t="n"/>
      <c r="H287" s="34">
        <f>IF(AND(F287="",G287=""),"",$B$5+SUM($F$8:F287)-SUM($G$8:G287))</f>
        <v/>
      </c>
    </row>
    <row r="288">
      <c r="A288" s="32" t="n">
        <v>281</v>
      </c>
      <c r="B288" s="33" t="n"/>
      <c r="C288" s="17" t="n"/>
      <c r="D288" s="17" t="n"/>
      <c r="E288" s="17" t="n"/>
      <c r="F288" s="30" t="n"/>
      <c r="G288" s="30" t="n"/>
      <c r="H288" s="34">
        <f>IF(AND(F288="",G288=""),"",$B$5+SUM($F$8:F288)-SUM($G$8:G288))</f>
        <v/>
      </c>
    </row>
    <row r="289">
      <c r="A289" s="32" t="n">
        <v>282</v>
      </c>
      <c r="B289" s="33" t="n"/>
      <c r="C289" s="17" t="n"/>
      <c r="D289" s="17" t="n"/>
      <c r="E289" s="17" t="n"/>
      <c r="F289" s="30" t="n"/>
      <c r="G289" s="30" t="n"/>
      <c r="H289" s="34">
        <f>IF(AND(F289="",G289=""),"",$B$5+SUM($F$8:F289)-SUM($G$8:G289))</f>
        <v/>
      </c>
    </row>
    <row r="290">
      <c r="A290" s="32" t="n">
        <v>283</v>
      </c>
      <c r="B290" s="33" t="n"/>
      <c r="C290" s="17" t="n"/>
      <c r="D290" s="17" t="n"/>
      <c r="E290" s="17" t="n"/>
      <c r="F290" s="30" t="n"/>
      <c r="G290" s="30" t="n"/>
      <c r="H290" s="34">
        <f>IF(AND(F290="",G290=""),"",$B$5+SUM($F$8:F290)-SUM($G$8:G290))</f>
        <v/>
      </c>
    </row>
    <row r="291">
      <c r="A291" s="32" t="n">
        <v>284</v>
      </c>
      <c r="B291" s="33" t="n"/>
      <c r="C291" s="17" t="n"/>
      <c r="D291" s="17" t="n"/>
      <c r="E291" s="17" t="n"/>
      <c r="F291" s="30" t="n"/>
      <c r="G291" s="30" t="n"/>
      <c r="H291" s="34">
        <f>IF(AND(F291="",G291=""),"",$B$5+SUM($F$8:F291)-SUM($G$8:G291))</f>
        <v/>
      </c>
    </row>
    <row r="292">
      <c r="A292" s="32" t="n">
        <v>285</v>
      </c>
      <c r="B292" s="33" t="n"/>
      <c r="C292" s="17" t="n"/>
      <c r="D292" s="17" t="n"/>
      <c r="E292" s="17" t="n"/>
      <c r="F292" s="30" t="n"/>
      <c r="G292" s="30" t="n"/>
      <c r="H292" s="34">
        <f>IF(AND(F292="",G292=""),"",$B$5+SUM($F$8:F292)-SUM($G$8:G292))</f>
        <v/>
      </c>
    </row>
    <row r="293">
      <c r="A293" s="32" t="n">
        <v>286</v>
      </c>
      <c r="B293" s="33" t="n"/>
      <c r="C293" s="17" t="n"/>
      <c r="D293" s="17" t="n"/>
      <c r="E293" s="17" t="n"/>
      <c r="F293" s="30" t="n"/>
      <c r="G293" s="30" t="n"/>
      <c r="H293" s="34">
        <f>IF(AND(F293="",G293=""),"",$B$5+SUM($F$8:F293)-SUM($G$8:G293))</f>
        <v/>
      </c>
    </row>
    <row r="294">
      <c r="A294" s="32" t="n">
        <v>287</v>
      </c>
      <c r="B294" s="33" t="n"/>
      <c r="C294" s="17" t="n"/>
      <c r="D294" s="17" t="n"/>
      <c r="E294" s="17" t="n"/>
      <c r="F294" s="30" t="n"/>
      <c r="G294" s="30" t="n"/>
      <c r="H294" s="34">
        <f>IF(AND(F294="",G294=""),"",$B$5+SUM($F$8:F294)-SUM($G$8:G294))</f>
        <v/>
      </c>
    </row>
    <row r="295">
      <c r="A295" s="32" t="n">
        <v>288</v>
      </c>
      <c r="B295" s="33" t="n"/>
      <c r="C295" s="17" t="n"/>
      <c r="D295" s="17" t="n"/>
      <c r="E295" s="17" t="n"/>
      <c r="F295" s="30" t="n"/>
      <c r="G295" s="30" t="n"/>
      <c r="H295" s="34">
        <f>IF(AND(F295="",G295=""),"",$B$5+SUM($F$8:F295)-SUM($G$8:G295))</f>
        <v/>
      </c>
    </row>
    <row r="296">
      <c r="A296" s="32" t="n">
        <v>289</v>
      </c>
      <c r="B296" s="33" t="n"/>
      <c r="C296" s="17" t="n"/>
      <c r="D296" s="17" t="n"/>
      <c r="E296" s="17" t="n"/>
      <c r="F296" s="30" t="n"/>
      <c r="G296" s="30" t="n"/>
      <c r="H296" s="34">
        <f>IF(AND(F296="",G296=""),"",$B$5+SUM($F$8:F296)-SUM($G$8:G296))</f>
        <v/>
      </c>
    </row>
    <row r="297">
      <c r="A297" s="32" t="n">
        <v>290</v>
      </c>
      <c r="B297" s="33" t="n"/>
      <c r="C297" s="17" t="n"/>
      <c r="D297" s="17" t="n"/>
      <c r="E297" s="17" t="n"/>
      <c r="F297" s="30" t="n"/>
      <c r="G297" s="30" t="n"/>
      <c r="H297" s="34">
        <f>IF(AND(F297="",G297=""),"",$B$5+SUM($F$8:F297)-SUM($G$8:G297))</f>
        <v/>
      </c>
    </row>
    <row r="298">
      <c r="A298" s="32" t="n">
        <v>291</v>
      </c>
      <c r="B298" s="33" t="n"/>
      <c r="C298" s="17" t="n"/>
      <c r="D298" s="17" t="n"/>
      <c r="E298" s="17" t="n"/>
      <c r="F298" s="30" t="n"/>
      <c r="G298" s="30" t="n"/>
      <c r="H298" s="34">
        <f>IF(AND(F298="",G298=""),"",$B$5+SUM($F$8:F298)-SUM($G$8:G298))</f>
        <v/>
      </c>
    </row>
    <row r="299">
      <c r="A299" s="32" t="n">
        <v>292</v>
      </c>
      <c r="B299" s="33" t="n"/>
      <c r="C299" s="17" t="n"/>
      <c r="D299" s="17" t="n"/>
      <c r="E299" s="17" t="n"/>
      <c r="F299" s="30" t="n"/>
      <c r="G299" s="30" t="n"/>
      <c r="H299" s="34">
        <f>IF(AND(F299="",G299=""),"",$B$5+SUM($F$8:F299)-SUM($G$8:G299))</f>
        <v/>
      </c>
    </row>
    <row r="300">
      <c r="A300" s="32" t="n">
        <v>293</v>
      </c>
      <c r="B300" s="33" t="n"/>
      <c r="C300" s="17" t="n"/>
      <c r="D300" s="17" t="n"/>
      <c r="E300" s="17" t="n"/>
      <c r="F300" s="30" t="n"/>
      <c r="G300" s="30" t="n"/>
      <c r="H300" s="34">
        <f>IF(AND(F300="",G300=""),"",$B$5+SUM($F$8:F300)-SUM($G$8:G300))</f>
        <v/>
      </c>
    </row>
    <row r="301">
      <c r="A301" s="32" t="n">
        <v>294</v>
      </c>
      <c r="B301" s="33" t="n"/>
      <c r="C301" s="17" t="n"/>
      <c r="D301" s="17" t="n"/>
      <c r="E301" s="17" t="n"/>
      <c r="F301" s="30" t="n"/>
      <c r="G301" s="30" t="n"/>
      <c r="H301" s="34">
        <f>IF(AND(F301="",G301=""),"",$B$5+SUM($F$8:F301)-SUM($G$8:G301))</f>
        <v/>
      </c>
    </row>
    <row r="302">
      <c r="A302" s="32" t="n">
        <v>295</v>
      </c>
      <c r="B302" s="33" t="n"/>
      <c r="C302" s="17" t="n"/>
      <c r="D302" s="17" t="n"/>
      <c r="E302" s="17" t="n"/>
      <c r="F302" s="30" t="n"/>
      <c r="G302" s="30" t="n"/>
      <c r="H302" s="34">
        <f>IF(AND(F302="",G302=""),"",$B$5+SUM($F$8:F302)-SUM($G$8:G302))</f>
        <v/>
      </c>
    </row>
    <row r="303">
      <c r="A303" s="32" t="n">
        <v>296</v>
      </c>
      <c r="B303" s="33" t="n"/>
      <c r="C303" s="17" t="n"/>
      <c r="D303" s="17" t="n"/>
      <c r="E303" s="17" t="n"/>
      <c r="F303" s="30" t="n"/>
      <c r="G303" s="30" t="n"/>
      <c r="H303" s="34">
        <f>IF(AND(F303="",G303=""),"",$B$5+SUM($F$8:F303)-SUM($G$8:G303))</f>
        <v/>
      </c>
    </row>
    <row r="304">
      <c r="A304" s="32" t="n">
        <v>297</v>
      </c>
      <c r="B304" s="33" t="n"/>
      <c r="C304" s="17" t="n"/>
      <c r="D304" s="17" t="n"/>
      <c r="E304" s="17" t="n"/>
      <c r="F304" s="30" t="n"/>
      <c r="G304" s="30" t="n"/>
      <c r="H304" s="34">
        <f>IF(AND(F304="",G304=""),"",$B$5+SUM($F$8:F304)-SUM($G$8:G304))</f>
        <v/>
      </c>
    </row>
    <row r="305">
      <c r="A305" s="32" t="n">
        <v>298</v>
      </c>
      <c r="B305" s="33" t="n"/>
      <c r="C305" s="17" t="n"/>
      <c r="D305" s="17" t="n"/>
      <c r="E305" s="17" t="n"/>
      <c r="F305" s="30" t="n"/>
      <c r="G305" s="30" t="n"/>
      <c r="H305" s="34">
        <f>IF(AND(F305="",G305=""),"",$B$5+SUM($F$8:F305)-SUM($G$8:G305))</f>
        <v/>
      </c>
    </row>
    <row r="306">
      <c r="A306" s="32" t="n">
        <v>299</v>
      </c>
      <c r="B306" s="33" t="n"/>
      <c r="C306" s="17" t="n"/>
      <c r="D306" s="17" t="n"/>
      <c r="E306" s="17" t="n"/>
      <c r="F306" s="30" t="n"/>
      <c r="G306" s="30" t="n"/>
      <c r="H306" s="34">
        <f>IF(AND(F306="",G306=""),"",$B$5+SUM($F$8:F306)-SUM($G$8:G306))</f>
        <v/>
      </c>
    </row>
    <row r="307">
      <c r="A307" s="32" t="n">
        <v>300</v>
      </c>
      <c r="B307" s="33" t="n"/>
      <c r="C307" s="17" t="n"/>
      <c r="D307" s="17" t="n"/>
      <c r="E307" s="17" t="n"/>
      <c r="F307" s="30" t="n"/>
      <c r="G307" s="30" t="n"/>
      <c r="H307" s="34">
        <f>IF(AND(F307="",G307=""),"",$B$5+SUM($F$8:F307)-SUM($G$8:G307))</f>
        <v/>
      </c>
    </row>
    <row r="308">
      <c r="A308" s="4" t="n"/>
      <c r="B308" s="4" t="n"/>
      <c r="C308" s="4" t="n"/>
      <c r="D308" s="4" t="n"/>
      <c r="E308" s="35" t="inlineStr">
        <is>
          <t>TOTAL</t>
        </is>
      </c>
      <c r="F308" s="36">
        <f>SUM(F8:F307)</f>
        <v/>
      </c>
      <c r="G308" s="36">
        <f>SUM(G8:G307)</f>
        <v/>
      </c>
      <c r="H308" s="36">
        <f>B5+F308-G308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7:H307"/>
  <mergeCells count="6">
    <mergeCell ref="A2:F2"/>
    <mergeCell ref="B5:D5"/>
    <mergeCell ref="A1:F1"/>
    <mergeCell ref="B4:D4"/>
    <mergeCell ref="G1:H2"/>
    <mergeCell ref="F4:H4"/>
  </mergeCells>
  <dataValidations count="2">
    <dataValidation sqref="D8:D307" showDropDown="0" showInputMessage="0" showErrorMessage="0" allowBlank="1" type="list">
      <formula1>=OFFSET('CATÁLOGOS'!$B$5,0,0,MAX(1,COUNTA('CATÁLOGOS'!$B$5:$B$34)),1)</formula1>
    </dataValidation>
    <dataValidation sqref="E8:E307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4" customWidth="1" min="4" max="4"/>
    <col width="10" customWidth="1" min="5" max="5"/>
  </cols>
  <sheetData>
    <row r="1" ht="44" customHeight="1">
      <c r="A1" s="22" t="inlineStr">
        <is>
          <t>CATÁLOGOS EDITABLES</t>
        </is>
      </c>
      <c r="C1" s="54" t="inlineStr">
        <is>
          <t>INSERTE SU LOGO
(clic derecho &gt; Insertar imagen)</t>
        </is>
      </c>
      <c r="D1" s="62" t="n"/>
      <c r="E1" s="55" t="n"/>
    </row>
    <row r="2" ht="26" customHeight="1">
      <c r="A2" s="56" t="inlineStr">
        <is>
          <t>Las listas desplegables del formato se alimentan de estas columnas</t>
        </is>
      </c>
      <c r="B2" s="57" t="n"/>
      <c r="C2" s="58" t="n"/>
      <c r="D2" s="63" t="n"/>
      <c r="E2" s="59" t="n"/>
    </row>
    <row r="3">
      <c r="A3" s="4" t="n"/>
      <c r="B3" s="4" t="n"/>
      <c r="C3" s="4" t="n"/>
      <c r="D3" s="4" t="n"/>
      <c r="E3" s="4" t="n"/>
    </row>
    <row r="4" ht="32" customHeight="1">
      <c r="A4" s="4" t="n"/>
      <c r="B4" s="31" t="inlineStr">
        <is>
          <t>CATEGORÍAS</t>
        </is>
      </c>
      <c r="C4" s="31" t="inlineStr">
        <is>
          <t>MÉTODOS DE PAGO</t>
        </is>
      </c>
      <c r="D4" s="4" t="n"/>
      <c r="E4" s="4" t="n"/>
    </row>
    <row r="5">
      <c r="A5" s="4" t="n"/>
      <c r="B5" s="17" t="inlineStr">
        <is>
          <t>VENTAS</t>
        </is>
      </c>
      <c r="C5" s="17" t="inlineStr">
        <is>
          <t>EFECTIVO</t>
        </is>
      </c>
      <c r="D5" s="4" t="n"/>
      <c r="E5" s="4" t="n"/>
    </row>
    <row r="6">
      <c r="A6" s="4" t="n"/>
      <c r="B6" s="17" t="inlineStr">
        <is>
          <t>SERVICIOS</t>
        </is>
      </c>
      <c r="C6" s="17" t="inlineStr">
        <is>
          <t>TRANSFERENCIA</t>
        </is>
      </c>
      <c r="D6" s="4" t="n"/>
      <c r="E6" s="4" t="n"/>
    </row>
    <row r="7">
      <c r="A7" s="4" t="n"/>
      <c r="B7" s="17" t="inlineStr">
        <is>
          <t>OTROS INGRESOS</t>
        </is>
      </c>
      <c r="C7" s="17" t="inlineStr">
        <is>
          <t>TARJETA</t>
        </is>
      </c>
      <c r="D7" s="4" t="n"/>
      <c r="E7" s="4" t="n"/>
    </row>
    <row r="8">
      <c r="A8" s="4" t="n"/>
      <c r="B8" s="17" t="inlineStr">
        <is>
          <t>NÓMINA</t>
        </is>
      </c>
      <c r="C8" s="17" t="inlineStr">
        <is>
          <t>CHEQUE</t>
        </is>
      </c>
      <c r="D8" s="4" t="n"/>
      <c r="E8" s="4" t="n"/>
    </row>
    <row r="9">
      <c r="A9" s="4" t="n"/>
      <c r="B9" s="17" t="inlineStr">
        <is>
          <t>RENTA</t>
        </is>
      </c>
      <c r="C9" s="17" t="inlineStr">
        <is>
          <t>DEPÓSITO</t>
        </is>
      </c>
      <c r="D9" s="4" t="n"/>
      <c r="E9" s="4" t="n"/>
    </row>
    <row r="10">
      <c r="A10" s="4" t="n"/>
      <c r="B10" s="17" t="inlineStr">
        <is>
          <t>SERVICIOS (LUZ/AGUA/TEL)</t>
        </is>
      </c>
      <c r="C10" s="17" t="n"/>
      <c r="D10" s="4" t="n"/>
      <c r="E10" s="4" t="n"/>
    </row>
    <row r="11">
      <c r="A11" s="4" t="n"/>
      <c r="B11" s="17" t="inlineStr">
        <is>
          <t>INSUMOS</t>
        </is>
      </c>
      <c r="C11" s="17" t="n"/>
      <c r="D11" s="4" t="n"/>
      <c r="E11" s="4" t="n"/>
    </row>
    <row r="12">
      <c r="A12" s="4" t="n"/>
      <c r="B12" s="17" t="inlineStr">
        <is>
          <t>IMPUESTOS</t>
        </is>
      </c>
      <c r="C12" s="17" t="n"/>
      <c r="D12" s="4" t="n"/>
      <c r="E12" s="4" t="n"/>
    </row>
    <row r="13">
      <c r="A13" s="4" t="n"/>
      <c r="B13" s="17" t="inlineStr">
        <is>
          <t>PUBLICIDAD</t>
        </is>
      </c>
      <c r="C13" s="17" t="n"/>
      <c r="D13" s="4" t="n"/>
      <c r="E13" s="4" t="n"/>
    </row>
    <row r="14">
      <c r="A14" s="4" t="n"/>
      <c r="B14" s="17" t="inlineStr">
        <is>
          <t>TRANSPORTE</t>
        </is>
      </c>
      <c r="C14" s="17" t="n"/>
      <c r="D14" s="4" t="n"/>
      <c r="E14" s="4" t="n"/>
    </row>
    <row r="15">
      <c r="A15" s="4" t="n"/>
      <c r="B15" s="17" t="inlineStr">
        <is>
          <t>MANTENIMIENTO</t>
        </is>
      </c>
      <c r="C15" s="17" t="n"/>
      <c r="D15" s="4" t="n"/>
      <c r="E15" s="4" t="n"/>
    </row>
    <row r="16">
      <c r="A16" s="4" t="n"/>
      <c r="B16" s="17" t="inlineStr">
        <is>
          <t>OTROS GASTOS</t>
        </is>
      </c>
      <c r="C16" s="17" t="n"/>
      <c r="D16" s="4" t="n"/>
      <c r="E16" s="4" t="n"/>
    </row>
    <row r="17">
      <c r="A17" s="4" t="n"/>
      <c r="B17" s="17" t="n"/>
      <c r="C17" s="17" t="n"/>
      <c r="D17" s="4" t="n"/>
      <c r="E17" s="4" t="n"/>
    </row>
    <row r="18">
      <c r="A18" s="4" t="n"/>
      <c r="B18" s="17" t="n"/>
      <c r="C18" s="17" t="n"/>
      <c r="D18" s="4" t="n"/>
      <c r="E18" s="4" t="n"/>
    </row>
    <row r="19">
      <c r="A19" s="4" t="n"/>
      <c r="B19" s="17" t="n"/>
      <c r="C19" s="17" t="n"/>
      <c r="D19" s="4" t="n"/>
      <c r="E19" s="4" t="n"/>
    </row>
    <row r="20">
      <c r="A20" s="4" t="n"/>
      <c r="B20" s="17" t="n"/>
      <c r="C20" s="17" t="n"/>
      <c r="D20" s="4" t="n"/>
      <c r="E20" s="4" t="n"/>
    </row>
    <row r="21">
      <c r="A21" s="4" t="n"/>
      <c r="B21" s="17" t="n"/>
      <c r="C21" s="17" t="n"/>
      <c r="D21" s="4" t="n"/>
      <c r="E21" s="4" t="n"/>
    </row>
    <row r="22">
      <c r="A22" s="4" t="n"/>
      <c r="B22" s="17" t="n"/>
      <c r="C22" s="17" t="n"/>
      <c r="D22" s="4" t="n"/>
      <c r="E22" s="4" t="n"/>
    </row>
    <row r="23">
      <c r="A23" s="4" t="n"/>
      <c r="B23" s="17" t="n"/>
      <c r="C23" s="17" t="n"/>
      <c r="D23" s="4" t="n"/>
      <c r="E23" s="4" t="n"/>
    </row>
    <row r="24">
      <c r="A24" s="4" t="n"/>
      <c r="B24" s="17" t="n"/>
      <c r="C24" s="17" t="n"/>
      <c r="D24" s="4" t="n"/>
      <c r="E24" s="4" t="n"/>
    </row>
    <row r="25">
      <c r="A25" s="4" t="n"/>
      <c r="B25" s="17" t="n"/>
      <c r="C25" s="17" t="n"/>
      <c r="D25" s="4" t="n"/>
      <c r="E25" s="4" t="n"/>
    </row>
    <row r="26">
      <c r="A26" s="4" t="n"/>
      <c r="B26" s="17" t="n"/>
      <c r="C26" s="17" t="n"/>
      <c r="D26" s="4" t="n"/>
      <c r="E26" s="4" t="n"/>
    </row>
    <row r="27">
      <c r="A27" s="4" t="n"/>
      <c r="B27" s="17" t="n"/>
      <c r="C27" s="17" t="n"/>
      <c r="D27" s="4" t="n"/>
      <c r="E27" s="4" t="n"/>
    </row>
    <row r="28">
      <c r="A28" s="4" t="n"/>
      <c r="B28" s="17" t="n"/>
      <c r="C28" s="17" t="n"/>
      <c r="D28" s="4" t="n"/>
      <c r="E28" s="4" t="n"/>
    </row>
    <row r="29">
      <c r="A29" s="4" t="n"/>
      <c r="B29" s="17" t="n"/>
      <c r="C29" s="17" t="n"/>
      <c r="D29" s="4" t="n"/>
      <c r="E29" s="4" t="n"/>
    </row>
    <row r="30">
      <c r="A30" s="4" t="n"/>
      <c r="B30" s="17" t="n"/>
      <c r="C30" s="17" t="n"/>
      <c r="D30" s="4" t="n"/>
      <c r="E30" s="4" t="n"/>
    </row>
    <row r="31">
      <c r="A31" s="4" t="n"/>
      <c r="B31" s="17" t="n"/>
      <c r="C31" s="17" t="n"/>
      <c r="D31" s="4" t="n"/>
      <c r="E31" s="4" t="n"/>
    </row>
    <row r="32">
      <c r="A32" s="4" t="n"/>
      <c r="B32" s="17" t="n"/>
      <c r="C32" s="17" t="n"/>
      <c r="D32" s="4" t="n"/>
      <c r="E32" s="4" t="n"/>
    </row>
    <row r="33">
      <c r="A33" s="4" t="n"/>
      <c r="B33" s="17" t="n"/>
      <c r="C33" s="17" t="n"/>
      <c r="D33" s="4" t="n"/>
      <c r="E33" s="4" t="n"/>
    </row>
    <row r="34">
      <c r="A34" s="4" t="n"/>
      <c r="B34" s="17" t="n"/>
      <c r="C34" s="17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39" t="inlineStr">
        <is>
          <t>Escribe una opción por renglón, sin dejar espacios en blanco entre ellas.</t>
        </is>
      </c>
      <c r="C36" s="4" t="n"/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B2"/>
    <mergeCell ref="C1:E2"/>
    <mergeCell ref="A1:B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INGRESOS Y GASTOS</t>
        </is>
      </c>
      <c r="H1" s="54" t="inlineStr">
        <is>
          <t>INSERTE SU LOGO
(clic derecho &gt; Insertar imagen)</t>
        </is>
      </c>
      <c r="I1" s="62" t="n"/>
      <c r="J1" s="55" t="n"/>
    </row>
    <row r="2" ht="26" customHeight="1">
      <c r="A2" s="56" t="inlineStr">
        <is>
          <t>Se actualiza solo con lo que captures en la hoja FORMATO</t>
        </is>
      </c>
      <c r="B2" s="57" t="n"/>
      <c r="C2" s="57" t="n"/>
      <c r="D2" s="57" t="n"/>
      <c r="E2" s="57" t="n"/>
      <c r="F2" s="57" t="n"/>
      <c r="G2" s="57" t="n"/>
      <c r="H2" s="58" t="n"/>
      <c r="I2" s="63" t="n"/>
      <c r="J2" s="5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4" t="inlineStr">
        <is>
          <t>TOTAL INGRESOS</t>
        </is>
      </c>
      <c r="C4" s="65" t="n"/>
      <c r="D4" s="64" t="inlineStr">
        <is>
          <t>TOTAL GASTOS</t>
        </is>
      </c>
      <c r="E4" s="65" t="n"/>
      <c r="F4" s="64" t="inlineStr">
        <is>
          <t>SALDO FINAL</t>
        </is>
      </c>
      <c r="G4" s="65" t="n"/>
      <c r="H4" s="64" t="inlineStr">
        <is>
          <t>MARGEN (%)</t>
        </is>
      </c>
      <c r="I4" s="65" t="n"/>
      <c r="J4" s="4" t="n"/>
    </row>
    <row r="5" ht="36" customHeight="1">
      <c r="A5" s="4" t="n"/>
      <c r="B5" s="66">
        <f>FORMATO!F308</f>
        <v/>
      </c>
      <c r="C5" s="67" t="n"/>
      <c r="D5" s="66">
        <f>FORMATO!G308</f>
        <v/>
      </c>
      <c r="E5" s="67" t="n"/>
      <c r="F5" s="66">
        <f>FORMATO!H308</f>
        <v/>
      </c>
      <c r="G5" s="67" t="n"/>
      <c r="H5" s="68">
        <f>IFERROR((FORMATO!F308-FORMATO!G308)/FORMATO!F308,0)</f>
        <v/>
      </c>
      <c r="I5" s="6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31" t="inlineStr">
        <is>
          <t>MES</t>
        </is>
      </c>
      <c r="C46" s="31" t="inlineStr">
        <is>
          <t>INGRESOS</t>
        </is>
      </c>
      <c r="D46" s="31" t="inlineStr">
        <is>
          <t>GASTOS</t>
        </is>
      </c>
      <c r="E46" s="31" t="inlineStr">
        <is>
          <t>SALDO DEL MES</t>
        </is>
      </c>
      <c r="F46" s="4" t="n"/>
      <c r="G46" s="31" t="inlineStr">
        <is>
          <t>CATEGORÍA</t>
        </is>
      </c>
      <c r="H46" s="31" t="inlineStr">
        <is>
          <t>INGRESOS</t>
        </is>
      </c>
      <c r="I46" s="31" t="inlineStr">
        <is>
          <t>GASTOS</t>
        </is>
      </c>
      <c r="J46" s="4" t="n"/>
    </row>
    <row r="47">
      <c r="A47" s="4" t="n"/>
      <c r="B47" s="45" t="inlineStr">
        <is>
          <t>ENERO</t>
        </is>
      </c>
      <c r="C47" s="34">
        <f>SUMPRODUCT((FORMATO!$B$8:$B$307&lt;&gt;"")*(MONTH(FORMATO!$B$8:$B$307)=1)*FORMATO!$F$8:$F$307)</f>
        <v/>
      </c>
      <c r="D47" s="34">
        <f>SUMPRODUCT((FORMATO!$B$8:$B$307&lt;&gt;"")*(MONTH(FORMATO!$B$8:$B$307)=1)*FORMATO!$G$8:$G$307)</f>
        <v/>
      </c>
      <c r="E47" s="34">
        <f>C47-D47</f>
        <v/>
      </c>
      <c r="F47" s="4" t="n"/>
      <c r="G47" s="45">
        <f>IF('CATÁLOGOS'!B5="","",'CATÁLOGOS'!B5)</f>
        <v/>
      </c>
      <c r="H47" s="34">
        <f>IF(G47="",0,SUMIF(FORMATO!$D$8:$D$307,G47,FORMATO!$F$8:$F$307))</f>
        <v/>
      </c>
      <c r="I47" s="34">
        <f>IF(G47="",0,SUMIF(FORMATO!$D$8:$D$307,G47,FORMATO!$G$8:$G$307))</f>
        <v/>
      </c>
      <c r="J47" s="4" t="n"/>
    </row>
    <row r="48">
      <c r="A48" s="4" t="n"/>
      <c r="B48" s="45" t="inlineStr">
        <is>
          <t>FEBRERO</t>
        </is>
      </c>
      <c r="C48" s="34">
        <f>SUMPRODUCT((FORMATO!$B$8:$B$307&lt;&gt;"")*(MONTH(FORMATO!$B$8:$B$307)=2)*FORMATO!$F$8:$F$307)</f>
        <v/>
      </c>
      <c r="D48" s="34">
        <f>SUMPRODUCT((FORMATO!$B$8:$B$307&lt;&gt;"")*(MONTH(FORMATO!$B$8:$B$307)=2)*FORMATO!$G$8:$G$307)</f>
        <v/>
      </c>
      <c r="E48" s="34">
        <f>C48-D48</f>
        <v/>
      </c>
      <c r="F48" s="4" t="n"/>
      <c r="G48" s="45">
        <f>IF('CATÁLOGOS'!B6="","",'CATÁLOGOS'!B6)</f>
        <v/>
      </c>
      <c r="H48" s="34">
        <f>IF(G48="",0,SUMIF(FORMATO!$D$8:$D$307,G48,FORMATO!$F$8:$F$307))</f>
        <v/>
      </c>
      <c r="I48" s="34">
        <f>IF(G48="",0,SUMIF(FORMATO!$D$8:$D$307,G48,FORMATO!$G$8:$G$307))</f>
        <v/>
      </c>
      <c r="J48" s="4" t="n"/>
    </row>
    <row r="49">
      <c r="A49" s="4" t="n"/>
      <c r="B49" s="45" t="inlineStr">
        <is>
          <t>MARZO</t>
        </is>
      </c>
      <c r="C49" s="34">
        <f>SUMPRODUCT((FORMATO!$B$8:$B$307&lt;&gt;"")*(MONTH(FORMATO!$B$8:$B$307)=3)*FORMATO!$F$8:$F$307)</f>
        <v/>
      </c>
      <c r="D49" s="34">
        <f>SUMPRODUCT((FORMATO!$B$8:$B$307&lt;&gt;"")*(MONTH(FORMATO!$B$8:$B$307)=3)*FORMATO!$G$8:$G$307)</f>
        <v/>
      </c>
      <c r="E49" s="34">
        <f>C49-D49</f>
        <v/>
      </c>
      <c r="F49" s="4" t="n"/>
      <c r="G49" s="45">
        <f>IF('CATÁLOGOS'!B7="","",'CATÁLOGOS'!B7)</f>
        <v/>
      </c>
      <c r="H49" s="34">
        <f>IF(G49="",0,SUMIF(FORMATO!$D$8:$D$307,G49,FORMATO!$F$8:$F$307))</f>
        <v/>
      </c>
      <c r="I49" s="34">
        <f>IF(G49="",0,SUMIF(FORMATO!$D$8:$D$307,G49,FORMATO!$G$8:$G$307))</f>
        <v/>
      </c>
      <c r="J49" s="4" t="n"/>
    </row>
    <row r="50">
      <c r="A50" s="4" t="n"/>
      <c r="B50" s="45" t="inlineStr">
        <is>
          <t>ABRIL</t>
        </is>
      </c>
      <c r="C50" s="34">
        <f>SUMPRODUCT((FORMATO!$B$8:$B$307&lt;&gt;"")*(MONTH(FORMATO!$B$8:$B$307)=4)*FORMATO!$F$8:$F$307)</f>
        <v/>
      </c>
      <c r="D50" s="34">
        <f>SUMPRODUCT((FORMATO!$B$8:$B$307&lt;&gt;"")*(MONTH(FORMATO!$B$8:$B$307)=4)*FORMATO!$G$8:$G$307)</f>
        <v/>
      </c>
      <c r="E50" s="34">
        <f>C50-D50</f>
        <v/>
      </c>
      <c r="F50" s="4" t="n"/>
      <c r="G50" s="45">
        <f>IF('CATÁLOGOS'!B8="","",'CATÁLOGOS'!B8)</f>
        <v/>
      </c>
      <c r="H50" s="34">
        <f>IF(G50="",0,SUMIF(FORMATO!$D$8:$D$307,G50,FORMATO!$F$8:$F$307))</f>
        <v/>
      </c>
      <c r="I50" s="34">
        <f>IF(G50="",0,SUMIF(FORMATO!$D$8:$D$307,G50,FORMATO!$G$8:$G$307))</f>
        <v/>
      </c>
      <c r="J50" s="4" t="n"/>
    </row>
    <row r="51">
      <c r="A51" s="4" t="n"/>
      <c r="B51" s="45" t="inlineStr">
        <is>
          <t>MAYO</t>
        </is>
      </c>
      <c r="C51" s="34">
        <f>SUMPRODUCT((FORMATO!$B$8:$B$307&lt;&gt;"")*(MONTH(FORMATO!$B$8:$B$307)=5)*FORMATO!$F$8:$F$307)</f>
        <v/>
      </c>
      <c r="D51" s="34">
        <f>SUMPRODUCT((FORMATO!$B$8:$B$307&lt;&gt;"")*(MONTH(FORMATO!$B$8:$B$307)=5)*FORMATO!$G$8:$G$307)</f>
        <v/>
      </c>
      <c r="E51" s="34">
        <f>C51-D51</f>
        <v/>
      </c>
      <c r="F51" s="4" t="n"/>
      <c r="G51" s="45">
        <f>IF('CATÁLOGOS'!B9="","",'CATÁLOGOS'!B9)</f>
        <v/>
      </c>
      <c r="H51" s="34">
        <f>IF(G51="",0,SUMIF(FORMATO!$D$8:$D$307,G51,FORMATO!$F$8:$F$307))</f>
        <v/>
      </c>
      <c r="I51" s="34">
        <f>IF(G51="",0,SUMIF(FORMATO!$D$8:$D$307,G51,FORMATO!$G$8:$G$307))</f>
        <v/>
      </c>
      <c r="J51" s="4" t="n"/>
    </row>
    <row r="52">
      <c r="A52" s="4" t="n"/>
      <c r="B52" s="45" t="inlineStr">
        <is>
          <t>JUNIO</t>
        </is>
      </c>
      <c r="C52" s="34">
        <f>SUMPRODUCT((FORMATO!$B$8:$B$307&lt;&gt;"")*(MONTH(FORMATO!$B$8:$B$307)=6)*FORMATO!$F$8:$F$307)</f>
        <v/>
      </c>
      <c r="D52" s="34">
        <f>SUMPRODUCT((FORMATO!$B$8:$B$307&lt;&gt;"")*(MONTH(FORMATO!$B$8:$B$307)=6)*FORMATO!$G$8:$G$307)</f>
        <v/>
      </c>
      <c r="E52" s="34">
        <f>C52-D52</f>
        <v/>
      </c>
      <c r="F52" s="4" t="n"/>
      <c r="G52" s="45">
        <f>IF('CATÁLOGOS'!B10="","",'CATÁLOGOS'!B10)</f>
        <v/>
      </c>
      <c r="H52" s="34">
        <f>IF(G52="",0,SUMIF(FORMATO!$D$8:$D$307,G52,FORMATO!$F$8:$F$307))</f>
        <v/>
      </c>
      <c r="I52" s="34">
        <f>IF(G52="",0,SUMIF(FORMATO!$D$8:$D$307,G52,FORMATO!$G$8:$G$307))</f>
        <v/>
      </c>
      <c r="J52" s="4" t="n"/>
    </row>
    <row r="53">
      <c r="A53" s="4" t="n"/>
      <c r="B53" s="45" t="inlineStr">
        <is>
          <t>JULIO</t>
        </is>
      </c>
      <c r="C53" s="34">
        <f>SUMPRODUCT((FORMATO!$B$8:$B$307&lt;&gt;"")*(MONTH(FORMATO!$B$8:$B$307)=7)*FORMATO!$F$8:$F$307)</f>
        <v/>
      </c>
      <c r="D53" s="34">
        <f>SUMPRODUCT((FORMATO!$B$8:$B$307&lt;&gt;"")*(MONTH(FORMATO!$B$8:$B$307)=7)*FORMATO!$G$8:$G$307)</f>
        <v/>
      </c>
      <c r="E53" s="34">
        <f>C53-D53</f>
        <v/>
      </c>
      <c r="F53" s="4" t="n"/>
      <c r="G53" s="45">
        <f>IF('CATÁLOGOS'!B11="","",'CATÁLOGOS'!B11)</f>
        <v/>
      </c>
      <c r="H53" s="34">
        <f>IF(G53="",0,SUMIF(FORMATO!$D$8:$D$307,G53,FORMATO!$F$8:$F$307))</f>
        <v/>
      </c>
      <c r="I53" s="34">
        <f>IF(G53="",0,SUMIF(FORMATO!$D$8:$D$307,G53,FORMATO!$G$8:$G$307))</f>
        <v/>
      </c>
      <c r="J53" s="4" t="n"/>
    </row>
    <row r="54">
      <c r="A54" s="4" t="n"/>
      <c r="B54" s="45" t="inlineStr">
        <is>
          <t>AGOSTO</t>
        </is>
      </c>
      <c r="C54" s="34">
        <f>SUMPRODUCT((FORMATO!$B$8:$B$307&lt;&gt;"")*(MONTH(FORMATO!$B$8:$B$307)=8)*FORMATO!$F$8:$F$307)</f>
        <v/>
      </c>
      <c r="D54" s="34">
        <f>SUMPRODUCT((FORMATO!$B$8:$B$307&lt;&gt;"")*(MONTH(FORMATO!$B$8:$B$307)=8)*FORMATO!$G$8:$G$307)</f>
        <v/>
      </c>
      <c r="E54" s="34">
        <f>C54-D54</f>
        <v/>
      </c>
      <c r="F54" s="4" t="n"/>
      <c r="G54" s="45">
        <f>IF('CATÁLOGOS'!B12="","",'CATÁLOGOS'!B12)</f>
        <v/>
      </c>
      <c r="H54" s="34">
        <f>IF(G54="",0,SUMIF(FORMATO!$D$8:$D$307,G54,FORMATO!$F$8:$F$307))</f>
        <v/>
      </c>
      <c r="I54" s="34">
        <f>IF(G54="",0,SUMIF(FORMATO!$D$8:$D$307,G54,FORMATO!$G$8:$G$307))</f>
        <v/>
      </c>
      <c r="J54" s="4" t="n"/>
    </row>
    <row r="55">
      <c r="A55" s="4" t="n"/>
      <c r="B55" s="45" t="inlineStr">
        <is>
          <t>SEPTIEMBRE</t>
        </is>
      </c>
      <c r="C55" s="34">
        <f>SUMPRODUCT((FORMATO!$B$8:$B$307&lt;&gt;"")*(MONTH(FORMATO!$B$8:$B$307)=9)*FORMATO!$F$8:$F$307)</f>
        <v/>
      </c>
      <c r="D55" s="34">
        <f>SUMPRODUCT((FORMATO!$B$8:$B$307&lt;&gt;"")*(MONTH(FORMATO!$B$8:$B$307)=9)*FORMATO!$G$8:$G$307)</f>
        <v/>
      </c>
      <c r="E55" s="34">
        <f>C55-D55</f>
        <v/>
      </c>
      <c r="F55" s="4" t="n"/>
      <c r="G55" s="45">
        <f>IF('CATÁLOGOS'!B13="","",'CATÁLOGOS'!B13)</f>
        <v/>
      </c>
      <c r="H55" s="34">
        <f>IF(G55="",0,SUMIF(FORMATO!$D$8:$D$307,G55,FORMATO!$F$8:$F$307))</f>
        <v/>
      </c>
      <c r="I55" s="34">
        <f>IF(G55="",0,SUMIF(FORMATO!$D$8:$D$307,G55,FORMATO!$G$8:$G$307))</f>
        <v/>
      </c>
      <c r="J55" s="4" t="n"/>
    </row>
    <row r="56">
      <c r="A56" s="4" t="n"/>
      <c r="B56" s="45" t="inlineStr">
        <is>
          <t>OCTUBRE</t>
        </is>
      </c>
      <c r="C56" s="34">
        <f>SUMPRODUCT((FORMATO!$B$8:$B$307&lt;&gt;"")*(MONTH(FORMATO!$B$8:$B$307)=10)*FORMATO!$F$8:$F$307)</f>
        <v/>
      </c>
      <c r="D56" s="34">
        <f>SUMPRODUCT((FORMATO!$B$8:$B$307&lt;&gt;"")*(MONTH(FORMATO!$B$8:$B$307)=10)*FORMATO!$G$8:$G$307)</f>
        <v/>
      </c>
      <c r="E56" s="34">
        <f>C56-D56</f>
        <v/>
      </c>
      <c r="F56" s="4" t="n"/>
      <c r="G56" s="45">
        <f>IF('CATÁLOGOS'!B14="","",'CATÁLOGOS'!B14)</f>
        <v/>
      </c>
      <c r="H56" s="34">
        <f>IF(G56="",0,SUMIF(FORMATO!$D$8:$D$307,G56,FORMATO!$F$8:$F$307))</f>
        <v/>
      </c>
      <c r="I56" s="34">
        <f>IF(G56="",0,SUMIF(FORMATO!$D$8:$D$307,G56,FORMATO!$G$8:$G$307))</f>
        <v/>
      </c>
      <c r="J56" s="4" t="n"/>
    </row>
    <row r="57">
      <c r="A57" s="4" t="n"/>
      <c r="B57" s="45" t="inlineStr">
        <is>
          <t>NOVIEMBRE</t>
        </is>
      </c>
      <c r="C57" s="34">
        <f>SUMPRODUCT((FORMATO!$B$8:$B$307&lt;&gt;"")*(MONTH(FORMATO!$B$8:$B$307)=11)*FORMATO!$F$8:$F$307)</f>
        <v/>
      </c>
      <c r="D57" s="34">
        <f>SUMPRODUCT((FORMATO!$B$8:$B$307&lt;&gt;"")*(MONTH(FORMATO!$B$8:$B$307)=11)*FORMATO!$G$8:$G$307)</f>
        <v/>
      </c>
      <c r="E57" s="34">
        <f>C57-D57</f>
        <v/>
      </c>
      <c r="F57" s="4" t="n"/>
      <c r="G57" s="45">
        <f>IF('CATÁLOGOS'!B15="","",'CATÁLOGOS'!B15)</f>
        <v/>
      </c>
      <c r="H57" s="34">
        <f>IF(G57="",0,SUMIF(FORMATO!$D$8:$D$307,G57,FORMATO!$F$8:$F$307))</f>
        <v/>
      </c>
      <c r="I57" s="34">
        <f>IF(G57="",0,SUMIF(FORMATO!$D$8:$D$307,G57,FORMATO!$G$8:$G$307))</f>
        <v/>
      </c>
      <c r="J57" s="4" t="n"/>
    </row>
    <row r="58">
      <c r="A58" s="4" t="n"/>
      <c r="B58" s="45" t="inlineStr">
        <is>
          <t>DICIEMBRE</t>
        </is>
      </c>
      <c r="C58" s="34">
        <f>SUMPRODUCT((FORMATO!$B$8:$B$307&lt;&gt;"")*(MONTH(FORMATO!$B$8:$B$307)=12)*FORMATO!$F$8:$F$307)</f>
        <v/>
      </c>
      <c r="D58" s="34">
        <f>SUMPRODUCT((FORMATO!$B$8:$B$307&lt;&gt;"")*(MONTH(FORMATO!$B$8:$B$307)=12)*FORMATO!$G$8:$G$307)</f>
        <v/>
      </c>
      <c r="E58" s="34">
        <f>C58-D58</f>
        <v/>
      </c>
      <c r="F58" s="4" t="n"/>
      <c r="G58" s="45">
        <f>IF('CATÁLOGOS'!B16="","",'CATÁLOGOS'!B16)</f>
        <v/>
      </c>
      <c r="H58" s="34">
        <f>IF(G58="",0,SUMIF(FORMATO!$D$8:$D$307,G58,FORMATO!$F$8:$F$307))</f>
        <v/>
      </c>
      <c r="I58" s="34">
        <f>IF(G58="",0,SUMIF(FORMATO!$D$8:$D$307,G58,FORMATO!$G$8:$G$307))</f>
        <v/>
      </c>
      <c r="J58" s="4" t="n"/>
    </row>
    <row r="59">
      <c r="A59" s="4" t="n"/>
      <c r="B59" s="4" t="n"/>
      <c r="C59" s="4" t="n"/>
      <c r="D59" s="4" t="n"/>
      <c r="E59" s="4" t="n"/>
      <c r="F59" s="4" t="n"/>
      <c r="G59" s="45">
        <f>IF('CATÁLOGOS'!B17="","",'CATÁLOGOS'!B17)</f>
        <v/>
      </c>
      <c r="H59" s="34">
        <f>IF(G59="",0,SUMIF(FORMATO!$D$8:$D$307,G59,FORMATO!$F$8:$F$307))</f>
        <v/>
      </c>
      <c r="I59" s="34">
        <f>IF(G59="",0,SUMIF(FORMATO!$D$8:$D$307,G59,FORMATO!$G$8:$G$307))</f>
        <v/>
      </c>
      <c r="J59" s="4" t="n"/>
    </row>
    <row r="60">
      <c r="A60" s="4" t="n"/>
      <c r="B60" s="4" t="n"/>
      <c r="C60" s="4" t="n"/>
      <c r="D60" s="4" t="n"/>
      <c r="E60" s="4" t="n"/>
      <c r="F60" s="4" t="n"/>
      <c r="G60" s="45">
        <f>IF('CATÁLOGOS'!B18="","",'CATÁLOGOS'!B18)</f>
        <v/>
      </c>
      <c r="H60" s="34">
        <f>IF(G60="",0,SUMIF(FORMATO!$D$8:$D$307,G60,FORMATO!$F$8:$F$307))</f>
        <v/>
      </c>
      <c r="I60" s="34">
        <f>IF(G60="",0,SUMIF(FORMATO!$D$8:$D$307,G60,FORMATO!$G$8:$G$307))</f>
        <v/>
      </c>
      <c r="J60" s="4" t="n"/>
    </row>
    <row r="61">
      <c r="A61" s="4" t="n"/>
      <c r="B61" s="4" t="n"/>
      <c r="C61" s="4" t="n"/>
      <c r="D61" s="4" t="n"/>
      <c r="E61" s="4" t="n"/>
      <c r="F61" s="4" t="n"/>
      <c r="G61" s="45">
        <f>IF('CATÁLOGOS'!B19="","",'CATÁLOGOS'!B19)</f>
        <v/>
      </c>
      <c r="H61" s="34">
        <f>IF(G61="",0,SUMIF(FORMATO!$D$8:$D$307,G61,FORMATO!$F$8:$F$307))</f>
        <v/>
      </c>
      <c r="I61" s="34">
        <f>IF(G61="",0,SUMIF(FORMATO!$D$8:$D$307,G61,FORMATO!$G$8:$G$307))</f>
        <v/>
      </c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E1" s="1" t="n"/>
    </row>
    <row r="2">
      <c r="A2" s="1" t="n"/>
      <c r="B2" s="47" t="inlineStr">
        <is>
          <t>CONTROL DE INGRESOS Y GASTOS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hago si un movimiento es ingreso y gasto a la vez?</t>
        </is>
      </c>
      <c r="D6" s="49" t="inlineStr">
        <is>
          <t>Captúralos en dos renglones: uno en Ingreso y otro en Gasto, con el mismo concepto.</t>
        </is>
      </c>
      <c r="E6" s="4" t="n"/>
    </row>
    <row r="7" ht="38" customHeight="1">
      <c r="A7" s="4" t="n"/>
      <c r="B7" s="4" t="n"/>
      <c r="C7" s="48" t="inlineStr">
        <is>
          <t>¿Cómo agrego una categoría nueva?</t>
        </is>
      </c>
      <c r="D7" s="49" t="inlineStr">
        <is>
          <t>En la hoja CATÁLOGOS escribe la categoría en la primera celda libre de la columna correspondiente.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INGRESO</t>
        </is>
      </c>
      <c r="D16" s="51" t="inlineStr">
        <is>
          <t>Dinero que entra al negocio por ventas, servicios u otras fuentes.</t>
        </is>
      </c>
      <c r="E16" s="4" t="n"/>
    </row>
    <row r="17" ht="21" customHeight="1">
      <c r="A17" s="4" t="n"/>
      <c r="B17" s="4" t="n"/>
      <c r="C17" s="50" t="inlineStr">
        <is>
          <t>GASTO</t>
        </is>
      </c>
      <c r="D17" s="51" t="inlineStr">
        <is>
          <t>Dinero que sale para operar el negocio.</t>
        </is>
      </c>
      <c r="E17" s="4" t="n"/>
    </row>
    <row r="18" ht="21" customHeight="1">
      <c r="A18" s="4" t="n"/>
      <c r="B18" s="4" t="n"/>
      <c r="C18" s="50" t="inlineStr">
        <is>
          <t>SALDO INICIAL</t>
        </is>
      </c>
      <c r="D18" s="51" t="inlineStr">
        <is>
          <t>Efectivo disponible al comenzar el periodo.</t>
        </is>
      </c>
      <c r="E18" s="4" t="n"/>
    </row>
    <row r="19" ht="21" customHeight="1">
      <c r="A19" s="4" t="n"/>
      <c r="B19" s="4" t="n"/>
      <c r="C19" s="50" t="inlineStr">
        <is>
          <t>SALDO FINAL</t>
        </is>
      </c>
      <c r="D19" s="51" t="inlineStr">
        <is>
          <t>Saldo inicial + ingresos - gastos.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Todos los movimientos del mes están capturados</t>
        </is>
      </c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Cada gasto tiene su comprobante (factura o ticket)</t>
        </is>
      </c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El saldo final coincide con el estado de cuenta</t>
        </is>
      </c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Se revisó el Resumen y se detectaron categorías anormales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2026-10-07T21:40:26Z</dcterms:created>
  <dcterms:modified xmlns:dcterms="http://purl.org/dc/terms/" xmlns:xsi="http://www.w3.org/2001/XMLSchema-instance" xsi:type="dcterms:W3CDTF">2026-10-07T21:40:29Z</dcterms:modified>
</cp:coreProperties>
</file>