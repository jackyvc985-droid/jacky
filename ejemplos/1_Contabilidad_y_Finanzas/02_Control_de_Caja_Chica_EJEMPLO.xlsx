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</font>
    <font>
      <name val="Calibri"/>
      <b val="1"/>
      <color rgb="000B2A4A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23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top style="thick">
        <color rgb="00C9A227"/>
      </top>
    </border>
    <border>
      <top style="thin">
        <color rgb="00C9A227"/>
      </top>
    </border>
    <border>
      <right/>
      <bottom style="medium">
        <color rgb="00C9A227"/>
      </bottom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/>
      <right/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0" fillId="0" borderId="9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0" fillId="4" borderId="7" applyProtection="1" pivotButton="0" quotePrefix="0" xfId="0">
      <protection locked="0" hidden="0"/>
    </xf>
    <xf numFmtId="0" fontId="14" fillId="0" borderId="0" pivotButton="0" quotePrefix="0" xfId="0"/>
    <xf numFmtId="0" fontId="0" fillId="5" borderId="7" pivotButton="0" quotePrefix="0" xfId="0"/>
    <xf numFmtId="0" fontId="0" fillId="2" borderId="7" pivotButton="0" quotePrefix="0" xfId="0"/>
    <xf numFmtId="0" fontId="0" fillId="0" borderId="10" pivotButton="0" quotePrefix="0" xfId="0"/>
    <xf numFmtId="0" fontId="1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7" pivotButton="0" quotePrefix="0" xfId="0"/>
    <xf numFmtId="164" fontId="0" fillId="4" borderId="7" applyProtection="1" pivotButton="0" quotePrefix="0" xfId="0">
      <protection locked="0" hidden="0"/>
    </xf>
    <xf numFmtId="165" fontId="0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/>
    </xf>
    <xf numFmtId="165" fontId="0" fillId="5" borderId="7" pivotButton="0" quotePrefix="0" xfId="0"/>
    <xf numFmtId="0" fontId="6" fillId="0" borderId="0" applyAlignment="1" pivotButton="0" quotePrefix="0" xfId="0">
      <alignment horizontal="right"/>
    </xf>
    <xf numFmtId="165" fontId="7" fillId="3" borderId="7" pivotButton="0" quotePrefix="0" xfId="0"/>
    <xf numFmtId="0" fontId="4" fillId="3" borderId="7" applyAlignment="1" pivotButton="0" quotePrefix="0" xfId="0">
      <alignment wrapText="1"/>
    </xf>
    <xf numFmtId="0" fontId="0" fillId="0" borderId="8" pivotButton="0" quotePrefix="0" xfId="0"/>
    <xf numFmtId="0" fontId="6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2" fillId="0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Control de caja chica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Define el fondo fijo asignado.</t>
        </is>
      </c>
    </row>
    <row r="12" ht="21" customHeight="1">
      <c r="B12" s="7" t="n">
        <v>2</v>
      </c>
      <c r="C12" s="8" t="inlineStr">
        <is>
          <t>Registra cada vale con importe SIN IVA; el IVA (16%) y el total se calculan.</t>
        </is>
      </c>
    </row>
    <row r="13" ht="21" customHeight="1">
      <c r="B13" s="7" t="n">
        <v>3</v>
      </c>
      <c r="C13" s="8" t="inlineStr">
        <is>
          <t>Al hacer el arqueo captura el efectivo físico en caja: la diferencia debe ser 0.</t>
        </is>
      </c>
    </row>
    <row r="14" ht="36" customHeight="1">
      <c r="B14" s="7" t="n">
        <v>4</v>
      </c>
      <c r="C14" s="8" t="inlineStr">
        <is>
          <t>Si el IVA no aplica (ej. propinas o estacionamiento sin factura), sobrescribe la celda de IVA con 0.</t>
        </is>
      </c>
    </row>
    <row r="15" ht="36" customHeight="1">
      <c r="B15" s="7" t="n">
        <v>5</v>
      </c>
      <c r="C15" s="8" t="inlineStr">
        <is>
          <t>Personaliza: en el recuadro punteado de la esquina superior derecha inserta tu logo (Insertar &gt; Imágenes) y captura los datos de tu empresa en las celdas de captura.</t>
        </is>
      </c>
    </row>
    <row r="17">
      <c r="B17" s="6" t="inlineStr">
        <is>
          <t>LEYENDA</t>
        </is>
      </c>
    </row>
    <row r="18">
      <c r="B18" s="9" t="inlineStr"/>
      <c r="C18" s="10" t="inlineStr">
        <is>
          <t>Celda de captura: escribe aquí.</t>
        </is>
      </c>
    </row>
    <row r="19">
      <c r="B19" s="11" t="inlineStr"/>
      <c r="C19" s="10" t="inlineStr">
        <is>
          <t>Cálculo automático: no la modifiques.</t>
        </is>
      </c>
    </row>
    <row r="20">
      <c r="B20" s="12" t="inlineStr"/>
      <c r="C20" s="10" t="inlineStr">
        <is>
          <t>Encabezados y títulos.</t>
        </is>
      </c>
    </row>
    <row r="22">
      <c r="A22" s="13" t="n"/>
      <c r="B22" s="13" t="n"/>
      <c r="C22" s="13" t="n"/>
      <c r="D22" s="13" t="n"/>
    </row>
    <row r="23">
      <c r="B23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H57"/>
  <sheetViews>
    <sheetView showGridLines="0" workbookViewId="0">
      <selection activeCell="A1" sqref="A1"/>
    </sheetView>
  </sheetViews>
  <sheetFormatPr baseColWidth="8" defaultRowHeight="15"/>
  <cols>
    <col width="20.4" customWidth="1" min="1" max="1"/>
    <col width="13" customWidth="1" min="2" max="2"/>
    <col width="14" customWidth="1" min="3" max="3"/>
    <col width="3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1" ht="44" customHeight="1">
      <c r="A1" s="15" t="inlineStr">
        <is>
          <t>CONTROL DE CAJA CHICA</t>
        </is>
      </c>
      <c r="G1" s="33" t="inlineStr">
        <is>
          <t>INSERTE SU LOGO
(clic derecho &gt; Insertar imagen)</t>
        </is>
      </c>
      <c r="H1" s="34" t="n"/>
    </row>
    <row r="2" ht="26" customHeight="1">
      <c r="A2" s="35" t="inlineStr">
        <is>
          <t>Fondo fijo: vales, reembolsos y arqueo</t>
        </is>
      </c>
      <c r="B2" s="19" t="n"/>
      <c r="C2" s="19" t="n"/>
      <c r="D2" s="19" t="n"/>
      <c r="E2" s="19" t="n"/>
      <c r="F2" s="19" t="n"/>
      <c r="G2" s="36" t="n"/>
      <c r="H2" s="37" t="n"/>
    </row>
    <row r="4">
      <c r="A4" s="22" t="inlineStr">
        <is>
          <t>Responsable</t>
        </is>
      </c>
      <c r="B4" s="9" t="inlineStr">
        <is>
          <t>María González</t>
        </is>
      </c>
      <c r="C4" s="38" t="n"/>
      <c r="D4" s="39" t="n"/>
      <c r="E4" s="22" t="inlineStr">
        <is>
          <t>Fecha de apertura</t>
        </is>
      </c>
      <c r="F4" s="23" t="n">
        <v>46266</v>
      </c>
      <c r="G4" s="39" t="n"/>
    </row>
    <row r="5">
      <c r="A5" s="22" t="inlineStr">
        <is>
          <t>Fondo fijo</t>
        </is>
      </c>
      <c r="B5" s="24" t="n">
        <v>2000</v>
      </c>
      <c r="C5" s="38" t="n"/>
      <c r="D5" s="39" t="n"/>
    </row>
    <row r="7" ht="32" customHeight="1">
      <c r="A7" s="25" t="inlineStr">
        <is>
          <t>Folio</t>
        </is>
      </c>
      <c r="B7" s="25" t="inlineStr">
        <is>
          <t>Fecha</t>
        </is>
      </c>
      <c r="C7" s="25" t="inlineStr">
        <is>
          <t>No. vale</t>
        </is>
      </c>
      <c r="D7" s="25" t="inlineStr">
        <is>
          <t>Concepto</t>
        </is>
      </c>
      <c r="E7" s="25" t="inlineStr">
        <is>
          <t>Beneficiario / Proveedor</t>
        </is>
      </c>
      <c r="F7" s="25" t="inlineStr">
        <is>
          <t>Importe</t>
        </is>
      </c>
      <c r="G7" s="25" t="inlineStr">
        <is>
          <t>IVA 16%</t>
        </is>
      </c>
      <c r="H7" s="25" t="inlineStr">
        <is>
          <t>Total</t>
        </is>
      </c>
    </row>
    <row r="8">
      <c r="A8" s="26" t="n">
        <v>1</v>
      </c>
      <c r="B8" s="23" t="n">
        <v>46267</v>
      </c>
      <c r="C8" s="9" t="inlineStr">
        <is>
          <t>V-001</t>
        </is>
      </c>
      <c r="D8" s="9" t="inlineStr">
        <is>
          <t>Papelería y tóner</t>
        </is>
      </c>
      <c r="E8" s="9" t="inlineStr">
        <is>
          <t>Office Depot</t>
        </is>
      </c>
      <c r="F8" s="24" t="n">
        <v>450</v>
      </c>
      <c r="G8" s="27">
        <f>IF(F8="","",ROUND(F8*0.16,2))</f>
        <v/>
      </c>
      <c r="H8" s="27">
        <f>IF(F8="","",F8+G8)</f>
        <v/>
      </c>
    </row>
    <row r="9">
      <c r="A9" s="26" t="n">
        <v>2</v>
      </c>
      <c r="B9" s="23" t="n">
        <v>46269</v>
      </c>
      <c r="C9" s="9" t="inlineStr">
        <is>
          <t>V-002</t>
        </is>
      </c>
      <c r="D9" s="9" t="inlineStr">
        <is>
          <t>Agua purificada</t>
        </is>
      </c>
      <c r="E9" s="9" t="inlineStr">
        <is>
          <t>Garrafones del Norte</t>
        </is>
      </c>
      <c r="F9" s="24" t="n">
        <v>180</v>
      </c>
      <c r="G9" s="27">
        <f>IF(F9="","",ROUND(F9*0.16,2))</f>
        <v/>
      </c>
      <c r="H9" s="27">
        <f>IF(F9="","",F9+G9)</f>
        <v/>
      </c>
    </row>
    <row r="10">
      <c r="A10" s="26" t="n">
        <v>3</v>
      </c>
      <c r="B10" s="23" t="n">
        <v>46273</v>
      </c>
      <c r="C10" s="9" t="inlineStr">
        <is>
          <t>V-003</t>
        </is>
      </c>
      <c r="D10" s="9" t="inlineStr">
        <is>
          <t>Mensajería urgente</t>
        </is>
      </c>
      <c r="E10" s="9" t="inlineStr">
        <is>
          <t>Estafeta</t>
        </is>
      </c>
      <c r="F10" s="24" t="n">
        <v>260</v>
      </c>
      <c r="G10" s="27">
        <f>IF(F10="","",ROUND(F10*0.16,2))</f>
        <v/>
      </c>
      <c r="H10" s="27">
        <f>IF(F10="","",F10+G10)</f>
        <v/>
      </c>
    </row>
    <row r="11">
      <c r="A11" s="26" t="n">
        <v>4</v>
      </c>
      <c r="B11" s="23" t="n">
        <v>46276</v>
      </c>
      <c r="C11" s="9" t="inlineStr">
        <is>
          <t>V-004</t>
        </is>
      </c>
      <c r="D11" s="9" t="inlineStr">
        <is>
          <t>Material de limpieza</t>
        </is>
      </c>
      <c r="E11" s="9" t="inlineStr">
        <is>
          <t>Súper Mercado</t>
        </is>
      </c>
      <c r="F11" s="24" t="n">
        <v>395</v>
      </c>
      <c r="G11" s="27">
        <f>IF(F11="","",ROUND(F11*0.16,2))</f>
        <v/>
      </c>
      <c r="H11" s="27">
        <f>IF(F11="","",F11+G11)</f>
        <v/>
      </c>
    </row>
    <row r="12">
      <c r="A12" s="26" t="n">
        <v>5</v>
      </c>
      <c r="B12" s="23" t="n">
        <v>46281</v>
      </c>
      <c r="C12" s="9" t="inlineStr">
        <is>
          <t>V-005</t>
        </is>
      </c>
      <c r="D12" s="9" t="inlineStr">
        <is>
          <t>Café y consumibles</t>
        </is>
      </c>
      <c r="E12" s="9" t="inlineStr">
        <is>
          <t>Costco</t>
        </is>
      </c>
      <c r="F12" s="24" t="n">
        <v>520</v>
      </c>
      <c r="G12" s="27">
        <f>IF(F12="","",ROUND(F12*0.16,2))</f>
        <v/>
      </c>
      <c r="H12" s="27">
        <f>IF(F12="","",F12+G12)</f>
        <v/>
      </c>
    </row>
    <row r="13">
      <c r="A13" s="26" t="n">
        <v>6</v>
      </c>
      <c r="B13" s="23" t="n"/>
      <c r="C13" s="9" t="n"/>
      <c r="D13" s="9" t="n"/>
      <c r="E13" s="9" t="n"/>
      <c r="F13" s="24" t="n"/>
      <c r="G13" s="27">
        <f>IF(F13="","",ROUND(F13*0.16,2))</f>
        <v/>
      </c>
      <c r="H13" s="27">
        <f>IF(F13="","",F13+G13)</f>
        <v/>
      </c>
    </row>
    <row r="14">
      <c r="A14" s="26" t="n">
        <v>7</v>
      </c>
      <c r="B14" s="23" t="n"/>
      <c r="C14" s="9" t="n"/>
      <c r="D14" s="9" t="n"/>
      <c r="E14" s="9" t="n"/>
      <c r="F14" s="24" t="n"/>
      <c r="G14" s="27">
        <f>IF(F14="","",ROUND(F14*0.16,2))</f>
        <v/>
      </c>
      <c r="H14" s="27">
        <f>IF(F14="","",F14+G14)</f>
        <v/>
      </c>
    </row>
    <row r="15">
      <c r="A15" s="26" t="n">
        <v>8</v>
      </c>
      <c r="B15" s="23" t="n"/>
      <c r="C15" s="9" t="n"/>
      <c r="D15" s="9" t="n"/>
      <c r="E15" s="9" t="n"/>
      <c r="F15" s="24" t="n"/>
      <c r="G15" s="27">
        <f>IF(F15="","",ROUND(F15*0.16,2))</f>
        <v/>
      </c>
      <c r="H15" s="27">
        <f>IF(F15="","",F15+G15)</f>
        <v/>
      </c>
    </row>
    <row r="16">
      <c r="A16" s="26" t="n">
        <v>9</v>
      </c>
      <c r="B16" s="23" t="n"/>
      <c r="C16" s="9" t="n"/>
      <c r="D16" s="9" t="n"/>
      <c r="E16" s="9" t="n"/>
      <c r="F16" s="24" t="n"/>
      <c r="G16" s="27">
        <f>IF(F16="","",ROUND(F16*0.16,2))</f>
        <v/>
      </c>
      <c r="H16" s="27">
        <f>IF(F16="","",F16+G16)</f>
        <v/>
      </c>
    </row>
    <row r="17">
      <c r="A17" s="26" t="n">
        <v>10</v>
      </c>
      <c r="B17" s="23" t="n"/>
      <c r="C17" s="9" t="n"/>
      <c r="D17" s="9" t="n"/>
      <c r="E17" s="9" t="n"/>
      <c r="F17" s="24" t="n"/>
      <c r="G17" s="27">
        <f>IF(F17="","",ROUND(F17*0.16,2))</f>
        <v/>
      </c>
      <c r="H17" s="27">
        <f>IF(F17="","",F17+G17)</f>
        <v/>
      </c>
    </row>
    <row r="18">
      <c r="A18" s="26" t="n">
        <v>11</v>
      </c>
      <c r="B18" s="23" t="n"/>
      <c r="C18" s="9" t="n"/>
      <c r="D18" s="9" t="n"/>
      <c r="E18" s="9" t="n"/>
      <c r="F18" s="24" t="n"/>
      <c r="G18" s="27">
        <f>IF(F18="","",ROUND(F18*0.16,2))</f>
        <v/>
      </c>
      <c r="H18" s="27">
        <f>IF(F18="","",F18+G18)</f>
        <v/>
      </c>
    </row>
    <row r="19">
      <c r="A19" s="26" t="n">
        <v>12</v>
      </c>
      <c r="B19" s="23" t="n"/>
      <c r="C19" s="9" t="n"/>
      <c r="D19" s="9" t="n"/>
      <c r="E19" s="9" t="n"/>
      <c r="F19" s="24" t="n"/>
      <c r="G19" s="27">
        <f>IF(F19="","",ROUND(F19*0.16,2))</f>
        <v/>
      </c>
      <c r="H19" s="27">
        <f>IF(F19="","",F19+G19)</f>
        <v/>
      </c>
    </row>
    <row r="20">
      <c r="A20" s="26" t="n">
        <v>13</v>
      </c>
      <c r="B20" s="23" t="n"/>
      <c r="C20" s="9" t="n"/>
      <c r="D20" s="9" t="n"/>
      <c r="E20" s="9" t="n"/>
      <c r="F20" s="24" t="n"/>
      <c r="G20" s="27">
        <f>IF(F20="","",ROUND(F20*0.16,2))</f>
        <v/>
      </c>
      <c r="H20" s="27">
        <f>IF(F20="","",F20+G20)</f>
        <v/>
      </c>
    </row>
    <row r="21">
      <c r="A21" s="26" t="n">
        <v>14</v>
      </c>
      <c r="B21" s="23" t="n"/>
      <c r="C21" s="9" t="n"/>
      <c r="D21" s="9" t="n"/>
      <c r="E21" s="9" t="n"/>
      <c r="F21" s="24" t="n"/>
      <c r="G21" s="27">
        <f>IF(F21="","",ROUND(F21*0.16,2))</f>
        <v/>
      </c>
      <c r="H21" s="27">
        <f>IF(F21="","",F21+G21)</f>
        <v/>
      </c>
    </row>
    <row r="22">
      <c r="A22" s="26" t="n">
        <v>15</v>
      </c>
      <c r="B22" s="23" t="n"/>
      <c r="C22" s="9" t="n"/>
      <c r="D22" s="9" t="n"/>
      <c r="E22" s="9" t="n"/>
      <c r="F22" s="24" t="n"/>
      <c r="G22" s="27">
        <f>IF(F22="","",ROUND(F22*0.16,2))</f>
        <v/>
      </c>
      <c r="H22" s="27">
        <f>IF(F22="","",F22+G22)</f>
        <v/>
      </c>
    </row>
    <row r="23">
      <c r="A23" s="26" t="n">
        <v>16</v>
      </c>
      <c r="B23" s="23" t="n"/>
      <c r="C23" s="9" t="n"/>
      <c r="D23" s="9" t="n"/>
      <c r="E23" s="9" t="n"/>
      <c r="F23" s="24" t="n"/>
      <c r="G23" s="27">
        <f>IF(F23="","",ROUND(F23*0.16,2))</f>
        <v/>
      </c>
      <c r="H23" s="27">
        <f>IF(F23="","",F23+G23)</f>
        <v/>
      </c>
    </row>
    <row r="24">
      <c r="A24" s="26" t="n">
        <v>17</v>
      </c>
      <c r="B24" s="23" t="n"/>
      <c r="C24" s="9" t="n"/>
      <c r="D24" s="9" t="n"/>
      <c r="E24" s="9" t="n"/>
      <c r="F24" s="24" t="n"/>
      <c r="G24" s="27">
        <f>IF(F24="","",ROUND(F24*0.16,2))</f>
        <v/>
      </c>
      <c r="H24" s="27">
        <f>IF(F24="","",F24+G24)</f>
        <v/>
      </c>
    </row>
    <row r="25">
      <c r="A25" s="26" t="n">
        <v>18</v>
      </c>
      <c r="B25" s="23" t="n"/>
      <c r="C25" s="9" t="n"/>
      <c r="D25" s="9" t="n"/>
      <c r="E25" s="9" t="n"/>
      <c r="F25" s="24" t="n"/>
      <c r="G25" s="27">
        <f>IF(F25="","",ROUND(F25*0.16,2))</f>
        <v/>
      </c>
      <c r="H25" s="27">
        <f>IF(F25="","",F25+G25)</f>
        <v/>
      </c>
    </row>
    <row r="26">
      <c r="A26" s="26" t="n">
        <v>19</v>
      </c>
      <c r="B26" s="23" t="n"/>
      <c r="C26" s="9" t="n"/>
      <c r="D26" s="9" t="n"/>
      <c r="E26" s="9" t="n"/>
      <c r="F26" s="24" t="n"/>
      <c r="G26" s="27">
        <f>IF(F26="","",ROUND(F26*0.16,2))</f>
        <v/>
      </c>
      <c r="H26" s="27">
        <f>IF(F26="","",F26+G26)</f>
        <v/>
      </c>
    </row>
    <row r="27">
      <c r="A27" s="26" t="n">
        <v>20</v>
      </c>
      <c r="B27" s="23" t="n"/>
      <c r="C27" s="9" t="n"/>
      <c r="D27" s="9" t="n"/>
      <c r="E27" s="9" t="n"/>
      <c r="F27" s="24" t="n"/>
      <c r="G27" s="27">
        <f>IF(F27="","",ROUND(F27*0.16,2))</f>
        <v/>
      </c>
      <c r="H27" s="27">
        <f>IF(F27="","",F27+G27)</f>
        <v/>
      </c>
    </row>
    <row r="28">
      <c r="A28" s="26" t="n">
        <v>21</v>
      </c>
      <c r="B28" s="23" t="n"/>
      <c r="C28" s="9" t="n"/>
      <c r="D28" s="9" t="n"/>
      <c r="E28" s="9" t="n"/>
      <c r="F28" s="24" t="n"/>
      <c r="G28" s="27">
        <f>IF(F28="","",ROUND(F28*0.16,2))</f>
        <v/>
      </c>
      <c r="H28" s="27">
        <f>IF(F28="","",F28+G28)</f>
        <v/>
      </c>
    </row>
    <row r="29">
      <c r="A29" s="26" t="n">
        <v>22</v>
      </c>
      <c r="B29" s="23" t="n"/>
      <c r="C29" s="9" t="n"/>
      <c r="D29" s="9" t="n"/>
      <c r="E29" s="9" t="n"/>
      <c r="F29" s="24" t="n"/>
      <c r="G29" s="27">
        <f>IF(F29="","",ROUND(F29*0.16,2))</f>
        <v/>
      </c>
      <c r="H29" s="27">
        <f>IF(F29="","",F29+G29)</f>
        <v/>
      </c>
    </row>
    <row r="30">
      <c r="A30" s="26" t="n">
        <v>23</v>
      </c>
      <c r="B30" s="23" t="n"/>
      <c r="C30" s="9" t="n"/>
      <c r="D30" s="9" t="n"/>
      <c r="E30" s="9" t="n"/>
      <c r="F30" s="24" t="n"/>
      <c r="G30" s="27">
        <f>IF(F30="","",ROUND(F30*0.16,2))</f>
        <v/>
      </c>
      <c r="H30" s="27">
        <f>IF(F30="","",F30+G30)</f>
        <v/>
      </c>
    </row>
    <row r="31">
      <c r="A31" s="26" t="n">
        <v>24</v>
      </c>
      <c r="B31" s="23" t="n"/>
      <c r="C31" s="9" t="n"/>
      <c r="D31" s="9" t="n"/>
      <c r="E31" s="9" t="n"/>
      <c r="F31" s="24" t="n"/>
      <c r="G31" s="27">
        <f>IF(F31="","",ROUND(F31*0.16,2))</f>
        <v/>
      </c>
      <c r="H31" s="27">
        <f>IF(F31="","",F31+G31)</f>
        <v/>
      </c>
    </row>
    <row r="32">
      <c r="A32" s="26" t="n">
        <v>25</v>
      </c>
      <c r="B32" s="23" t="n"/>
      <c r="C32" s="9" t="n"/>
      <c r="D32" s="9" t="n"/>
      <c r="E32" s="9" t="n"/>
      <c r="F32" s="24" t="n"/>
      <c r="G32" s="27">
        <f>IF(F32="","",ROUND(F32*0.16,2))</f>
        <v/>
      </c>
      <c r="H32" s="27">
        <f>IF(F32="","",F32+G32)</f>
        <v/>
      </c>
    </row>
    <row r="33">
      <c r="A33" s="26" t="n">
        <v>26</v>
      </c>
      <c r="B33" s="23" t="n"/>
      <c r="C33" s="9" t="n"/>
      <c r="D33" s="9" t="n"/>
      <c r="E33" s="9" t="n"/>
      <c r="F33" s="24" t="n"/>
      <c r="G33" s="27">
        <f>IF(F33="","",ROUND(F33*0.16,2))</f>
        <v/>
      </c>
      <c r="H33" s="27">
        <f>IF(F33="","",F33+G33)</f>
        <v/>
      </c>
    </row>
    <row r="34">
      <c r="A34" s="26" t="n">
        <v>27</v>
      </c>
      <c r="B34" s="23" t="n"/>
      <c r="C34" s="9" t="n"/>
      <c r="D34" s="9" t="n"/>
      <c r="E34" s="9" t="n"/>
      <c r="F34" s="24" t="n"/>
      <c r="G34" s="27">
        <f>IF(F34="","",ROUND(F34*0.16,2))</f>
        <v/>
      </c>
      <c r="H34" s="27">
        <f>IF(F34="","",F34+G34)</f>
        <v/>
      </c>
    </row>
    <row r="35">
      <c r="A35" s="26" t="n">
        <v>28</v>
      </c>
      <c r="B35" s="23" t="n"/>
      <c r="C35" s="9" t="n"/>
      <c r="D35" s="9" t="n"/>
      <c r="E35" s="9" t="n"/>
      <c r="F35" s="24" t="n"/>
      <c r="G35" s="27">
        <f>IF(F35="","",ROUND(F35*0.16,2))</f>
        <v/>
      </c>
      <c r="H35" s="27">
        <f>IF(F35="","",F35+G35)</f>
        <v/>
      </c>
    </row>
    <row r="36">
      <c r="A36" s="26" t="n">
        <v>29</v>
      </c>
      <c r="B36" s="23" t="n"/>
      <c r="C36" s="9" t="n"/>
      <c r="D36" s="9" t="n"/>
      <c r="E36" s="9" t="n"/>
      <c r="F36" s="24" t="n"/>
      <c r="G36" s="27">
        <f>IF(F36="","",ROUND(F36*0.16,2))</f>
        <v/>
      </c>
      <c r="H36" s="27">
        <f>IF(F36="","",F36+G36)</f>
        <v/>
      </c>
    </row>
    <row r="37">
      <c r="A37" s="26" t="n">
        <v>30</v>
      </c>
      <c r="B37" s="23" t="n"/>
      <c r="C37" s="9" t="n"/>
      <c r="D37" s="9" t="n"/>
      <c r="E37" s="9" t="n"/>
      <c r="F37" s="24" t="n"/>
      <c r="G37" s="27">
        <f>IF(F37="","",ROUND(F37*0.16,2))</f>
        <v/>
      </c>
      <c r="H37" s="27">
        <f>IF(F37="","",F37+G37)</f>
        <v/>
      </c>
    </row>
    <row r="38">
      <c r="A38" s="26" t="n">
        <v>31</v>
      </c>
      <c r="B38" s="23" t="n"/>
      <c r="C38" s="9" t="n"/>
      <c r="D38" s="9" t="n"/>
      <c r="E38" s="9" t="n"/>
      <c r="F38" s="24" t="n"/>
      <c r="G38" s="27">
        <f>IF(F38="","",ROUND(F38*0.16,2))</f>
        <v/>
      </c>
      <c r="H38" s="27">
        <f>IF(F38="","",F38+G38)</f>
        <v/>
      </c>
    </row>
    <row r="39">
      <c r="A39" s="26" t="n">
        <v>32</v>
      </c>
      <c r="B39" s="23" t="n"/>
      <c r="C39" s="9" t="n"/>
      <c r="D39" s="9" t="n"/>
      <c r="E39" s="9" t="n"/>
      <c r="F39" s="24" t="n"/>
      <c r="G39" s="27">
        <f>IF(F39="","",ROUND(F39*0.16,2))</f>
        <v/>
      </c>
      <c r="H39" s="27">
        <f>IF(F39="","",F39+G39)</f>
        <v/>
      </c>
    </row>
    <row r="40">
      <c r="A40" s="26" t="n">
        <v>33</v>
      </c>
      <c r="B40" s="23" t="n"/>
      <c r="C40" s="9" t="n"/>
      <c r="D40" s="9" t="n"/>
      <c r="E40" s="9" t="n"/>
      <c r="F40" s="24" t="n"/>
      <c r="G40" s="27">
        <f>IF(F40="","",ROUND(F40*0.16,2))</f>
        <v/>
      </c>
      <c r="H40" s="27">
        <f>IF(F40="","",F40+G40)</f>
        <v/>
      </c>
    </row>
    <row r="41">
      <c r="A41" s="26" t="n">
        <v>34</v>
      </c>
      <c r="B41" s="23" t="n"/>
      <c r="C41" s="9" t="n"/>
      <c r="D41" s="9" t="n"/>
      <c r="E41" s="9" t="n"/>
      <c r="F41" s="24" t="n"/>
      <c r="G41" s="27">
        <f>IF(F41="","",ROUND(F41*0.16,2))</f>
        <v/>
      </c>
      <c r="H41" s="27">
        <f>IF(F41="","",F41+G41)</f>
        <v/>
      </c>
    </row>
    <row r="42">
      <c r="A42" s="26" t="n">
        <v>35</v>
      </c>
      <c r="B42" s="23" t="n"/>
      <c r="C42" s="9" t="n"/>
      <c r="D42" s="9" t="n"/>
      <c r="E42" s="9" t="n"/>
      <c r="F42" s="24" t="n"/>
      <c r="G42" s="27">
        <f>IF(F42="","",ROUND(F42*0.16,2))</f>
        <v/>
      </c>
      <c r="H42" s="27">
        <f>IF(F42="","",F42+G42)</f>
        <v/>
      </c>
    </row>
    <row r="43">
      <c r="A43" s="26" t="n">
        <v>36</v>
      </c>
      <c r="B43" s="23" t="n"/>
      <c r="C43" s="9" t="n"/>
      <c r="D43" s="9" t="n"/>
      <c r="E43" s="9" t="n"/>
      <c r="F43" s="24" t="n"/>
      <c r="G43" s="27">
        <f>IF(F43="","",ROUND(F43*0.16,2))</f>
        <v/>
      </c>
      <c r="H43" s="27">
        <f>IF(F43="","",F43+G43)</f>
        <v/>
      </c>
    </row>
    <row r="44">
      <c r="A44" s="26" t="n">
        <v>37</v>
      </c>
      <c r="B44" s="23" t="n"/>
      <c r="C44" s="9" t="n"/>
      <c r="D44" s="9" t="n"/>
      <c r="E44" s="9" t="n"/>
      <c r="F44" s="24" t="n"/>
      <c r="G44" s="27">
        <f>IF(F44="","",ROUND(F44*0.16,2))</f>
        <v/>
      </c>
      <c r="H44" s="27">
        <f>IF(F44="","",F44+G44)</f>
        <v/>
      </c>
    </row>
    <row r="45">
      <c r="A45" s="26" t="n">
        <v>38</v>
      </c>
      <c r="B45" s="23" t="n"/>
      <c r="C45" s="9" t="n"/>
      <c r="D45" s="9" t="n"/>
      <c r="E45" s="9" t="n"/>
      <c r="F45" s="24" t="n"/>
      <c r="G45" s="27">
        <f>IF(F45="","",ROUND(F45*0.16,2))</f>
        <v/>
      </c>
      <c r="H45" s="27">
        <f>IF(F45="","",F45+G45)</f>
        <v/>
      </c>
    </row>
    <row r="46">
      <c r="A46" s="26" t="n">
        <v>39</v>
      </c>
      <c r="B46" s="23" t="n"/>
      <c r="C46" s="9" t="n"/>
      <c r="D46" s="9" t="n"/>
      <c r="E46" s="9" t="n"/>
      <c r="F46" s="24" t="n"/>
      <c r="G46" s="27">
        <f>IF(F46="","",ROUND(F46*0.16,2))</f>
        <v/>
      </c>
      <c r="H46" s="27">
        <f>IF(F46="","",F46+G46)</f>
        <v/>
      </c>
    </row>
    <row r="47">
      <c r="A47" s="26" t="n">
        <v>40</v>
      </c>
      <c r="B47" s="23" t="n"/>
      <c r="C47" s="9" t="n"/>
      <c r="D47" s="9" t="n"/>
      <c r="E47" s="9" t="n"/>
      <c r="F47" s="24" t="n"/>
      <c r="G47" s="27">
        <f>IF(F47="","",ROUND(F47*0.16,2))</f>
        <v/>
      </c>
      <c r="H47" s="27">
        <f>IF(F47="","",F47+G47)</f>
        <v/>
      </c>
    </row>
    <row r="48">
      <c r="E48" s="28" t="inlineStr">
        <is>
          <t>TOTAL</t>
        </is>
      </c>
      <c r="F48" s="29">
        <f>SUM(F8:F47)</f>
        <v/>
      </c>
      <c r="G48" s="29">
        <f>SUM(G8:G47)</f>
        <v/>
      </c>
      <c r="H48" s="29">
        <f>SUM(H8:H47)</f>
        <v/>
      </c>
    </row>
    <row r="50">
      <c r="A50" s="30" t="inlineStr">
        <is>
          <t>Total gastado</t>
        </is>
      </c>
      <c r="B50" s="24">
        <f>H48</f>
        <v/>
      </c>
      <c r="C50" s="39" t="n"/>
    </row>
    <row r="51">
      <c r="A51" s="30" t="inlineStr">
        <is>
          <t>Efectivo en caja</t>
        </is>
      </c>
      <c r="B51" s="24" t="n">
        <v>-93.8</v>
      </c>
      <c r="C51" s="39" t="n"/>
    </row>
    <row r="52">
      <c r="A52" s="22" t="inlineStr">
        <is>
          <t>Fondo - gastos</t>
        </is>
      </c>
      <c r="B52" s="24">
        <f>B5-H48</f>
        <v/>
      </c>
      <c r="C52" s="39" t="n"/>
    </row>
    <row r="53">
      <c r="A53" s="22" t="inlineStr">
        <is>
          <t>Diferencia</t>
        </is>
      </c>
      <c r="B53" s="24">
        <f>C51-C52</f>
        <v/>
      </c>
      <c r="C53" s="39" t="n"/>
    </row>
    <row r="56">
      <c r="A56" s="31" t="n"/>
      <c r="C56" s="31" t="n"/>
      <c r="E56" s="31" t="n"/>
    </row>
    <row r="57">
      <c r="A57" s="32" t="inlineStr">
        <is>
          <t>Elaboró</t>
        </is>
      </c>
      <c r="C57" s="32" t="inlineStr">
        <is>
          <t>Revisó</t>
        </is>
      </c>
      <c r="E57" s="32" t="inlineStr">
        <is>
          <t>Autorizó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A2:F2"/>
    <mergeCell ref="B52:C52"/>
    <mergeCell ref="F4:G4"/>
    <mergeCell ref="B5:D5"/>
    <mergeCell ref="A56"/>
    <mergeCell ref="E57"/>
    <mergeCell ref="E56"/>
    <mergeCell ref="C56"/>
    <mergeCell ref="B51:C51"/>
    <mergeCell ref="A1:F1"/>
    <mergeCell ref="B4:D4"/>
    <mergeCell ref="G1:H2"/>
    <mergeCell ref="A57"/>
    <mergeCell ref="B50:C50"/>
    <mergeCell ref="B53:C53"/>
    <mergeCell ref="C57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2026-10-07T18:10:56Z</dcterms:created>
  <dcterms:modified xmlns:dcterms="http://purl.org/dc/terms/" xmlns:xsi="http://www.w3.org/2001/XMLSchema-instance" xsi:type="dcterms:W3CDTF">2026-10-07T18:10:58Z</dcterms:modified>
</cp:coreProperties>
</file>