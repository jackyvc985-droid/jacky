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3" applyAlignment="1" pivotButton="0" quotePrefix="0" xfId="0">
      <alignment horizontal="center" vertical="center" wrapText="1"/>
    </xf>
    <xf numFmtId="0" fontId="0" fillId="0" borderId="26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2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4" pivotButton="0" quotePrefix="0" xfId="0"/>
    <xf numFmtId="0" fontId="0" fillId="0" borderId="33" pivotButton="0" quotePrefix="0" xfId="0"/>
    <xf numFmtId="0" fontId="8" fillId="3" borderId="30" applyAlignment="1" pivotButton="0" quotePrefix="0" xfId="0">
      <alignment horizontal="center" vertical="center"/>
    </xf>
    <xf numFmtId="0" fontId="0" fillId="0" borderId="32" pivotButton="0" quotePrefix="0" xfId="0"/>
    <xf numFmtId="165" fontId="9" fillId="6" borderId="34" applyAlignment="1" pivotButton="0" quotePrefix="0" xfId="0">
      <alignment horizontal="center" vertical="center"/>
    </xf>
    <xf numFmtId="0" fontId="0" fillId="0" borderId="36" pivotButton="0" quotePrefix="0" xfId="0"/>
    <xf numFmtId="9" fontId="9" fillId="6" borderId="34" applyAlignment="1" pivotButton="0" quotePrefix="0" xfId="0">
      <alignment horizontal="center" vertical="center"/>
    </xf>
    <xf numFmtId="1" fontId="9" fillId="6" borderId="34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G1" s="57" t="inlineStr">
        <is>
          <t>INSERTE SU LOGO
(clic derecho &gt; Insertar imagen)</t>
        </is>
      </c>
      <c r="H1" s="58" t="n"/>
    </row>
    <row r="2" ht="26" customHeight="1">
      <c r="A2" s="59" t="inlineStr">
        <is>
          <t>Fondo fijo: vales, reembolsos y arqueo</t>
        </is>
      </c>
      <c r="B2" s="60" t="n"/>
      <c r="C2" s="60" t="n"/>
      <c r="D2" s="60" t="n"/>
      <c r="E2" s="60" t="n"/>
      <c r="F2" s="60" t="n"/>
      <c r="G2" s="61" t="n"/>
      <c r="H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inlineStr">
        <is>
          <t>MARÍA GONZÁLEZ</t>
        </is>
      </c>
      <c r="C4" s="63" t="n"/>
      <c r="D4" s="64" t="n"/>
      <c r="E4" s="29" t="inlineStr">
        <is>
          <t>FECHA DE APERTURA</t>
        </is>
      </c>
      <c r="F4" s="30" t="n">
        <v>46266</v>
      </c>
      <c r="G4" s="64" t="n"/>
      <c r="H4" s="4" t="n"/>
    </row>
    <row r="5">
      <c r="A5" s="29" t="inlineStr">
        <is>
          <t>FONDO FIJO</t>
        </is>
      </c>
      <c r="B5" s="31" t="n">
        <v>2000</v>
      </c>
      <c r="C5" s="63" t="n"/>
      <c r="D5" s="6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>
        <v>46267</v>
      </c>
      <c r="C8" s="17" t="inlineStr">
        <is>
          <t>V-001</t>
        </is>
      </c>
      <c r="D8" s="17" t="inlineStr">
        <is>
          <t>PAPELERÍA Y TÓNER</t>
        </is>
      </c>
      <c r="E8" s="17" t="inlineStr">
        <is>
          <t>OFFICE DEPOT</t>
        </is>
      </c>
      <c r="F8" s="31" t="n">
        <v>350</v>
      </c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>
        <v>46269</v>
      </c>
      <c r="C9" s="17" t="inlineStr">
        <is>
          <t>V-002</t>
        </is>
      </c>
      <c r="D9" s="17" t="inlineStr">
        <is>
          <t>AGUA PURIFICADA</t>
        </is>
      </c>
      <c r="E9" s="17" t="inlineStr">
        <is>
          <t>GARRAFONES DEL NORTE</t>
        </is>
      </c>
      <c r="F9" s="31" t="n">
        <v>150</v>
      </c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>
        <v>46273</v>
      </c>
      <c r="C10" s="17" t="inlineStr">
        <is>
          <t>V-003</t>
        </is>
      </c>
      <c r="D10" s="17" t="inlineStr">
        <is>
          <t>MENSAJERÍA URGENTE</t>
        </is>
      </c>
      <c r="E10" s="17" t="inlineStr">
        <is>
          <t>ESTAFETA</t>
        </is>
      </c>
      <c r="F10" s="31" t="n">
        <v>210</v>
      </c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>
        <v>46276</v>
      </c>
      <c r="C11" s="17" t="inlineStr">
        <is>
          <t>V-004</t>
        </is>
      </c>
      <c r="D11" s="17" t="inlineStr">
        <is>
          <t>MATERIAL DE LIMPIEZA</t>
        </is>
      </c>
      <c r="E11" s="17" t="inlineStr">
        <is>
          <t>SÚPER MERCADO</t>
        </is>
      </c>
      <c r="F11" s="31" t="n">
        <v>295</v>
      </c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>
        <v>46281</v>
      </c>
      <c r="C12" s="17" t="inlineStr">
        <is>
          <t>V-005</t>
        </is>
      </c>
      <c r="D12" s="17" t="inlineStr">
        <is>
          <t>CAFÉ Y CONSUMIBLES</t>
        </is>
      </c>
      <c r="E12" s="17" t="inlineStr">
        <is>
          <t>COSTCO</t>
        </is>
      </c>
      <c r="F12" s="31" t="n">
        <v>420</v>
      </c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64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>
        <v>347</v>
      </c>
      <c r="C111" s="64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64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6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H1" s="57" t="inlineStr">
        <is>
          <t>INSERTE SU LOGO
(clic derecho &gt; Insertar imagen)</t>
        </is>
      </c>
      <c r="I1" s="65" t="n"/>
      <c r="J1" s="58" t="n"/>
    </row>
    <row r="2" ht="26" customHeight="1">
      <c r="A2" s="59" t="inlineStr">
        <is>
          <t>Uso del fondo fijo y comprobación de gastos</t>
        </is>
      </c>
      <c r="B2" s="60" t="n"/>
      <c r="C2" s="60" t="n"/>
      <c r="D2" s="60" t="n"/>
      <c r="E2" s="60" t="n"/>
      <c r="F2" s="60" t="n"/>
      <c r="G2" s="60" t="n"/>
      <c r="H2" s="61" t="n"/>
      <c r="I2" s="66" t="n"/>
      <c r="J2" s="6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7" t="inlineStr">
        <is>
          <t>FONDO FIJO</t>
        </is>
      </c>
      <c r="C4" s="68" t="n"/>
      <c r="D4" s="67" t="inlineStr">
        <is>
          <t>TOTAL GASTADO</t>
        </is>
      </c>
      <c r="E4" s="68" t="n"/>
      <c r="F4" s="67" t="inlineStr">
        <is>
          <t>DISPONIBLE</t>
        </is>
      </c>
      <c r="G4" s="68" t="n"/>
      <c r="H4" s="67" t="inlineStr">
        <is>
          <t>% DEL FONDO USADO</t>
        </is>
      </c>
      <c r="I4" s="68" t="n"/>
      <c r="J4" s="4" t="n"/>
    </row>
    <row r="5" ht="36" customHeight="1">
      <c r="A5" s="4" t="n"/>
      <c r="B5" s="69">
        <f>FORMATO!B5</f>
        <v/>
      </c>
      <c r="C5" s="70" t="n"/>
      <c r="D5" s="69">
        <f>FORMATO!H108</f>
        <v/>
      </c>
      <c r="E5" s="70" t="n"/>
      <c r="F5" s="69">
        <f>B5-D5</f>
        <v/>
      </c>
      <c r="G5" s="70" t="n"/>
      <c r="H5" s="71">
        <f>IFERROR(D5/B5,0)</f>
        <v/>
      </c>
      <c r="I5" s="7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67" t="inlineStr">
        <is>
          <t>IVA ACUMULADO</t>
        </is>
      </c>
      <c r="G26" s="68" t="n"/>
      <c r="H26" s="67" t="inlineStr">
        <is>
          <t>VALES REGISTRADOS</t>
        </is>
      </c>
      <c r="I26" s="68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69">
        <f>FORMATO!G108</f>
        <v/>
      </c>
      <c r="G27" s="70" t="n"/>
      <c r="H27" s="72">
        <f>COUNT(FORMATO!F8:F107)</f>
        <v/>
      </c>
      <c r="I27" s="70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E1" s="1" t="n"/>
    </row>
    <row r="2">
      <c r="A2" s="1" t="n"/>
      <c r="B2" s="50" t="inlineStr">
        <is>
          <t>CONTROL DE CAJA CHICA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2026-10-07T21:52:18Z</dcterms:created>
  <dcterms:modified xmlns:dcterms="http://purl.org/dc/terms/" xmlns:xsi="http://www.w3.org/2001/XMLSchema-instance" xsi:type="dcterms:W3CDTF">2026-10-07T21:54:23Z</dcterms:modified>
</cp:coreProperties>
</file>