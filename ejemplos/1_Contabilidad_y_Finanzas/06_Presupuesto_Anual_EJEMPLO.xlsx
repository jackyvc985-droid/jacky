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5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0" borderId="7" pivotButton="0" quotePrefix="0" xfId="0"/>
    <xf numFmtId="164" fontId="25" fillId="4" borderId="7" applyProtection="1" pivotButton="0" quotePrefix="0" xfId="0">
      <protection locked="0" hidden="0"/>
    </xf>
    <xf numFmtId="164" fontId="25" fillId="5" borderId="7" pivotButton="0" quotePrefix="0" xfId="0"/>
    <xf numFmtId="9" fontId="25" fillId="5" borderId="7" pivotButton="0" quotePrefix="0" xfId="0"/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6" borderId="12" applyAlignment="1" pivotButton="0" quotePrefix="0" xfId="0">
      <alignment horizontal="center" vertical="center"/>
    </xf>
    <xf numFmtId="0" fontId="25" fillId="6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2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2" pivotButton="0" quotePrefix="0" xfId="0"/>
    <xf numFmtId="0" fontId="0" fillId="0" borderId="32" pivotButton="0" quotePrefix="0" xfId="0"/>
    <xf numFmtId="0" fontId="7" fillId="3" borderId="29" applyAlignment="1" pivotButton="0" quotePrefix="0" xfId="0">
      <alignment horizontal="center" vertical="center"/>
    </xf>
    <xf numFmtId="0" fontId="0" fillId="0" borderId="31" pivotButton="0" quotePrefix="0" xfId="0"/>
    <xf numFmtId="164" fontId="8" fillId="6" borderId="33" applyAlignment="1" pivotButton="0" quotePrefix="0" xfId="0">
      <alignment horizontal="center" vertical="center"/>
    </xf>
    <xf numFmtId="0" fontId="0" fillId="0" borderId="35" pivotButton="0" quotePrefix="0" xfId="0"/>
  </cellXfs>
  <cellStyles count="1">
    <cellStyle name="Normal" xfId="0" builtinId="0" hidden="0"/>
  </cellStyles>
  <dxfs count="1">
    <dxf>
      <font>
        <name val="Abadi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Presupuesto vs. real por concepto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'RESUMEN'!C8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'RESUMEN'!$C$9:$C$18</f>
            </numRef>
          </val>
        </ser>
        <ser>
          <idx val="1"/>
          <order val="1"/>
          <tx>
            <strRef>
              <f>'RESUMEN'!D8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PRESUPUESTO ANUAL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Por cada concepto hay dos renglones: Presup. (lo planeado) y Real (lo ejercido).</t>
        </is>
      </c>
      <c r="G21" s="4" t="n"/>
    </row>
    <row r="22" ht="21" customHeight="1">
      <c r="A22" s="4" t="n"/>
      <c r="B22" s="15" t="n">
        <v>2</v>
      </c>
      <c r="C22" s="13" t="inlineStr">
        <is>
          <t>Captura mes a mes. La columna Variación muestra Real - Presupuesto del primer renglón de cada concepto.</t>
        </is>
      </c>
      <c r="G22" s="4" t="n"/>
    </row>
    <row r="23" ht="36" customHeight="1">
      <c r="A23" s="4" t="n"/>
      <c r="B23" s="15" t="n">
        <v>3</v>
      </c>
      <c r="C23" s="13" t="inlineStr">
        <is>
          <t>En gastos, una variación positiva (rojo) significa que te pasaste del presupuesto; en ventas, positiva es favorable.</t>
        </is>
      </c>
      <c r="G23" s="4" t="n"/>
    </row>
    <row r="24" ht="21" customHeight="1">
      <c r="A24" s="4" t="n"/>
      <c r="B24" s="15" t="n">
        <v>4</v>
      </c>
      <c r="C24" s="13" t="inlineStr">
        <is>
          <t>El % de ejecución indica qué parte del presupuesto anual ya se ejerció.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Parte de los resultados del año anterior y ajusta por inflación y metas de ventas.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la variación cada mes y toma acciones si pasa del 10%.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Separa gastos fijos y variables para identificar dónde puedes ahorrar.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Actualiza la proyección trimestralmente (reforecast).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22" t="inlineStr">
        <is>
          <t>PRESUPUESTO ANUAL: PRESUPUESTADO VS REAL</t>
        </is>
      </c>
      <c r="P1" s="50" t="inlineStr">
        <is>
          <t>INSERTE SU LOGO
(clic derecho &gt; Insertar imagen)</t>
        </is>
      </c>
      <c r="Q1" s="51" t="n"/>
    </row>
    <row r="2" ht="26" customHeight="1">
      <c r="A2" s="52" t="inlineStr">
        <is>
          <t>Captura presupuesto y gasto real por mes; la variación se calcula sola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4" t="n"/>
      <c r="Q2" s="5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>
      <c r="A4" s="29" t="inlineStr">
        <is>
          <t>EMPRESA / ÁREA</t>
        </is>
      </c>
      <c r="B4" s="17" t="inlineStr">
        <is>
          <t>COMERCIALIZADORA EJEMPLO S.A. DE C.V.</t>
        </is>
      </c>
      <c r="C4" s="56" t="n"/>
      <c r="D4" s="57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 ht="32" customHeight="1">
      <c r="A7" s="30" t="inlineStr">
        <is>
          <t>CONCEPTO</t>
        </is>
      </c>
      <c r="B7" s="30" t="inlineStr">
        <is>
          <t>ENE</t>
        </is>
      </c>
      <c r="C7" s="30" t="inlineStr">
        <is>
          <t>FEB</t>
        </is>
      </c>
      <c r="D7" s="30" t="inlineStr">
        <is>
          <t>MAR</t>
        </is>
      </c>
      <c r="E7" s="30" t="inlineStr">
        <is>
          <t>ABR</t>
        </is>
      </c>
      <c r="F7" s="30" t="inlineStr">
        <is>
          <t>MAY</t>
        </is>
      </c>
      <c r="G7" s="30" t="inlineStr">
        <is>
          <t>JUN</t>
        </is>
      </c>
      <c r="H7" s="30" t="inlineStr">
        <is>
          <t>JUL</t>
        </is>
      </c>
      <c r="I7" s="30" t="inlineStr">
        <is>
          <t>AGO</t>
        </is>
      </c>
      <c r="J7" s="30" t="inlineStr">
        <is>
          <t>SEP</t>
        </is>
      </c>
      <c r="K7" s="30" t="inlineStr">
        <is>
          <t>OCT</t>
        </is>
      </c>
      <c r="L7" s="30" t="inlineStr">
        <is>
          <t>NOV</t>
        </is>
      </c>
      <c r="M7" s="30" t="inlineStr">
        <is>
          <t>DIC</t>
        </is>
      </c>
      <c r="N7" s="30" t="inlineStr">
        <is>
          <t>PRESUP. ANUAL</t>
        </is>
      </c>
      <c r="O7" s="30" t="inlineStr">
        <is>
          <t>REAL ANUAL</t>
        </is>
      </c>
      <c r="P7" s="30" t="inlineStr">
        <is>
          <t>VARIACIÓN</t>
        </is>
      </c>
      <c r="Q7" s="30" t="inlineStr">
        <is>
          <t>% EJEC.</t>
        </is>
      </c>
    </row>
    <row r="8">
      <c r="A8" s="31" t="inlineStr">
        <is>
          <t>VENTAS - PRESUP.</t>
        </is>
      </c>
      <c r="B8" s="32" t="n">
        <v>220000</v>
      </c>
      <c r="C8" s="32" t="n">
        <v>220000</v>
      </c>
      <c r="D8" s="32" t="n">
        <v>220000</v>
      </c>
      <c r="E8" s="32" t="n">
        <v>220000</v>
      </c>
      <c r="F8" s="32" t="n">
        <v>220000</v>
      </c>
      <c r="G8" s="32" t="n">
        <v>220000</v>
      </c>
      <c r="H8" s="32" t="n">
        <v>220000</v>
      </c>
      <c r="I8" s="32" t="n">
        <v>220000</v>
      </c>
      <c r="J8" s="32" t="n">
        <v>220000</v>
      </c>
      <c r="K8" s="32" t="n">
        <v>220000</v>
      </c>
      <c r="L8" s="32" t="n">
        <v>220000</v>
      </c>
      <c r="M8" s="32" t="n">
        <v>220000</v>
      </c>
      <c r="N8" s="33">
        <f>SUM(B8:M8)</f>
        <v/>
      </c>
      <c r="O8" s="33">
        <f>SUM(B9:M9)</f>
        <v/>
      </c>
      <c r="P8" s="33">
        <f>O8-N8</f>
        <v/>
      </c>
      <c r="Q8" s="34">
        <f>IF(N8=0,"",O8/N8)</f>
        <v/>
      </c>
    </row>
    <row r="9">
      <c r="A9" s="35" t="inlineStr">
        <is>
          <t>VENTAS - REAL</t>
        </is>
      </c>
      <c r="B9" s="32" t="n">
        <v>228800</v>
      </c>
      <c r="C9" s="32" t="n">
        <v>233200</v>
      </c>
      <c r="D9" s="32" t="n">
        <v>237600</v>
      </c>
      <c r="E9" s="32" t="n">
        <v>228800</v>
      </c>
      <c r="F9" s="32" t="n">
        <v>233200</v>
      </c>
      <c r="G9" s="32" t="n">
        <v>237600</v>
      </c>
      <c r="H9" s="32" t="n">
        <v>228800</v>
      </c>
      <c r="I9" s="32" t="n">
        <v>233200</v>
      </c>
      <c r="J9" s="32" t="n">
        <v>237600</v>
      </c>
      <c r="K9" s="32" t="n"/>
      <c r="L9" s="32" t="n"/>
      <c r="M9" s="32" t="n"/>
      <c r="N9" s="4" t="n"/>
      <c r="O9" s="4" t="n"/>
      <c r="P9" s="4" t="n"/>
      <c r="Q9" s="4" t="n"/>
    </row>
    <row r="10">
      <c r="A10" s="31" t="inlineStr">
        <is>
          <t>COSTO DE VENTAS - PRESUP.</t>
        </is>
      </c>
      <c r="B10" s="32" t="n">
        <v>120000</v>
      </c>
      <c r="C10" s="32" t="n">
        <v>120000</v>
      </c>
      <c r="D10" s="32" t="n">
        <v>120000</v>
      </c>
      <c r="E10" s="32" t="n">
        <v>120000</v>
      </c>
      <c r="F10" s="32" t="n">
        <v>120000</v>
      </c>
      <c r="G10" s="32" t="n">
        <v>120000</v>
      </c>
      <c r="H10" s="32" t="n">
        <v>120000</v>
      </c>
      <c r="I10" s="32" t="n">
        <v>120000</v>
      </c>
      <c r="J10" s="32" t="n">
        <v>120000</v>
      </c>
      <c r="K10" s="32" t="n">
        <v>120000</v>
      </c>
      <c r="L10" s="32" t="n">
        <v>120000</v>
      </c>
      <c r="M10" s="32" t="n">
        <v>120000</v>
      </c>
      <c r="N10" s="33">
        <f>SUM(B10:M10)</f>
        <v/>
      </c>
      <c r="O10" s="33">
        <f>SUM(B11:M11)</f>
        <v/>
      </c>
      <c r="P10" s="33">
        <f>O10-N10</f>
        <v/>
      </c>
      <c r="Q10" s="34">
        <f>IF(N10=0,"",O10/N10)</f>
        <v/>
      </c>
    </row>
    <row r="11">
      <c r="A11" s="35" t="inlineStr">
        <is>
          <t>COSTO DE VENTAS - REAL</t>
        </is>
      </c>
      <c r="B11" s="32" t="n">
        <v>114000</v>
      </c>
      <c r="C11" s="32" t="n">
        <v>116400</v>
      </c>
      <c r="D11" s="32" t="n">
        <v>118800</v>
      </c>
      <c r="E11" s="32" t="n">
        <v>114000</v>
      </c>
      <c r="F11" s="32" t="n">
        <v>116400</v>
      </c>
      <c r="G11" s="32" t="n">
        <v>118800</v>
      </c>
      <c r="H11" s="32" t="n">
        <v>114000</v>
      </c>
      <c r="I11" s="32" t="n">
        <v>116400</v>
      </c>
      <c r="J11" s="32" t="n">
        <v>118800</v>
      </c>
      <c r="K11" s="32" t="n"/>
      <c r="L11" s="32" t="n"/>
      <c r="M11" s="32" t="n"/>
      <c r="N11" s="4" t="n"/>
      <c r="O11" s="4" t="n"/>
      <c r="P11" s="4" t="n"/>
      <c r="Q11" s="4" t="n"/>
    </row>
    <row r="12">
      <c r="A12" s="31" t="inlineStr">
        <is>
          <t>SUELDOS Y SALARIOS - PRESUP.</t>
        </is>
      </c>
      <c r="B12" s="32" t="n">
        <v>62000</v>
      </c>
      <c r="C12" s="32" t="n">
        <v>62000</v>
      </c>
      <c r="D12" s="32" t="n">
        <v>62000</v>
      </c>
      <c r="E12" s="32" t="n">
        <v>62000</v>
      </c>
      <c r="F12" s="32" t="n">
        <v>62000</v>
      </c>
      <c r="G12" s="32" t="n">
        <v>62000</v>
      </c>
      <c r="H12" s="32" t="n">
        <v>62000</v>
      </c>
      <c r="I12" s="32" t="n">
        <v>62000</v>
      </c>
      <c r="J12" s="32" t="n">
        <v>62000</v>
      </c>
      <c r="K12" s="32" t="n">
        <v>62000</v>
      </c>
      <c r="L12" s="32" t="n">
        <v>62000</v>
      </c>
      <c r="M12" s="32" t="n">
        <v>62000</v>
      </c>
      <c r="N12" s="33">
        <f>SUM(B12:M12)</f>
        <v/>
      </c>
      <c r="O12" s="33">
        <f>SUM(B13:M13)</f>
        <v/>
      </c>
      <c r="P12" s="33">
        <f>O12-N12</f>
        <v/>
      </c>
      <c r="Q12" s="34">
        <f>IF(N12=0,"",O12/N12)</f>
        <v/>
      </c>
    </row>
    <row r="13">
      <c r="A13" s="35" t="inlineStr">
        <is>
          <t>SUELDOS Y SALARIOS - REAL</t>
        </is>
      </c>
      <c r="B13" s="32" t="n">
        <v>63240</v>
      </c>
      <c r="C13" s="32" t="n">
        <v>64480</v>
      </c>
      <c r="D13" s="32" t="n">
        <v>65720</v>
      </c>
      <c r="E13" s="32" t="n">
        <v>63240</v>
      </c>
      <c r="F13" s="32" t="n">
        <v>64480</v>
      </c>
      <c r="G13" s="32" t="n">
        <v>65720</v>
      </c>
      <c r="H13" s="32" t="n">
        <v>63240</v>
      </c>
      <c r="I13" s="32" t="n">
        <v>64480</v>
      </c>
      <c r="J13" s="32" t="n">
        <v>65720</v>
      </c>
      <c r="K13" s="32" t="n"/>
      <c r="L13" s="32" t="n"/>
      <c r="M13" s="32" t="n"/>
      <c r="N13" s="4" t="n"/>
      <c r="O13" s="4" t="n"/>
      <c r="P13" s="4" t="n"/>
      <c r="Q13" s="4" t="n"/>
    </row>
    <row r="14">
      <c r="A14" s="31" t="inlineStr">
        <is>
          <t>RENTA - PRESUP.</t>
        </is>
      </c>
      <c r="B14" s="32" t="n">
        <v>22000</v>
      </c>
      <c r="C14" s="32" t="n">
        <v>22000</v>
      </c>
      <c r="D14" s="32" t="n">
        <v>22000</v>
      </c>
      <c r="E14" s="32" t="n">
        <v>22000</v>
      </c>
      <c r="F14" s="32" t="n">
        <v>22000</v>
      </c>
      <c r="G14" s="32" t="n">
        <v>22000</v>
      </c>
      <c r="H14" s="32" t="n">
        <v>22000</v>
      </c>
      <c r="I14" s="32" t="n">
        <v>22000</v>
      </c>
      <c r="J14" s="32" t="n">
        <v>22000</v>
      </c>
      <c r="K14" s="32" t="n">
        <v>22000</v>
      </c>
      <c r="L14" s="32" t="n">
        <v>22000</v>
      </c>
      <c r="M14" s="32" t="n">
        <v>22000</v>
      </c>
      <c r="N14" s="33">
        <f>SUM(B14:M14)</f>
        <v/>
      </c>
      <c r="O14" s="33">
        <f>SUM(B15:M15)</f>
        <v/>
      </c>
      <c r="P14" s="33">
        <f>O14-N14</f>
        <v/>
      </c>
      <c r="Q14" s="34">
        <f>IF(N14=0,"",O14/N14)</f>
        <v/>
      </c>
    </row>
    <row r="15">
      <c r="A15" s="35" t="inlineStr">
        <is>
          <t>RENTA - REAL</t>
        </is>
      </c>
      <c r="B15" s="32" t="n">
        <v>24200</v>
      </c>
      <c r="C15" s="32" t="n">
        <v>24640</v>
      </c>
      <c r="D15" s="32" t="n">
        <v>25080</v>
      </c>
      <c r="E15" s="32" t="n">
        <v>24200</v>
      </c>
      <c r="F15" s="32" t="n">
        <v>24640</v>
      </c>
      <c r="G15" s="32" t="n">
        <v>25080</v>
      </c>
      <c r="H15" s="32" t="n">
        <v>24200</v>
      </c>
      <c r="I15" s="32" t="n">
        <v>24640</v>
      </c>
      <c r="J15" s="32" t="n">
        <v>25080</v>
      </c>
      <c r="K15" s="32" t="n"/>
      <c r="L15" s="32" t="n"/>
      <c r="M15" s="32" t="n"/>
      <c r="N15" s="4" t="n"/>
      <c r="O15" s="4" t="n"/>
      <c r="P15" s="4" t="n"/>
      <c r="Q15" s="4" t="n"/>
    </row>
    <row r="16">
      <c r="A16" s="31" t="inlineStr">
        <is>
          <t>SERVICIOS - PRESUP.</t>
        </is>
      </c>
      <c r="B16" s="32" t="n">
        <v>9000</v>
      </c>
      <c r="C16" s="32" t="n">
        <v>9000</v>
      </c>
      <c r="D16" s="32" t="n">
        <v>9000</v>
      </c>
      <c r="E16" s="32" t="n">
        <v>9000</v>
      </c>
      <c r="F16" s="32" t="n">
        <v>9000</v>
      </c>
      <c r="G16" s="32" t="n">
        <v>9000</v>
      </c>
      <c r="H16" s="32" t="n">
        <v>9000</v>
      </c>
      <c r="I16" s="32" t="n">
        <v>9000</v>
      </c>
      <c r="J16" s="32" t="n">
        <v>9000</v>
      </c>
      <c r="K16" s="32" t="n">
        <v>9000</v>
      </c>
      <c r="L16" s="32" t="n">
        <v>9000</v>
      </c>
      <c r="M16" s="32" t="n">
        <v>9000</v>
      </c>
      <c r="N16" s="33">
        <f>SUM(B16:M16)</f>
        <v/>
      </c>
      <c r="O16" s="33">
        <f>SUM(B17:M17)</f>
        <v/>
      </c>
      <c r="P16" s="33">
        <f>O16-N16</f>
        <v/>
      </c>
      <c r="Q16" s="34">
        <f>IF(N16=0,"",O16/N16)</f>
        <v/>
      </c>
    </row>
    <row r="17">
      <c r="A17" s="35" t="inlineStr">
        <is>
          <t>SERVICIOS - REAL</t>
        </is>
      </c>
      <c r="B17" s="32" t="n">
        <v>9000</v>
      </c>
      <c r="C17" s="32" t="n">
        <v>9180</v>
      </c>
      <c r="D17" s="32" t="n">
        <v>9360</v>
      </c>
      <c r="E17" s="32" t="n">
        <v>9000</v>
      </c>
      <c r="F17" s="32" t="n">
        <v>9180</v>
      </c>
      <c r="G17" s="32" t="n">
        <v>9360</v>
      </c>
      <c r="H17" s="32" t="n">
        <v>9000</v>
      </c>
      <c r="I17" s="32" t="n">
        <v>9180</v>
      </c>
      <c r="J17" s="32" t="n">
        <v>9360</v>
      </c>
      <c r="K17" s="32" t="n"/>
      <c r="L17" s="32" t="n"/>
      <c r="M17" s="32" t="n"/>
      <c r="N17" s="4" t="n"/>
      <c r="O17" s="4" t="n"/>
      <c r="P17" s="4" t="n"/>
      <c r="Q17" s="4" t="n"/>
    </row>
    <row r="18">
      <c r="A18" s="31" t="inlineStr">
        <is>
          <t>PUBLICIDAD Y MERCADOTECNIA - PRESUP.</t>
        </is>
      </c>
      <c r="B18" s="32" t="n">
        <v>14000</v>
      </c>
      <c r="C18" s="32" t="n">
        <v>14000</v>
      </c>
      <c r="D18" s="32" t="n">
        <v>14000</v>
      </c>
      <c r="E18" s="32" t="n">
        <v>14000</v>
      </c>
      <c r="F18" s="32" t="n">
        <v>14000</v>
      </c>
      <c r="G18" s="32" t="n">
        <v>14000</v>
      </c>
      <c r="H18" s="32" t="n">
        <v>14000</v>
      </c>
      <c r="I18" s="32" t="n">
        <v>14000</v>
      </c>
      <c r="J18" s="32" t="n">
        <v>14000</v>
      </c>
      <c r="K18" s="32" t="n">
        <v>14000</v>
      </c>
      <c r="L18" s="32" t="n">
        <v>14000</v>
      </c>
      <c r="M18" s="32" t="n">
        <v>14000</v>
      </c>
      <c r="N18" s="33">
        <f>SUM(B18:M18)</f>
        <v/>
      </c>
      <c r="O18" s="33">
        <f>SUM(B19:M19)</f>
        <v/>
      </c>
      <c r="P18" s="33">
        <f>O18-N18</f>
        <v/>
      </c>
      <c r="Q18" s="34">
        <f>IF(N18=0,"",O18/N18)</f>
        <v/>
      </c>
    </row>
    <row r="19">
      <c r="A19" s="35" t="inlineStr">
        <is>
          <t>PUBLICIDAD Y MERCADOTECNIA - REAL</t>
        </is>
      </c>
      <c r="B19" s="32" t="n">
        <v>12740</v>
      </c>
      <c r="C19" s="32" t="n">
        <v>13020</v>
      </c>
      <c r="D19" s="32" t="n">
        <v>13300</v>
      </c>
      <c r="E19" s="32" t="n">
        <v>12740</v>
      </c>
      <c r="F19" s="32" t="n">
        <v>13020</v>
      </c>
      <c r="G19" s="32" t="n">
        <v>13300</v>
      </c>
      <c r="H19" s="32" t="n">
        <v>12740</v>
      </c>
      <c r="I19" s="32" t="n">
        <v>13020</v>
      </c>
      <c r="J19" s="32" t="n">
        <v>13300</v>
      </c>
      <c r="K19" s="32" t="n"/>
      <c r="L19" s="32" t="n"/>
      <c r="M19" s="32" t="n"/>
      <c r="N19" s="4" t="n"/>
      <c r="O19" s="4" t="n"/>
      <c r="P19" s="4" t="n"/>
      <c r="Q19" s="4" t="n"/>
    </row>
    <row r="20">
      <c r="A20" s="31" t="inlineStr">
        <is>
          <t>MANTENIMIENTO - PRESUP.</t>
        </is>
      </c>
      <c r="B20" s="32" t="n">
        <v>6000</v>
      </c>
      <c r="C20" s="32" t="n">
        <v>6000</v>
      </c>
      <c r="D20" s="32" t="n">
        <v>6000</v>
      </c>
      <c r="E20" s="32" t="n">
        <v>6000</v>
      </c>
      <c r="F20" s="32" t="n">
        <v>6000</v>
      </c>
      <c r="G20" s="32" t="n">
        <v>6000</v>
      </c>
      <c r="H20" s="32" t="n">
        <v>6000</v>
      </c>
      <c r="I20" s="32" t="n">
        <v>6000</v>
      </c>
      <c r="J20" s="32" t="n">
        <v>6000</v>
      </c>
      <c r="K20" s="32" t="n">
        <v>6000</v>
      </c>
      <c r="L20" s="32" t="n">
        <v>6000</v>
      </c>
      <c r="M20" s="32" t="n">
        <v>6000</v>
      </c>
      <c r="N20" s="33">
        <f>SUM(B20:M20)</f>
        <v/>
      </c>
      <c r="O20" s="33">
        <f>SUM(B21:M21)</f>
        <v/>
      </c>
      <c r="P20" s="33">
        <f>O20-N20</f>
        <v/>
      </c>
      <c r="Q20" s="34">
        <f>IF(N20=0,"",O20/N20)</f>
        <v/>
      </c>
    </row>
    <row r="21">
      <c r="A21" s="35" t="inlineStr">
        <is>
          <t>MANTENIMIENTO - REAL</t>
        </is>
      </c>
      <c r="B21" s="32" t="n">
        <v>6780</v>
      </c>
      <c r="C21" s="32" t="n">
        <v>6900</v>
      </c>
      <c r="D21" s="32" t="n">
        <v>7020</v>
      </c>
      <c r="E21" s="32" t="n">
        <v>6780</v>
      </c>
      <c r="F21" s="32" t="n">
        <v>6900</v>
      </c>
      <c r="G21" s="32" t="n">
        <v>7020</v>
      </c>
      <c r="H21" s="32" t="n">
        <v>6780</v>
      </c>
      <c r="I21" s="32" t="n">
        <v>6900</v>
      </c>
      <c r="J21" s="32" t="n">
        <v>7020</v>
      </c>
      <c r="K21" s="32" t="n"/>
      <c r="L21" s="32" t="n"/>
      <c r="M21" s="32" t="n"/>
      <c r="N21" s="4" t="n"/>
      <c r="O21" s="4" t="n"/>
      <c r="P21" s="4" t="n"/>
      <c r="Q21" s="4" t="n"/>
    </row>
    <row r="22">
      <c r="A22" s="31" t="inlineStr">
        <is>
          <t>PAPELERÍA Y OFICINA - PRESUP.</t>
        </is>
      </c>
      <c r="B22" s="32" t="n">
        <v>4000</v>
      </c>
      <c r="C22" s="32" t="n">
        <v>4000</v>
      </c>
      <c r="D22" s="32" t="n">
        <v>4000</v>
      </c>
      <c r="E22" s="32" t="n">
        <v>4000</v>
      </c>
      <c r="F22" s="32" t="n">
        <v>4000</v>
      </c>
      <c r="G22" s="32" t="n">
        <v>4000</v>
      </c>
      <c r="H22" s="32" t="n">
        <v>4000</v>
      </c>
      <c r="I22" s="32" t="n">
        <v>4000</v>
      </c>
      <c r="J22" s="32" t="n">
        <v>4000</v>
      </c>
      <c r="K22" s="32" t="n">
        <v>4000</v>
      </c>
      <c r="L22" s="32" t="n">
        <v>4000</v>
      </c>
      <c r="M22" s="32" t="n">
        <v>4000</v>
      </c>
      <c r="N22" s="33">
        <f>SUM(B22:M22)</f>
        <v/>
      </c>
      <c r="O22" s="33">
        <f>SUM(B23:M23)</f>
        <v/>
      </c>
      <c r="P22" s="33">
        <f>O22-N22</f>
        <v/>
      </c>
      <c r="Q22" s="34">
        <f>IF(N22=0,"",O22/N22)</f>
        <v/>
      </c>
    </row>
    <row r="23">
      <c r="A23" s="35" t="inlineStr">
        <is>
          <t>PAPELERÍA Y OFICINA - REAL</t>
        </is>
      </c>
      <c r="B23" s="32" t="n">
        <v>4240</v>
      </c>
      <c r="C23" s="32" t="n">
        <v>4320</v>
      </c>
      <c r="D23" s="32" t="n">
        <v>4400</v>
      </c>
      <c r="E23" s="32" t="n">
        <v>4240</v>
      </c>
      <c r="F23" s="32" t="n">
        <v>4320</v>
      </c>
      <c r="G23" s="32" t="n">
        <v>4400</v>
      </c>
      <c r="H23" s="32" t="n">
        <v>4240</v>
      </c>
      <c r="I23" s="32" t="n">
        <v>4320</v>
      </c>
      <c r="J23" s="32" t="n">
        <v>4400</v>
      </c>
      <c r="K23" s="32" t="n"/>
      <c r="L23" s="32" t="n"/>
      <c r="M23" s="32" t="n"/>
      <c r="N23" s="4" t="n"/>
      <c r="O23" s="4" t="n"/>
      <c r="P23" s="4" t="n"/>
      <c r="Q23" s="4" t="n"/>
    </row>
    <row r="24">
      <c r="A24" s="31" t="inlineStr">
        <is>
          <t>IMPUESTOS Y DERECHOS - PRESUP.</t>
        </is>
      </c>
      <c r="B24" s="32" t="n">
        <v>16000</v>
      </c>
      <c r="C24" s="32" t="n">
        <v>16000</v>
      </c>
      <c r="D24" s="32" t="n">
        <v>16000</v>
      </c>
      <c r="E24" s="32" t="n">
        <v>16000</v>
      </c>
      <c r="F24" s="32" t="n">
        <v>16000</v>
      </c>
      <c r="G24" s="32" t="n">
        <v>16000</v>
      </c>
      <c r="H24" s="32" t="n">
        <v>16000</v>
      </c>
      <c r="I24" s="32" t="n">
        <v>16000</v>
      </c>
      <c r="J24" s="32" t="n">
        <v>16000</v>
      </c>
      <c r="K24" s="32" t="n">
        <v>16000</v>
      </c>
      <c r="L24" s="32" t="n">
        <v>16000</v>
      </c>
      <c r="M24" s="32" t="n">
        <v>16000</v>
      </c>
      <c r="N24" s="33">
        <f>SUM(B24:M24)</f>
        <v/>
      </c>
      <c r="O24" s="33">
        <f>SUM(B25:M25)</f>
        <v/>
      </c>
      <c r="P24" s="33">
        <f>O24-N24</f>
        <v/>
      </c>
      <c r="Q24" s="34">
        <f>IF(N24=0,"",O24/N24)</f>
        <v/>
      </c>
    </row>
    <row r="25">
      <c r="A25" s="35" t="inlineStr">
        <is>
          <t>IMPUESTOS Y DERECHOS - REAL</t>
        </is>
      </c>
      <c r="B25" s="32" t="n">
        <v>15840</v>
      </c>
      <c r="C25" s="32" t="n">
        <v>16160</v>
      </c>
      <c r="D25" s="32" t="n">
        <v>16480</v>
      </c>
      <c r="E25" s="32" t="n">
        <v>15840</v>
      </c>
      <c r="F25" s="32" t="n">
        <v>16160</v>
      </c>
      <c r="G25" s="32" t="n">
        <v>16480</v>
      </c>
      <c r="H25" s="32" t="n">
        <v>15840</v>
      </c>
      <c r="I25" s="32" t="n">
        <v>16160</v>
      </c>
      <c r="J25" s="32" t="n">
        <v>16480</v>
      </c>
      <c r="K25" s="32" t="n"/>
      <c r="L25" s="32" t="n"/>
      <c r="M25" s="32" t="n"/>
      <c r="N25" s="4" t="n"/>
      <c r="O25" s="4" t="n"/>
      <c r="P25" s="4" t="n"/>
      <c r="Q25" s="4" t="n"/>
    </row>
    <row r="26">
      <c r="A26" s="31" t="inlineStr">
        <is>
          <t>OTROS GASTOS - PRESUP.</t>
        </is>
      </c>
      <c r="B26" s="32" t="n">
        <v>7000</v>
      </c>
      <c r="C26" s="32" t="n">
        <v>7000</v>
      </c>
      <c r="D26" s="32" t="n">
        <v>7000</v>
      </c>
      <c r="E26" s="32" t="n">
        <v>7000</v>
      </c>
      <c r="F26" s="32" t="n">
        <v>7000</v>
      </c>
      <c r="G26" s="32" t="n">
        <v>7000</v>
      </c>
      <c r="H26" s="32" t="n">
        <v>7000</v>
      </c>
      <c r="I26" s="32" t="n">
        <v>7000</v>
      </c>
      <c r="J26" s="32" t="n">
        <v>7000</v>
      </c>
      <c r="K26" s="32" t="n">
        <v>7000</v>
      </c>
      <c r="L26" s="32" t="n">
        <v>7000</v>
      </c>
      <c r="M26" s="32" t="n">
        <v>7000</v>
      </c>
      <c r="N26" s="33">
        <f>SUM(B26:M26)</f>
        <v/>
      </c>
      <c r="O26" s="33">
        <f>SUM(B27:M27)</f>
        <v/>
      </c>
      <c r="P26" s="33">
        <f>O26-N26</f>
        <v/>
      </c>
      <c r="Q26" s="34">
        <f>IF(N26=0,"",O26/N26)</f>
        <v/>
      </c>
    </row>
    <row r="27">
      <c r="A27" s="35" t="inlineStr">
        <is>
          <t>OTROS GASTOS - REAL</t>
        </is>
      </c>
      <c r="B27" s="32" t="n">
        <v>8260</v>
      </c>
      <c r="C27" s="32" t="n">
        <v>8400</v>
      </c>
      <c r="D27" s="32" t="n">
        <v>8540</v>
      </c>
      <c r="E27" s="32" t="n">
        <v>8260</v>
      </c>
      <c r="F27" s="32" t="n">
        <v>8400</v>
      </c>
      <c r="G27" s="32" t="n">
        <v>8540</v>
      </c>
      <c r="H27" s="32" t="n">
        <v>8260</v>
      </c>
      <c r="I27" s="32" t="n">
        <v>8400</v>
      </c>
      <c r="J27" s="32" t="n">
        <v>8540</v>
      </c>
      <c r="K27" s="32" t="n"/>
      <c r="L27" s="32" t="n"/>
      <c r="M27" s="32" t="n"/>
      <c r="N27" s="4" t="n"/>
      <c r="O27" s="4" t="n"/>
      <c r="P27" s="4" t="n"/>
      <c r="Q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PRESUPUESTO</t>
        </is>
      </c>
      <c r="H1" s="50" t="inlineStr">
        <is>
          <t>INSERTE SU LOGO
(clic derecho &gt; Insertar imagen)</t>
        </is>
      </c>
      <c r="I1" s="58" t="n"/>
      <c r="J1" s="51" t="n"/>
    </row>
    <row r="2" ht="26" customHeight="1">
      <c r="A2" s="52" t="inlineStr">
        <is>
          <t>Presupuestado vs. real por concepto</t>
        </is>
      </c>
      <c r="B2" s="53" t="n"/>
      <c r="C2" s="53" t="n"/>
      <c r="D2" s="53" t="n"/>
      <c r="E2" s="53" t="n"/>
      <c r="F2" s="53" t="n"/>
      <c r="G2" s="53" t="n"/>
      <c r="H2" s="54" t="n"/>
      <c r="I2" s="59" t="n"/>
      <c r="J2" s="5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0" t="inlineStr">
        <is>
          <t>VENTAS PRESUPUESTADAS</t>
        </is>
      </c>
      <c r="C4" s="61" t="n"/>
      <c r="D4" s="60" t="inlineStr">
        <is>
          <t>VENTAS REALES</t>
        </is>
      </c>
      <c r="E4" s="61" t="n"/>
      <c r="F4" s="60" t="inlineStr">
        <is>
          <t>GASTO PRESUPUESTADO</t>
        </is>
      </c>
      <c r="G4" s="61" t="n"/>
      <c r="H4" s="60" t="inlineStr">
        <is>
          <t>GASTO REAL</t>
        </is>
      </c>
      <c r="I4" s="61" t="n"/>
      <c r="J4" s="4" t="n"/>
    </row>
    <row r="5" ht="36" customHeight="1">
      <c r="A5" s="4" t="n"/>
      <c r="B5" s="62">
        <f>C9</f>
        <v/>
      </c>
      <c r="C5" s="63" t="n"/>
      <c r="D5" s="62">
        <f>D9</f>
        <v/>
      </c>
      <c r="E5" s="63" t="n"/>
      <c r="F5" s="62">
        <f>SUM(C10:C18)</f>
        <v/>
      </c>
      <c r="G5" s="63" t="n"/>
      <c r="H5" s="62">
        <f>SUM(D10:D18)</f>
        <v/>
      </c>
      <c r="I5" s="6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32" customHeight="1">
      <c r="A8" s="4" t="n"/>
      <c r="B8" s="30" t="inlineStr">
        <is>
          <t>CONCEPTO</t>
        </is>
      </c>
      <c r="C8" s="30" t="inlineStr">
        <is>
          <t>PRESUPUESTO</t>
        </is>
      </c>
      <c r="D8" s="30" t="inlineStr">
        <is>
          <t>REAL</t>
        </is>
      </c>
      <c r="E8" s="30" t="inlineStr">
        <is>
          <t>VARIACIÓN</t>
        </is>
      </c>
      <c r="F8" s="30" t="inlineStr">
        <is>
          <t>% EJEC.</t>
        </is>
      </c>
      <c r="G8" s="4" t="n"/>
      <c r="H8" s="4" t="n"/>
      <c r="I8" s="4" t="n"/>
      <c r="J8" s="4" t="n"/>
    </row>
    <row r="9">
      <c r="A9" s="4" t="n"/>
      <c r="B9" s="35" t="inlineStr">
        <is>
          <t>VENTAS</t>
        </is>
      </c>
      <c r="C9" s="33">
        <f>FORMATO!N8</f>
        <v/>
      </c>
      <c r="D9" s="33">
        <f>FORMATO!O8</f>
        <v/>
      </c>
      <c r="E9" s="33">
        <f>D9-C9</f>
        <v/>
      </c>
      <c r="F9" s="34">
        <f>IF(C9=0,"",D9/C9)</f>
        <v/>
      </c>
      <c r="G9" s="4" t="n"/>
      <c r="H9" s="4" t="n"/>
      <c r="I9" s="4" t="n"/>
      <c r="J9" s="4" t="n"/>
    </row>
    <row r="10">
      <c r="A10" s="4" t="n"/>
      <c r="B10" s="35" t="inlineStr">
        <is>
          <t>COSTO DE VENTAS</t>
        </is>
      </c>
      <c r="C10" s="33">
        <f>FORMATO!N10</f>
        <v/>
      </c>
      <c r="D10" s="33">
        <f>FORMATO!O10</f>
        <v/>
      </c>
      <c r="E10" s="33">
        <f>D10-C10</f>
        <v/>
      </c>
      <c r="F10" s="34">
        <f>IF(C10=0,"",D10/C10)</f>
        <v/>
      </c>
      <c r="G10" s="4" t="n"/>
      <c r="H10" s="4" t="n"/>
      <c r="I10" s="4" t="n"/>
      <c r="J10" s="4" t="n"/>
    </row>
    <row r="11">
      <c r="A11" s="4" t="n"/>
      <c r="B11" s="35" t="inlineStr">
        <is>
          <t>SUELDOS Y SALARIOS</t>
        </is>
      </c>
      <c r="C11" s="33">
        <f>FORMATO!N12</f>
        <v/>
      </c>
      <c r="D11" s="33">
        <f>FORMATO!O12</f>
        <v/>
      </c>
      <c r="E11" s="33">
        <f>D11-C11</f>
        <v/>
      </c>
      <c r="F11" s="34">
        <f>IF(C11=0,"",D11/C11)</f>
        <v/>
      </c>
      <c r="G11" s="4" t="n"/>
      <c r="H11" s="4" t="n"/>
      <c r="I11" s="4" t="n"/>
      <c r="J11" s="4" t="n"/>
    </row>
    <row r="12">
      <c r="A12" s="4" t="n"/>
      <c r="B12" s="35" t="inlineStr">
        <is>
          <t>RENTA</t>
        </is>
      </c>
      <c r="C12" s="33">
        <f>FORMATO!N14</f>
        <v/>
      </c>
      <c r="D12" s="33">
        <f>FORMATO!O14</f>
        <v/>
      </c>
      <c r="E12" s="33">
        <f>D12-C12</f>
        <v/>
      </c>
      <c r="F12" s="34">
        <f>IF(C12=0,"",D12/C12)</f>
        <v/>
      </c>
      <c r="G12" s="4" t="n"/>
      <c r="H12" s="4" t="n"/>
      <c r="I12" s="4" t="n"/>
      <c r="J12" s="4" t="n"/>
    </row>
    <row r="13">
      <c r="A13" s="4" t="n"/>
      <c r="B13" s="35" t="inlineStr">
        <is>
          <t>SERVICIOS</t>
        </is>
      </c>
      <c r="C13" s="33">
        <f>FORMATO!N16</f>
        <v/>
      </c>
      <c r="D13" s="33">
        <f>FORMATO!O16</f>
        <v/>
      </c>
      <c r="E13" s="33">
        <f>D13-C13</f>
        <v/>
      </c>
      <c r="F13" s="34">
        <f>IF(C13=0,"",D13/C13)</f>
        <v/>
      </c>
      <c r="G13" s="4" t="n"/>
      <c r="H13" s="4" t="n"/>
      <c r="I13" s="4" t="n"/>
      <c r="J13" s="4" t="n"/>
    </row>
    <row r="14">
      <c r="A14" s="4" t="n"/>
      <c r="B14" s="35" t="inlineStr">
        <is>
          <t>PUBLICIDAD Y MERCADOTECNIA</t>
        </is>
      </c>
      <c r="C14" s="33">
        <f>FORMATO!N18</f>
        <v/>
      </c>
      <c r="D14" s="33">
        <f>FORMATO!O18</f>
        <v/>
      </c>
      <c r="E14" s="33">
        <f>D14-C14</f>
        <v/>
      </c>
      <c r="F14" s="34">
        <f>IF(C14=0,"",D14/C14)</f>
        <v/>
      </c>
      <c r="G14" s="4" t="n"/>
      <c r="H14" s="4" t="n"/>
      <c r="I14" s="4" t="n"/>
      <c r="J14" s="4" t="n"/>
    </row>
    <row r="15">
      <c r="A15" s="4" t="n"/>
      <c r="B15" s="35" t="inlineStr">
        <is>
          <t>MANTENIMIENTO</t>
        </is>
      </c>
      <c r="C15" s="33">
        <f>FORMATO!N20</f>
        <v/>
      </c>
      <c r="D15" s="33">
        <f>FORMATO!O20</f>
        <v/>
      </c>
      <c r="E15" s="33">
        <f>D15-C15</f>
        <v/>
      </c>
      <c r="F15" s="34">
        <f>IF(C15=0,"",D15/C15)</f>
        <v/>
      </c>
      <c r="G15" s="4" t="n"/>
      <c r="H15" s="4" t="n"/>
      <c r="I15" s="4" t="n"/>
      <c r="J15" s="4" t="n"/>
    </row>
    <row r="16">
      <c r="A16" s="4" t="n"/>
      <c r="B16" s="35" t="inlineStr">
        <is>
          <t>PAPELERÍA Y OFICINA</t>
        </is>
      </c>
      <c r="C16" s="33">
        <f>FORMATO!N22</f>
        <v/>
      </c>
      <c r="D16" s="33">
        <f>FORMATO!O22</f>
        <v/>
      </c>
      <c r="E16" s="33">
        <f>D16-C16</f>
        <v/>
      </c>
      <c r="F16" s="34">
        <f>IF(C16=0,"",D16/C16)</f>
        <v/>
      </c>
      <c r="G16" s="4" t="n"/>
      <c r="H16" s="4" t="n"/>
      <c r="I16" s="4" t="n"/>
      <c r="J16" s="4" t="n"/>
    </row>
    <row r="17">
      <c r="A17" s="4" t="n"/>
      <c r="B17" s="35" t="inlineStr">
        <is>
          <t>IMPUESTOS Y DERECHOS</t>
        </is>
      </c>
      <c r="C17" s="33">
        <f>FORMATO!N24</f>
        <v/>
      </c>
      <c r="D17" s="33">
        <f>FORMATO!O24</f>
        <v/>
      </c>
      <c r="E17" s="33">
        <f>D17-C17</f>
        <v/>
      </c>
      <c r="F17" s="34">
        <f>IF(C17=0,"",D17/C17)</f>
        <v/>
      </c>
      <c r="G17" s="4" t="n"/>
      <c r="H17" s="4" t="n"/>
      <c r="I17" s="4" t="n"/>
      <c r="J17" s="4" t="n"/>
    </row>
    <row r="18">
      <c r="A18" s="4" t="n"/>
      <c r="B18" s="35" t="inlineStr">
        <is>
          <t>OTROS GASTOS</t>
        </is>
      </c>
      <c r="C18" s="33">
        <f>FORMATO!N26</f>
        <v/>
      </c>
      <c r="D18" s="33">
        <f>FORMATO!O26</f>
        <v/>
      </c>
      <c r="E18" s="33">
        <f>D18-C18</f>
        <v/>
      </c>
      <c r="F18" s="34">
        <f>IF(C18=0,"",D18/C18)</f>
        <v/>
      </c>
      <c r="G18" s="4" t="n"/>
      <c r="H18" s="4" t="n"/>
      <c r="I18" s="4" t="n"/>
      <c r="J1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PRESUPUESTO ANUAL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leo la variación?</t>
        </is>
      </c>
      <c r="D6" s="45" t="inlineStr">
        <is>
          <t>Real - Presupuesto. En gastos, positiva significa que te pasaste; en ventas, positiva es favorable.</t>
        </is>
      </c>
      <c r="E6" s="4" t="n"/>
    </row>
    <row r="7" ht="30" customHeight="1">
      <c r="A7" s="4" t="n"/>
      <c r="B7" s="4" t="n"/>
      <c r="C7" s="44" t="inlineStr">
        <is>
          <t>¿Puedo agregar conceptos?</t>
        </is>
      </c>
      <c r="D7" s="45" t="inlineStr">
        <is>
          <t>Cambia el nombre de uno de los 10 conceptos disponibles.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PRESUPUESTO</t>
        </is>
      </c>
      <c r="D16" s="47" t="inlineStr">
        <is>
          <t>Plan de ingresos y gastos.</t>
        </is>
      </c>
      <c r="E16" s="4" t="n"/>
    </row>
    <row r="17" ht="21" customHeight="1">
      <c r="A17" s="4" t="n"/>
      <c r="B17" s="4" t="n"/>
      <c r="C17" s="46" t="inlineStr">
        <is>
          <t>VARIACIÓN</t>
        </is>
      </c>
      <c r="D17" s="47" t="inlineStr">
        <is>
          <t>Diferencia entre lo real y lo presupuestado.</t>
        </is>
      </c>
      <c r="E17" s="4" t="n"/>
    </row>
    <row r="18" ht="21" customHeight="1">
      <c r="A18" s="4" t="n"/>
      <c r="B18" s="4" t="n"/>
      <c r="C18" s="46" t="inlineStr">
        <is>
          <t>% DE EJECUCIÓN</t>
        </is>
      </c>
      <c r="D18" s="47" t="inlineStr">
        <is>
          <t>Real / presupuesto.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Presupuesto aprobado</t>
        </is>
      </c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Real capturado al cierre de cada mes</t>
        </is>
      </c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Variaciones &gt;10% explicadas</t>
        </is>
      </c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Reforecast trimestral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2026-10-07T22:13:47Z</dcterms:modified>
</cp:coreProperties>
</file>