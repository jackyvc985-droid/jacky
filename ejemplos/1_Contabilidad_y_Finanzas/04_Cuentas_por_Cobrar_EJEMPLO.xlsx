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AYU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$&quot;#,##0.00"/>
    <numFmt numFmtId="166" formatCode="0.0%"/>
  </numFmts>
  <fonts count="27">
    <font>
      <name val="Calibri"/>
      <family val="2"/>
      <color theme="1"/>
      <sz val="11"/>
      <scheme val="minor"/>
    </font>
    <font>
      <name val="Abadi"/>
      <b val="1"/>
      <color rgb="00FFFFFF"/>
      <sz val="20"/>
    </font>
    <font>
      <name val="Abadi"/>
      <i val="1"/>
      <color rgb="005B6B78"/>
      <sz val="10"/>
    </font>
    <font>
      <name val="Abadi"/>
      <i val="1"/>
      <color rgb="00A6A6A6"/>
      <sz val="8"/>
    </font>
    <font>
      <name val="Abadi"/>
      <b val="1"/>
      <color rgb="000E7C8B"/>
    </font>
    <font>
      <name val="Abadi"/>
      <b val="1"/>
      <color rgb="00FFFFFF"/>
    </font>
    <font>
      <name val="Abadi"/>
      <b val="1"/>
    </font>
    <font>
      <name val="Abadi"/>
      <b val="1"/>
      <color rgb="000B2A4A"/>
    </font>
    <font>
      <name val="Abadi"/>
      <b val="1"/>
      <color rgb="000E7C8B"/>
      <sz val="9"/>
    </font>
    <font>
      <name val="Abadi"/>
      <b val="1"/>
      <color rgb="000B2A4A"/>
      <sz val="18"/>
    </font>
    <font>
      <name val="Abadi"/>
      <b val="1"/>
      <color rgb="00C9A227"/>
      <sz val="11"/>
    </font>
    <font>
      <name val="Abadi"/>
      <b val="1"/>
      <color rgb="00C9D3DB"/>
      <sz val="9"/>
    </font>
    <font>
      <name val="Abadi"/>
      <b val="1"/>
      <color rgb="00FFFFFF"/>
      <sz val="30"/>
    </font>
    <font>
      <name val="Abadi"/>
      <i val="1"/>
      <color rgb="00C9D3DB"/>
      <sz val="12"/>
    </font>
    <font>
      <name val="Abadi"/>
      <b val="1"/>
      <color rgb="00C9A227"/>
      <sz val="9"/>
    </font>
    <font>
      <name val="Abadi"/>
      <b val="1"/>
      <color rgb="000E7C8B"/>
      <sz val="12"/>
    </font>
    <font>
      <name val="Abadi"/>
      <b val="1"/>
      <color rgb="000B2A4A"/>
      <sz val="10"/>
    </font>
    <font>
      <name val="Abadi"/>
      <color rgb="002B2B2B"/>
      <sz val="10"/>
    </font>
    <font>
      <name val="Abadi"/>
      <b val="1"/>
      <color rgb="00C9A227"/>
      <sz val="12"/>
    </font>
    <font>
      <name val="Abadi"/>
      <b val="1"/>
      <color rgb="000E7C8B"/>
      <sz val="11"/>
    </font>
    <font>
      <name val="Abadi"/>
      <color rgb="005B6B78"/>
      <sz val="10"/>
    </font>
    <font>
      <name val="Abadi"/>
      <color rgb="00C9D3DB"/>
      <sz val="9"/>
    </font>
    <font>
      <name val="Abadi"/>
      <b val="1"/>
      <color rgb="00FFFFFF"/>
      <sz val="18"/>
    </font>
    <font>
      <name val="Abadi"/>
      <b val="1"/>
      <color rgb="00C9A227"/>
      <sz val="10"/>
    </font>
    <font>
      <name val="Abadi"/>
      <b val="1"/>
      <color rgb="000E7C8B"/>
      <sz val="10"/>
    </font>
    <font>
      <name val="Abadi"/>
      <color rgb="000B2A4A"/>
      <sz val="12"/>
    </font>
    <font>
      <name val="Abadi"/>
      <color theme="1"/>
      <sz val="11"/>
    </font>
  </fonts>
  <fills count="7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  <fill>
      <patternFill patternType="solid">
        <fgColor rgb="00FFFFFF"/>
      </patternFill>
    </fill>
  </fills>
  <borders count="36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top style="dashed">
        <color rgb="00A6A6A6"/>
      </top>
    </border>
    <border>
      <bottom style="dashed">
        <color rgb="00A6A6A6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C9D3DB"/>
      </bottom>
    </border>
    <border>
      <left/>
      <right/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 style="thin">
        <color rgb="00C9D3DB"/>
      </bottom>
      <diagonal/>
    </border>
    <border>
      <right/>
      <bottom style="medium">
        <color rgb="00C9A227"/>
      </bottom>
    </border>
    <border>
      <left/>
      <right/>
      <top style="thin">
        <color rgb="00C9D3DB"/>
      </top>
      <bottom style="thin">
        <color rgb="00C9D3DB"/>
      </bottom>
      <diagonal/>
    </border>
    <border>
      <left style="dashed">
        <color rgb="00A6A6A6"/>
      </left>
      <right style="dashed">
        <color rgb="00A6A6A6"/>
      </right>
      <top style="dashed">
        <color rgb="00A6A6A6"/>
      </top>
      <bottom style="dashed">
        <color rgb="00A6A6A6"/>
      </bottom>
    </border>
    <border>
      <left/>
      <right/>
      <top style="dashed">
        <color rgb="00A6A6A6"/>
      </top>
      <bottom/>
      <diagonal/>
    </border>
    <border>
      <left style="dashed">
        <color rgb="00A6A6A6"/>
      </left>
      <right/>
      <top/>
      <bottom/>
      <diagonal/>
    </border>
    <border>
      <left/>
      <right style="dashed">
        <color rgb="00A6A6A6"/>
      </right>
      <top style="dashed">
        <color rgb="00A6A6A6"/>
      </top>
      <bottom/>
      <diagonal/>
    </border>
    <border>
      <left/>
      <right style="dashed">
        <color rgb="00A6A6A6"/>
      </right>
      <top/>
      <bottom/>
      <diagonal/>
    </border>
    <border>
      <left style="dashed">
        <color rgb="00A6A6A6"/>
      </left>
      <right/>
      <top/>
      <bottom style="dashed">
        <color rgb="00A6A6A6"/>
      </bottom>
      <diagonal/>
    </border>
    <border>
      <left/>
      <right style="dashed">
        <color rgb="00A6A6A6"/>
      </right>
      <top/>
      <bottom style="dashed">
        <color rgb="00A6A6A6"/>
      </bottom>
      <diagonal/>
    </border>
    <border>
      <left style="thin">
        <color rgb="00C9D3DB"/>
      </left>
      <right style="thin">
        <color rgb="00C9D3DB"/>
      </right>
      <top style="medium">
        <color rgb="00C9A227"/>
      </top>
    </border>
    <border>
      <left/>
      <right/>
      <top style="medium">
        <color rgb="00C9A227"/>
      </top>
      <bottom/>
      <diagonal/>
    </border>
    <border>
      <left/>
      <right style="thin">
        <color rgb="00C9D3DB"/>
      </right>
      <top style="medium">
        <color rgb="00C9A227"/>
      </top>
      <bottom/>
      <diagonal/>
    </border>
    <border>
      <left/>
      <right/>
      <top/>
      <bottom style="dashed">
        <color rgb="00A6A6A6"/>
      </bottom>
      <diagonal/>
    </border>
    <border>
      <left style="thin">
        <color rgb="00C9D3DB"/>
      </left>
      <right style="thin">
        <color rgb="00C9D3DB"/>
      </right>
      <bottom style="thin">
        <color rgb="00C9D3DB"/>
      </bottom>
    </border>
    <border>
      <left/>
      <right style="thin">
        <color rgb="00C9D3DB"/>
      </right>
      <top/>
      <bottom/>
      <diagonal/>
    </border>
    <border>
      <left/>
      <right style="thin">
        <color rgb="00C9D3DB"/>
      </right>
      <top/>
      <bottom style="thin">
        <color rgb="00C9D3DB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26" fillId="2" borderId="0" pivotButton="0" quotePrefix="0" xfId="0"/>
    <xf numFmtId="0" fontId="10" fillId="2" borderId="0" pivotButton="0" quotePrefix="0" xfId="0"/>
    <xf numFmtId="0" fontId="11" fillId="2" borderId="0" applyAlignment="1" pivotButton="0" quotePrefix="0" xfId="0">
      <alignment horizontal="right" vertical="center"/>
    </xf>
    <xf numFmtId="0" fontId="26" fillId="0" borderId="0" pivotButton="0" quotePrefix="0" xfId="0"/>
    <xf numFmtId="0" fontId="12" fillId="2" borderId="0" applyAlignment="1" pivotButton="0" quotePrefix="0" xfId="0">
      <alignment vertical="center" wrapText="1"/>
    </xf>
    <xf numFmtId="0" fontId="13" fillId="2" borderId="0" pivotButton="0" quotePrefix="0" xfId="0"/>
    <xf numFmtId="0" fontId="14" fillId="2" borderId="14" applyAlignment="1" pivotButton="0" quotePrefix="0" xfId="0">
      <alignment horizontal="center" vertical="center"/>
    </xf>
    <xf numFmtId="0" fontId="26" fillId="0" borderId="15" pivotButton="0" quotePrefix="0" xfId="0"/>
    <xf numFmtId="0" fontId="15" fillId="0" borderId="1" pivotButton="0" quotePrefix="0" xfId="0"/>
    <xf numFmtId="0" fontId="26" fillId="0" borderId="1" pivotButton="0" quotePrefix="0" xfId="0"/>
    <xf numFmtId="0" fontId="1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6" fillId="0" borderId="0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6" fillId="4" borderId="7" applyProtection="1" pivotButton="0" quotePrefix="0" xfId="0">
      <protection locked="0" hidden="0"/>
    </xf>
    <xf numFmtId="0" fontId="20" fillId="0" borderId="0" pivotButton="0" quotePrefix="0" xfId="0"/>
    <xf numFmtId="0" fontId="26" fillId="5" borderId="7" pivotButton="0" quotePrefix="0" xfId="0"/>
    <xf numFmtId="0" fontId="26" fillId="2" borderId="7" pivotButton="0" quotePrefix="0" xfId="0"/>
    <xf numFmtId="0" fontId="2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6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6" fillId="0" borderId="2" pivotButton="0" quotePrefix="0" xfId="0"/>
    <xf numFmtId="0" fontId="26" fillId="0" borderId="5" pivotButton="0" quotePrefix="0" xfId="0"/>
    <xf numFmtId="0" fontId="26" fillId="0" borderId="6" pivotButton="0" quotePrefix="0" xfId="0"/>
    <xf numFmtId="0" fontId="4" fillId="3" borderId="7" pivotButton="0" quotePrefix="0" xfId="0"/>
    <xf numFmtId="164" fontId="26" fillId="4" borderId="7" applyProtection="1" pivotButton="0" quotePrefix="0" xfId="0">
      <protection locked="0" hidden="0"/>
    </xf>
    <xf numFmtId="0" fontId="5" fillId="2" borderId="7" applyAlignment="1" pivotButton="0" quotePrefix="0" xfId="0">
      <alignment horizontal="center" vertical="center" wrapText="1"/>
    </xf>
    <xf numFmtId="0" fontId="26" fillId="5" borderId="7" applyAlignment="1" pivotButton="0" quotePrefix="0" xfId="0">
      <alignment horizontal="center"/>
    </xf>
    <xf numFmtId="164" fontId="26" fillId="5" borderId="7" pivotButton="0" quotePrefix="0" xfId="0"/>
    <xf numFmtId="165" fontId="26" fillId="4" borderId="7" applyProtection="1" pivotButton="0" quotePrefix="0" xfId="0">
      <protection locked="0" hidden="0"/>
    </xf>
    <xf numFmtId="165" fontId="26" fillId="5" borderId="7" pivotButton="0" quotePrefix="0" xfId="0"/>
    <xf numFmtId="0" fontId="6" fillId="0" borderId="0" applyAlignment="1" pivotButton="0" quotePrefix="0" xfId="0">
      <alignment horizontal="right"/>
    </xf>
    <xf numFmtId="165" fontId="7" fillId="3" borderId="7" pivotButton="0" quotePrefix="0" xfId="0"/>
    <xf numFmtId="0" fontId="4" fillId="0" borderId="0" pivotButton="0" quotePrefix="0" xfId="0"/>
    <xf numFmtId="0" fontId="26" fillId="0" borderId="7" pivotButton="0" quotePrefix="0" xfId="0"/>
    <xf numFmtId="165" fontId="26" fillId="0" borderId="7" pivotButton="0" quotePrefix="0" xfId="0"/>
    <xf numFmtId="0" fontId="26" fillId="0" borderId="8" pivotButton="0" quotePrefix="0" xfId="0"/>
    <xf numFmtId="0" fontId="26" fillId="0" borderId="9" pivotButton="0" quotePrefix="0" xfId="0"/>
    <xf numFmtId="0" fontId="8" fillId="3" borderId="10" applyAlignment="1" pivotButton="0" quotePrefix="0" xfId="0">
      <alignment horizontal="center" vertical="center"/>
    </xf>
    <xf numFmtId="0" fontId="26" fillId="3" borderId="11" pivotButton="0" quotePrefix="0" xfId="0"/>
    <xf numFmtId="165" fontId="9" fillId="6" borderId="12" applyAlignment="1" pivotButton="0" quotePrefix="0" xfId="0">
      <alignment horizontal="center" vertical="center"/>
    </xf>
    <xf numFmtId="0" fontId="26" fillId="6" borderId="13" pivotButton="0" quotePrefix="0" xfId="0"/>
    <xf numFmtId="166" fontId="9" fillId="6" borderId="12" applyAlignment="1" pivotButton="0" quotePrefix="0" xfId="0">
      <alignment horizontal="center" vertical="center"/>
    </xf>
    <xf numFmtId="1" fontId="9" fillId="6" borderId="12" applyAlignment="1" pivotButton="0" quotePrefix="0" xfId="0">
      <alignment horizontal="center" vertical="center"/>
    </xf>
    <xf numFmtId="0" fontId="22" fillId="2" borderId="0" applyAlignment="1" pivotButton="0" quotePrefix="0" xfId="0">
      <alignment vertical="center"/>
    </xf>
    <xf numFmtId="0" fontId="23" fillId="2" borderId="0" pivotButton="0" quotePrefix="0" xfId="0"/>
    <xf numFmtId="0" fontId="16" fillId="0" borderId="16" applyAlignment="1" pivotButton="0" quotePrefix="0" xfId="0">
      <alignment vertical="top" wrapText="1"/>
    </xf>
    <xf numFmtId="0" fontId="17" fillId="0" borderId="16" applyAlignment="1" pivotButton="0" quotePrefix="0" xfId="0">
      <alignment vertical="top" wrapText="1"/>
    </xf>
    <xf numFmtId="0" fontId="24" fillId="0" borderId="16" pivotButton="0" quotePrefix="0" xfId="0"/>
    <xf numFmtId="0" fontId="17" fillId="0" borderId="16" applyAlignment="1" pivotButton="0" quotePrefix="0" xfId="0">
      <alignment vertical="center" wrapText="1"/>
    </xf>
    <xf numFmtId="0" fontId="25" fillId="4" borderId="7" applyAlignment="1" applyProtection="1" pivotButton="0" quotePrefix="0" xfId="0">
      <alignment horizontal="center"/>
      <protection locked="0" hidden="0"/>
    </xf>
    <xf numFmtId="0" fontId="17" fillId="0" borderId="0" pivotButton="0" quotePrefix="0" xfId="0"/>
    <xf numFmtId="0" fontId="3" fillId="0" borderId="22" applyAlignment="1" pivotButton="0" quotePrefix="0" xfId="0">
      <alignment horizontal="center" vertical="center" wrapText="1"/>
    </xf>
    <xf numFmtId="0" fontId="0" fillId="0" borderId="25" pivotButton="0" quotePrefix="0" xfId="0"/>
    <xf numFmtId="0" fontId="2" fillId="0" borderId="2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1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0" fillId="0" borderId="23" pivotButton="0" quotePrefix="0" xfId="0"/>
    <xf numFmtId="0" fontId="0" fillId="0" borderId="32" pivotButton="0" quotePrefix="0" xfId="0"/>
    <xf numFmtId="0" fontId="8" fillId="3" borderId="29" applyAlignment="1" pivotButton="0" quotePrefix="0" xfId="0">
      <alignment horizontal="center" vertical="center"/>
    </xf>
    <xf numFmtId="0" fontId="0" fillId="0" borderId="31" pivotButton="0" quotePrefix="0" xfId="0"/>
    <xf numFmtId="165" fontId="9" fillId="6" borderId="33" applyAlignment="1" pivotButton="0" quotePrefix="0" xfId="0">
      <alignment horizontal="center" vertical="center"/>
    </xf>
    <xf numFmtId="0" fontId="0" fillId="0" borderId="35" pivotButton="0" quotePrefix="0" xfId="0"/>
    <xf numFmtId="166" fontId="9" fillId="6" borderId="33" applyAlignment="1" pivotButton="0" quotePrefix="0" xfId="0">
      <alignment horizontal="center" vertical="center"/>
    </xf>
    <xf numFmtId="1" fontId="9" fillId="6" borderId="3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Antigüedad de saldos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0B2A4A"/>
            </a:solidFill>
            <a:ln xmlns:a="http://schemas.openxmlformats.org/drawingml/2006/main">
              <a:solidFill>
                <a:srgbClr val="0B2A4A"/>
              </a:solidFill>
              <a:prstDash val="solid"/>
            </a:ln>
          </spPr>
          <cat>
            <numRef>
              <f>'FORMATO'!$B$160:$B$164</f>
            </numRef>
          </cat>
          <val>
            <numRef>
              <f>'FORMATO'!$C$160:$C$164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84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GRUPO CANVILLE</t>
        </is>
      </c>
      <c r="C2" s="1" t="n"/>
      <c r="D2" s="1" t="n"/>
      <c r="E2" s="3" t="inlineStr">
        <is>
          <t>VERSIÓN 2.0  ·  MÉXICO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CUENTAS POR COBRAR</t>
        </is>
      </c>
      <c r="G4" s="1" t="n"/>
    </row>
    <row r="5" ht="30" customHeight="1">
      <c r="A5" s="1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FORMATO</t>
        </is>
      </c>
      <c r="D16" s="13" t="inlineStr">
        <is>
          <t>Hoja principal de captura. Aquí registras tu información; las celdas grises calculan solas.</t>
        </is>
      </c>
      <c r="G16" s="4" t="n"/>
    </row>
    <row r="17" ht="36" customHeight="1">
      <c r="A17" s="4" t="n"/>
      <c r="B17" s="11" t="inlineStr">
        <is>
          <t>▸</t>
        </is>
      </c>
      <c r="C17" s="12" t="inlineStr">
        <is>
          <t>RESUMEN</t>
        </is>
      </c>
      <c r="D17" s="13" t="inlineStr">
        <is>
          <t>Tablero con indicadores y gráficas que se actualizan automáticamente con tus datos.</t>
        </is>
      </c>
      <c r="G17" s="4" t="n"/>
    </row>
    <row r="18" ht="21" customHeight="1">
      <c r="A18" s="4" t="n"/>
      <c r="B18" s="11" t="inlineStr">
        <is>
          <t>▸</t>
        </is>
      </c>
      <c r="C18" s="14" t="inlineStr">
        <is>
          <t>AYUDA</t>
        </is>
      </c>
      <c r="D18" s="13" t="inlineStr">
        <is>
          <t>Preguntas frecuentes, glosario y lista de verificación para cerrar tu periodo.</t>
        </is>
      </c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 ht="24" customHeight="1">
      <c r="A20" s="4" t="n"/>
      <c r="B20" s="9" t="inlineStr">
        <is>
          <t>CÓMO USARLO</t>
        </is>
      </c>
      <c r="C20" s="10" t="n"/>
      <c r="D20" s="10" t="n"/>
      <c r="E20" s="10" t="n"/>
      <c r="F20" s="10" t="n"/>
      <c r="G20" s="4" t="n"/>
    </row>
    <row r="21" ht="21" customHeight="1">
      <c r="A21" s="4" t="n"/>
      <c r="B21" s="15" t="n">
        <v>1</v>
      </c>
      <c r="C21" s="13" t="inlineStr">
        <is>
          <t>Registra cada factura emitida con fecha, días de crédito e importe.</t>
        </is>
      </c>
      <c r="G21" s="4" t="n"/>
    </row>
    <row r="22" ht="21" customHeight="1">
      <c r="A22" s="4" t="n"/>
      <c r="B22" s="15" t="n">
        <v>2</v>
      </c>
      <c r="C22" s="13" t="inlineStr">
        <is>
          <t>Cuando recibas un pago, captura el acumulado en la columna Abonos.</t>
        </is>
      </c>
      <c r="G22" s="4" t="n"/>
    </row>
    <row r="23" ht="21" customHeight="1">
      <c r="A23" s="4" t="n"/>
      <c r="B23" s="15" t="n">
        <v>3</v>
      </c>
      <c r="C23" s="13" t="inlineStr">
        <is>
          <t>El sistema calcula vencimiento, saldo, días vencidos y estatus (Vigente / Vencida / Pagada).</t>
        </is>
      </c>
      <c r="G23" s="4" t="n"/>
    </row>
    <row r="24" ht="21" customHeight="1">
      <c r="A24" s="4" t="n"/>
      <c r="B24" s="15" t="n">
        <v>4</v>
      </c>
      <c r="C24" s="13" t="inlineStr">
        <is>
          <t>La fecha de corte usa HOY() por defecto; puedes escribir una fecha fija.</t>
        </is>
      </c>
      <c r="G24" s="4" t="n"/>
    </row>
    <row r="25" ht="21" customHeight="1">
      <c r="A25" s="4" t="n"/>
      <c r="B25" s="15" t="n">
        <v>5</v>
      </c>
      <c r="C25" s="13" t="inlineStr">
        <is>
          <t>Al final verás el resumen de antigüedad de saldos para priorizar tu cobranza.</t>
        </is>
      </c>
      <c r="G25" s="4" t="n"/>
    </row>
    <row r="26" ht="36" customHeight="1">
      <c r="A26" s="4" t="n"/>
      <c r="B26" s="15" t="n">
        <v>6</v>
      </c>
      <c r="C26" s="13" t="inlineStr">
        <is>
          <t>Personaliza: inserta tu logotipo en el recuadro punteado de la esquina superior derecha (Insertar &gt; Imágenes) y captura los datos de tu empresa en las celdas de captura.</t>
        </is>
      </c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 ht="24" customHeight="1">
      <c r="A28" s="4" t="n"/>
      <c r="B28" s="9" t="inlineStr">
        <is>
          <t>RECOMENDACIONES DE USO</t>
        </is>
      </c>
      <c r="C28" s="10" t="n"/>
      <c r="D28" s="10" t="n"/>
      <c r="E28" s="10" t="n"/>
      <c r="F28" s="10" t="n"/>
      <c r="G28" s="4" t="n"/>
    </row>
    <row r="29" ht="21" customHeight="1">
      <c r="A29" s="4" t="n"/>
      <c r="B29" s="16" t="inlineStr">
        <is>
          <t>✓</t>
        </is>
      </c>
      <c r="C29" s="13" t="inlineStr">
        <is>
          <t>Revisa el reporte de antigüedad cada semana y llama primero a los saldos más grandes.</t>
        </is>
      </c>
      <c r="G29" s="4" t="n"/>
    </row>
    <row r="30" ht="21" customHeight="1">
      <c r="A30" s="4" t="n"/>
      <c r="B30" s="16" t="inlineStr">
        <is>
          <t>✓</t>
        </is>
      </c>
      <c r="C30" s="13" t="inlineStr">
        <is>
          <t>Define políticas de crédito por cliente (días y límite) en el Directorio de clientes.</t>
        </is>
      </c>
      <c r="G30" s="4" t="n"/>
    </row>
    <row r="31" ht="21" customHeight="1">
      <c r="A31" s="4" t="n"/>
      <c r="B31" s="16" t="inlineStr">
        <is>
          <t>✓</t>
        </is>
      </c>
      <c r="C31" s="13" t="inlineStr">
        <is>
          <t>Envía recordatorio 3 días antes del vencimiento y otro al día siguiente.</t>
        </is>
      </c>
      <c r="G31" s="4" t="n"/>
    </row>
    <row r="32" ht="21" customHeight="1">
      <c r="A32" s="4" t="n"/>
      <c r="B32" s="16" t="inlineStr">
        <is>
          <t>✓</t>
        </is>
      </c>
      <c r="C32" s="13" t="inlineStr">
        <is>
          <t>Un saldo mayor a 90 días suele requerir gestión especial o reserva contable.</t>
        </is>
      </c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 ht="24" customHeight="1">
      <c r="A34" s="4" t="n"/>
      <c r="B34" s="9" t="inlineStr">
        <is>
          <t>LEYENDA DE COLORES</t>
        </is>
      </c>
      <c r="C34" s="10" t="n"/>
      <c r="D34" s="10" t="n"/>
      <c r="E34" s="10" t="n"/>
      <c r="F34" s="10" t="n"/>
      <c r="G34" s="4" t="n"/>
    </row>
    <row r="35">
      <c r="A35" s="4" t="n"/>
      <c r="B35" s="17" t="inlineStr"/>
      <c r="C35" s="18" t="inlineStr">
        <is>
          <t>CELDA DE CAPTURA: escribe aquí.</t>
        </is>
      </c>
      <c r="D35" s="4" t="n"/>
      <c r="E35" s="4" t="n"/>
      <c r="F35" s="4" t="n"/>
      <c r="G35" s="4" t="n"/>
    </row>
    <row r="36">
      <c r="A36" s="4" t="n"/>
      <c r="B36" s="19" t="inlineStr"/>
      <c r="C36" s="18" t="inlineStr">
        <is>
          <t>CÁLCULO AUTOMÁTICO: no la modifiques.</t>
        </is>
      </c>
      <c r="D36" s="4" t="n"/>
      <c r="E36" s="4" t="n"/>
      <c r="F36" s="4" t="n"/>
      <c r="G36" s="4" t="n"/>
    </row>
    <row r="37">
      <c r="A37" s="4" t="n"/>
      <c r="B37" s="20" t="inlineStr"/>
      <c r="C37" s="18" t="inlineStr">
        <is>
          <t>ENCABEZADOS Y TÍTULOS.</t>
        </is>
      </c>
      <c r="D37" s="4" t="n"/>
      <c r="E37" s="4" t="n"/>
      <c r="F37" s="4" t="n"/>
      <c r="G37" s="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 ht="26" customHeight="1">
      <c r="A39" s="1" t="n"/>
      <c r="B39" s="21" t="inlineStr">
        <is>
          <t>GRUPO CANVILLE  ·  Formatos administrativos  ·  Para uso interno de tu empresa</t>
        </is>
      </c>
      <c r="G39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7">
    <mergeCell ref="C22:F22"/>
    <mergeCell ref="C31:F31"/>
    <mergeCell ref="C23:F23"/>
    <mergeCell ref="B6:F6"/>
    <mergeCell ref="B39:F39"/>
    <mergeCell ref="E2:F2"/>
    <mergeCell ref="C26:F26"/>
    <mergeCell ref="D18:F18"/>
    <mergeCell ref="C21:F21"/>
    <mergeCell ref="C29:F29"/>
    <mergeCell ref="D17:F17"/>
    <mergeCell ref="C30:F30"/>
    <mergeCell ref="D16:F16"/>
    <mergeCell ref="C25:F25"/>
    <mergeCell ref="C32:F32"/>
    <mergeCell ref="C24:F24"/>
    <mergeCell ref="B4:F5"/>
  </mergeCell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K16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.05" customWidth="1" min="1" max="1"/>
    <col width="28" customWidth="1" min="2" max="2"/>
    <col width="14" customWidth="1" min="3" max="3"/>
    <col width="13" customWidth="1" min="4" max="4"/>
    <col width="13" customWidth="1" min="5" max="5"/>
    <col width="18.1" customWidth="1" min="6" max="6"/>
    <col width="16" customWidth="1" min="7" max="7"/>
    <col width="16" customWidth="1" min="8" max="8"/>
    <col width="16" customWidth="1" min="9" max="9"/>
    <col width="14" customWidth="1" min="10" max="10"/>
    <col width="16" customWidth="1" min="11" max="11"/>
  </cols>
  <sheetData>
    <row r="1" ht="44" customHeight="1">
      <c r="A1" s="22" t="inlineStr">
        <is>
          <t>CUENTAS POR COBRAR</t>
        </is>
      </c>
      <c r="J1" s="57" t="inlineStr">
        <is>
          <t>INSERTE SU LOGO
(clic derecho &gt; Insertar imagen)</t>
        </is>
      </c>
      <c r="K1" s="58" t="n"/>
    </row>
    <row r="2" ht="26" customHeight="1">
      <c r="A2" s="59" t="inlineStr">
        <is>
          <t>Seguimiento de facturas, vencimientos y antigüedad de saldos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1" t="n"/>
      <c r="K2" s="62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29" t="inlineStr">
        <is>
          <t>EMPRESA</t>
        </is>
      </c>
      <c r="B4" s="17" t="inlineStr">
        <is>
          <t>COMERCIALIZADORA EJEMPLO S.A. DE C.V.</t>
        </is>
      </c>
      <c r="C4" s="63" t="n"/>
      <c r="D4" s="64" t="n"/>
      <c r="E4" s="4" t="n"/>
      <c r="F4" s="29" t="inlineStr">
        <is>
          <t>FECHA DE CORTE</t>
        </is>
      </c>
      <c r="G4" s="30" t="n">
        <v>46302</v>
      </c>
      <c r="H4" s="6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 ht="32" customHeight="1">
      <c r="A6" s="31" t="inlineStr">
        <is>
          <t>NO.</t>
        </is>
      </c>
      <c r="B6" s="31" t="inlineStr">
        <is>
          <t>CLIENTE</t>
        </is>
      </c>
      <c r="C6" s="31" t="inlineStr">
        <is>
          <t>FOLIO FACTURA</t>
        </is>
      </c>
      <c r="D6" s="31" t="inlineStr">
        <is>
          <t>FECHA EMISIÓN</t>
        </is>
      </c>
      <c r="E6" s="31" t="inlineStr">
        <is>
          <t>DÍAS CRÉDITO</t>
        </is>
      </c>
      <c r="F6" s="31" t="inlineStr">
        <is>
          <t>VENCE</t>
        </is>
      </c>
      <c r="G6" s="31" t="inlineStr">
        <is>
          <t>IMPORTE</t>
        </is>
      </c>
      <c r="H6" s="31" t="inlineStr">
        <is>
          <t>ABONOS</t>
        </is>
      </c>
      <c r="I6" s="31" t="inlineStr">
        <is>
          <t>SALDO</t>
        </is>
      </c>
      <c r="J6" s="31" t="inlineStr">
        <is>
          <t>DÍAS VENCIDO</t>
        </is>
      </c>
      <c r="K6" s="31" t="inlineStr">
        <is>
          <t>ESTATUS</t>
        </is>
      </c>
    </row>
    <row r="7">
      <c r="A7" s="32" t="n">
        <v>1</v>
      </c>
      <c r="B7" s="17" t="inlineStr">
        <is>
          <t>GRUPO INDUSTRIAL DEL NORTE</t>
        </is>
      </c>
      <c r="C7" s="17" t="inlineStr">
        <is>
          <t>F-1021</t>
        </is>
      </c>
      <c r="D7" s="30" t="n">
        <v>46188</v>
      </c>
      <c r="E7" s="17" t="n">
        <v>30</v>
      </c>
      <c r="F7" s="33">
        <f>IF(D7="","",D7+E7)</f>
        <v/>
      </c>
      <c r="G7" s="34" t="n">
        <v>48500</v>
      </c>
      <c r="H7" s="34" t="n">
        <v>0</v>
      </c>
      <c r="I7" s="35">
        <f>IF(G7="","",G7-H7)</f>
        <v/>
      </c>
      <c r="J7" s="19">
        <f>IF(OR(F7="",I7=""),"",IF(I7&lt;=0,0,MAX(0,$G$4-F7)))</f>
        <v/>
      </c>
      <c r="K7" s="19">
        <f>IF(I7="","",IF(I7&lt;=0,"PAGADA",IF(J7&gt;0,"VENCIDA","VIGENTE")))</f>
        <v/>
      </c>
    </row>
    <row r="8">
      <c r="A8" s="32" t="n">
        <v>2</v>
      </c>
      <c r="B8" s="17" t="inlineStr">
        <is>
          <t>CONSTRUCTORA ALTAMIRA</t>
        </is>
      </c>
      <c r="C8" s="17" t="inlineStr">
        <is>
          <t>F-1034</t>
        </is>
      </c>
      <c r="D8" s="30" t="n">
        <v>46223</v>
      </c>
      <c r="E8" s="17" t="n">
        <v>30</v>
      </c>
      <c r="F8" s="33">
        <f>IF(D8="","",D8+E8)</f>
        <v/>
      </c>
      <c r="G8" s="34" t="n">
        <v>125000</v>
      </c>
      <c r="H8" s="34" t="n">
        <v>60000</v>
      </c>
      <c r="I8" s="35">
        <f>IF(G8="","",G8-H8)</f>
        <v/>
      </c>
      <c r="J8" s="19">
        <f>IF(OR(F8="",I8=""),"",IF(I8&lt;=0,0,MAX(0,$G$4-F8)))</f>
        <v/>
      </c>
      <c r="K8" s="19">
        <f>IF(I8="","",IF(I8&lt;=0,"PAGADA",IF(J8&gt;0,"VENCIDA","VIGENTE")))</f>
        <v/>
      </c>
    </row>
    <row r="9">
      <c r="A9" s="32" t="n">
        <v>3</v>
      </c>
      <c r="B9" s="17" t="inlineStr">
        <is>
          <t>DISTRIBUIDORA LA ESTRELLA</t>
        </is>
      </c>
      <c r="C9" s="17" t="inlineStr">
        <is>
          <t>F-1040</t>
        </is>
      </c>
      <c r="D9" s="30" t="n">
        <v>46246</v>
      </c>
      <c r="E9" s="17" t="n">
        <v>15</v>
      </c>
      <c r="F9" s="33">
        <f>IF(D9="","",D9+E9)</f>
        <v/>
      </c>
      <c r="G9" s="34" t="n">
        <v>32800</v>
      </c>
      <c r="H9" s="34" t="n">
        <v>32800</v>
      </c>
      <c r="I9" s="35">
        <f>IF(G9="","",G9-H9)</f>
        <v/>
      </c>
      <c r="J9" s="19">
        <f>IF(OR(F9="",I9=""),"",IF(I9&lt;=0,0,MAX(0,$G$4-F9)))</f>
        <v/>
      </c>
      <c r="K9" s="19">
        <f>IF(I9="","",IF(I9&lt;=0,"PAGADA",IF(J9&gt;0,"VENCIDA","VIGENTE")))</f>
        <v/>
      </c>
    </row>
    <row r="10">
      <c r="A10" s="32" t="n">
        <v>4</v>
      </c>
      <c r="B10" s="17" t="inlineStr">
        <is>
          <t>SERVICIOS TÉCNICOS OMEGA</t>
        </is>
      </c>
      <c r="C10" s="17" t="inlineStr">
        <is>
          <t>F-1047</t>
        </is>
      </c>
      <c r="D10" s="30" t="n">
        <v>46262</v>
      </c>
      <c r="E10" s="17" t="n">
        <v>30</v>
      </c>
      <c r="F10" s="33">
        <f>IF(D10="","",D10+E10)</f>
        <v/>
      </c>
      <c r="G10" s="34" t="n">
        <v>76400</v>
      </c>
      <c r="H10" s="34" t="n">
        <v>20000</v>
      </c>
      <c r="I10" s="35">
        <f>IF(G10="","",G10-H10)</f>
        <v/>
      </c>
      <c r="J10" s="19">
        <f>IF(OR(F10="",I10=""),"",IF(I10&lt;=0,0,MAX(0,$G$4-F10)))</f>
        <v/>
      </c>
      <c r="K10" s="19">
        <f>IF(I10="","",IF(I10&lt;=0,"PAGADA",IF(J10&gt;0,"VENCIDA","VIGENTE")))</f>
        <v/>
      </c>
    </row>
    <row r="11">
      <c r="A11" s="32" t="n">
        <v>5</v>
      </c>
      <c r="B11" s="17" t="inlineStr">
        <is>
          <t>HOTEL PLAZA MAYOR</t>
        </is>
      </c>
      <c r="C11" s="17" t="inlineStr">
        <is>
          <t>F-1052</t>
        </is>
      </c>
      <c r="D11" s="30" t="n">
        <v>46275</v>
      </c>
      <c r="E11" s="17" t="n">
        <v>30</v>
      </c>
      <c r="F11" s="33">
        <f>IF(D11="","",D11+E11)</f>
        <v/>
      </c>
      <c r="G11" s="34" t="n">
        <v>54300</v>
      </c>
      <c r="H11" s="34" t="n">
        <v>0</v>
      </c>
      <c r="I11" s="35">
        <f>IF(G11="","",G11-H11)</f>
        <v/>
      </c>
      <c r="J11" s="19">
        <f>IF(OR(F11="",I11=""),"",IF(I11&lt;=0,0,MAX(0,$G$4-F11)))</f>
        <v/>
      </c>
      <c r="K11" s="19">
        <f>IF(I11="","",IF(I11&lt;=0,"PAGADA",IF(J11&gt;0,"VENCIDA","VIGENTE")))</f>
        <v/>
      </c>
    </row>
    <row r="12">
      <c r="A12" s="32" t="n">
        <v>6</v>
      </c>
      <c r="B12" s="17" t="inlineStr">
        <is>
          <t>FARMACIAS SAN RAFAEL</t>
        </is>
      </c>
      <c r="C12" s="17" t="inlineStr">
        <is>
          <t>F-1058</t>
        </is>
      </c>
      <c r="D12" s="30" t="n">
        <v>46287</v>
      </c>
      <c r="E12" s="17" t="n">
        <v>15</v>
      </c>
      <c r="F12" s="33">
        <f>IF(D12="","",D12+E12)</f>
        <v/>
      </c>
      <c r="G12" s="34" t="n">
        <v>18900</v>
      </c>
      <c r="H12" s="34" t="n">
        <v>0</v>
      </c>
      <c r="I12" s="35">
        <f>IF(G12="","",G12-H12)</f>
        <v/>
      </c>
      <c r="J12" s="19">
        <f>IF(OR(F12="",I12=""),"",IF(I12&lt;=0,0,MAX(0,$G$4-F12)))</f>
        <v/>
      </c>
      <c r="K12" s="19">
        <f>IF(I12="","",IF(I12&lt;=0,"PAGADA",IF(J12&gt;0,"VENCIDA","VIGENTE")))</f>
        <v/>
      </c>
    </row>
    <row r="13">
      <c r="A13" s="32" t="n">
        <v>7</v>
      </c>
      <c r="B13" s="17" t="inlineStr">
        <is>
          <t>TRANSPORTES VELOZ</t>
        </is>
      </c>
      <c r="C13" s="17" t="inlineStr">
        <is>
          <t>F-1063</t>
        </is>
      </c>
      <c r="D13" s="30" t="n">
        <v>46295</v>
      </c>
      <c r="E13" s="17" t="n">
        <v>30</v>
      </c>
      <c r="F13" s="33">
        <f>IF(D13="","",D13+E13)</f>
        <v/>
      </c>
      <c r="G13" s="34" t="n">
        <v>92000</v>
      </c>
      <c r="H13" s="34" t="n">
        <v>0</v>
      </c>
      <c r="I13" s="35">
        <f>IF(G13="","",G13-H13)</f>
        <v/>
      </c>
      <c r="J13" s="19">
        <f>IF(OR(F13="",I13=""),"",IF(I13&lt;=0,0,MAX(0,$G$4-F13)))</f>
        <v/>
      </c>
      <c r="K13" s="19">
        <f>IF(I13="","",IF(I13&lt;=0,"PAGADA",IF(J13&gt;0,"VENCIDA","VIGENTE")))</f>
        <v/>
      </c>
    </row>
    <row r="14">
      <c r="A14" s="32" t="n">
        <v>8</v>
      </c>
      <c r="B14" s="17" t="inlineStr">
        <is>
          <t>ALIMENTOS DEL VALLE</t>
        </is>
      </c>
      <c r="C14" s="17" t="inlineStr">
        <is>
          <t>F-1066</t>
        </is>
      </c>
      <c r="D14" s="30" t="n">
        <v>46298</v>
      </c>
      <c r="E14" s="17" t="n">
        <v>45</v>
      </c>
      <c r="F14" s="33">
        <f>IF(D14="","",D14+E14)</f>
        <v/>
      </c>
      <c r="G14" s="34" t="n">
        <v>41250</v>
      </c>
      <c r="H14" s="34" t="n">
        <v>0</v>
      </c>
      <c r="I14" s="35">
        <f>IF(G14="","",G14-H14)</f>
        <v/>
      </c>
      <c r="J14" s="19">
        <f>IF(OR(F14="",I14=""),"",IF(I14&lt;=0,0,MAX(0,$G$4-F14)))</f>
        <v/>
      </c>
      <c r="K14" s="19">
        <f>IF(I14="","",IF(I14&lt;=0,"PAGADA",IF(J14&gt;0,"VENCIDA","VIGENTE")))</f>
        <v/>
      </c>
    </row>
    <row r="15">
      <c r="A15" s="32" t="n">
        <v>9</v>
      </c>
      <c r="B15" s="17" t="inlineStr">
        <is>
          <t>COLEGIO ANÁHUAC DEL SUR</t>
        </is>
      </c>
      <c r="C15" s="17" t="inlineStr">
        <is>
          <t>F-1069</t>
        </is>
      </c>
      <c r="D15" s="30" t="n">
        <v>46160</v>
      </c>
      <c r="E15" s="17" t="n">
        <v>30</v>
      </c>
      <c r="F15" s="33">
        <f>IF(D15="","",D15+E15)</f>
        <v/>
      </c>
      <c r="G15" s="34" t="n">
        <v>28700</v>
      </c>
      <c r="H15" s="34" t="n">
        <v>0</v>
      </c>
      <c r="I15" s="35">
        <f>IF(G15="","",G15-H15)</f>
        <v/>
      </c>
      <c r="J15" s="19">
        <f>IF(OR(F15="",I15=""),"",IF(I15&lt;=0,0,MAX(0,$G$4-F15)))</f>
        <v/>
      </c>
      <c r="K15" s="19">
        <f>IF(I15="","",IF(I15&lt;=0,"PAGADA",IF(J15&gt;0,"VENCIDA","VIGENTE")))</f>
        <v/>
      </c>
    </row>
    <row r="16">
      <c r="A16" s="32" t="n">
        <v>10</v>
      </c>
      <c r="B16" s="17" t="inlineStr">
        <is>
          <t>TALLER MECÁNICO RIVERA</t>
        </is>
      </c>
      <c r="C16" s="17" t="inlineStr">
        <is>
          <t>F-1070</t>
        </is>
      </c>
      <c r="D16" s="30" t="n">
        <v>46239</v>
      </c>
      <c r="E16" s="17" t="n">
        <v>15</v>
      </c>
      <c r="F16" s="33">
        <f>IF(D16="","",D16+E16)</f>
        <v/>
      </c>
      <c r="G16" s="34" t="n">
        <v>15400</v>
      </c>
      <c r="H16" s="34" t="n">
        <v>15400</v>
      </c>
      <c r="I16" s="35">
        <f>IF(G16="","",G16-H16)</f>
        <v/>
      </c>
      <c r="J16" s="19">
        <f>IF(OR(F16="",I16=""),"",IF(I16&lt;=0,0,MAX(0,$G$4-F16)))</f>
        <v/>
      </c>
      <c r="K16" s="19">
        <f>IF(I16="","",IF(I16&lt;=0,"PAGADA",IF(J16&gt;0,"VENCIDA","VIGENTE")))</f>
        <v/>
      </c>
    </row>
    <row r="17">
      <c r="A17" s="32" t="n">
        <v>11</v>
      </c>
      <c r="B17" s="17" t="inlineStr">
        <is>
          <t>INMOBILIARIA TORRES DÍAZ</t>
        </is>
      </c>
      <c r="C17" s="17" t="inlineStr">
        <is>
          <t>F-1074</t>
        </is>
      </c>
      <c r="D17" s="30" t="n">
        <v>46267</v>
      </c>
      <c r="E17" s="17" t="n">
        <v>30</v>
      </c>
      <c r="F17" s="33">
        <f>IF(D17="","",D17+E17)</f>
        <v/>
      </c>
      <c r="G17" s="34" t="n">
        <v>67800</v>
      </c>
      <c r="H17" s="34" t="n">
        <v>30000</v>
      </c>
      <c r="I17" s="35">
        <f>IF(G17="","",G17-H17)</f>
        <v/>
      </c>
      <c r="J17" s="19">
        <f>IF(OR(F17="",I17=""),"",IF(I17&lt;=0,0,MAX(0,$G$4-F17)))</f>
        <v/>
      </c>
      <c r="K17" s="19">
        <f>IF(I17="","",IF(I17&lt;=0,"PAGADA",IF(J17&gt;0,"VENCIDA","VIGENTE")))</f>
        <v/>
      </c>
    </row>
    <row r="18">
      <c r="A18" s="32" t="n">
        <v>12</v>
      </c>
      <c r="B18" s="17" t="inlineStr">
        <is>
          <t>CLÍNICA SANTA LUCÍA</t>
        </is>
      </c>
      <c r="C18" s="17" t="inlineStr">
        <is>
          <t>F-1075</t>
        </is>
      </c>
      <c r="D18" s="30" t="n">
        <v>46283</v>
      </c>
      <c r="E18" s="17" t="n">
        <v>30</v>
      </c>
      <c r="F18" s="33">
        <f>IF(D18="","",D18+E18)</f>
        <v/>
      </c>
      <c r="G18" s="34" t="n">
        <v>83600</v>
      </c>
      <c r="H18" s="34" t="n">
        <v>0</v>
      </c>
      <c r="I18" s="35">
        <f>IF(G18="","",G18-H18)</f>
        <v/>
      </c>
      <c r="J18" s="19">
        <f>IF(OR(F18="",I18=""),"",IF(I18&lt;=0,0,MAX(0,$G$4-F18)))</f>
        <v/>
      </c>
      <c r="K18" s="19">
        <f>IF(I18="","",IF(I18&lt;=0,"PAGADA",IF(J18&gt;0,"VENCIDA","VIGENTE")))</f>
        <v/>
      </c>
    </row>
    <row r="19">
      <c r="A19" s="32" t="n">
        <v>13</v>
      </c>
      <c r="B19" s="17" t="n"/>
      <c r="C19" s="17" t="n"/>
      <c r="D19" s="30" t="n"/>
      <c r="E19" s="17" t="n"/>
      <c r="F19" s="33">
        <f>IF(D19="","",D19+E19)</f>
        <v/>
      </c>
      <c r="G19" s="34" t="n"/>
      <c r="H19" s="34" t="n"/>
      <c r="I19" s="35">
        <f>IF(G19="","",G19-H19)</f>
        <v/>
      </c>
      <c r="J19" s="19">
        <f>IF(OR(F19="",I19=""),"",IF(I19&lt;=0,0,MAX(0,$G$4-F19)))</f>
        <v/>
      </c>
      <c r="K19" s="19">
        <f>IF(I19="","",IF(I19&lt;=0,"PAGADA",IF(J19&gt;0,"VENCIDA","VIGENTE")))</f>
        <v/>
      </c>
    </row>
    <row r="20">
      <c r="A20" s="32" t="n">
        <v>14</v>
      </c>
      <c r="B20" s="17" t="n"/>
      <c r="C20" s="17" t="n"/>
      <c r="D20" s="30" t="n"/>
      <c r="E20" s="17" t="n"/>
      <c r="F20" s="33">
        <f>IF(D20="","",D20+E20)</f>
        <v/>
      </c>
      <c r="G20" s="34" t="n"/>
      <c r="H20" s="34" t="n"/>
      <c r="I20" s="35">
        <f>IF(G20="","",G20-H20)</f>
        <v/>
      </c>
      <c r="J20" s="19">
        <f>IF(OR(F20="",I20=""),"",IF(I20&lt;=0,0,MAX(0,$G$4-F20)))</f>
        <v/>
      </c>
      <c r="K20" s="19">
        <f>IF(I20="","",IF(I20&lt;=0,"PAGADA",IF(J20&gt;0,"VENCIDA","VIGENTE")))</f>
        <v/>
      </c>
    </row>
    <row r="21">
      <c r="A21" s="32" t="n">
        <v>15</v>
      </c>
      <c r="B21" s="17" t="n"/>
      <c r="C21" s="17" t="n"/>
      <c r="D21" s="30" t="n"/>
      <c r="E21" s="17" t="n"/>
      <c r="F21" s="33">
        <f>IF(D21="","",D21+E21)</f>
        <v/>
      </c>
      <c r="G21" s="34" t="n"/>
      <c r="H21" s="34" t="n"/>
      <c r="I21" s="35">
        <f>IF(G21="","",G21-H21)</f>
        <v/>
      </c>
      <c r="J21" s="19">
        <f>IF(OR(F21="",I21=""),"",IF(I21&lt;=0,0,MAX(0,$G$4-F21)))</f>
        <v/>
      </c>
      <c r="K21" s="19">
        <f>IF(I21="","",IF(I21&lt;=0,"PAGADA",IF(J21&gt;0,"VENCIDA","VIGENTE")))</f>
        <v/>
      </c>
    </row>
    <row r="22">
      <c r="A22" s="32" t="n">
        <v>16</v>
      </c>
      <c r="B22" s="17" t="n"/>
      <c r="C22" s="17" t="n"/>
      <c r="D22" s="30" t="n"/>
      <c r="E22" s="17" t="n"/>
      <c r="F22" s="33">
        <f>IF(D22="","",D22+E22)</f>
        <v/>
      </c>
      <c r="G22" s="34" t="n"/>
      <c r="H22" s="34" t="n"/>
      <c r="I22" s="35">
        <f>IF(G22="","",G22-H22)</f>
        <v/>
      </c>
      <c r="J22" s="19">
        <f>IF(OR(F22="",I22=""),"",IF(I22&lt;=0,0,MAX(0,$G$4-F22)))</f>
        <v/>
      </c>
      <c r="K22" s="19">
        <f>IF(I22="","",IF(I22&lt;=0,"PAGADA",IF(J22&gt;0,"VENCIDA","VIGENTE")))</f>
        <v/>
      </c>
    </row>
    <row r="23">
      <c r="A23" s="32" t="n">
        <v>17</v>
      </c>
      <c r="B23" s="17" t="n"/>
      <c r="C23" s="17" t="n"/>
      <c r="D23" s="30" t="n"/>
      <c r="E23" s="17" t="n"/>
      <c r="F23" s="33">
        <f>IF(D23="","",D23+E23)</f>
        <v/>
      </c>
      <c r="G23" s="34" t="n"/>
      <c r="H23" s="34" t="n"/>
      <c r="I23" s="35">
        <f>IF(G23="","",G23-H23)</f>
        <v/>
      </c>
      <c r="J23" s="19">
        <f>IF(OR(F23="",I23=""),"",IF(I23&lt;=0,0,MAX(0,$G$4-F23)))</f>
        <v/>
      </c>
      <c r="K23" s="19">
        <f>IF(I23="","",IF(I23&lt;=0,"PAGADA",IF(J23&gt;0,"VENCIDA","VIGENTE")))</f>
        <v/>
      </c>
    </row>
    <row r="24">
      <c r="A24" s="32" t="n">
        <v>18</v>
      </c>
      <c r="B24" s="17" t="n"/>
      <c r="C24" s="17" t="n"/>
      <c r="D24" s="30" t="n"/>
      <c r="E24" s="17" t="n"/>
      <c r="F24" s="33">
        <f>IF(D24="","",D24+E24)</f>
        <v/>
      </c>
      <c r="G24" s="34" t="n"/>
      <c r="H24" s="34" t="n"/>
      <c r="I24" s="35">
        <f>IF(G24="","",G24-H24)</f>
        <v/>
      </c>
      <c r="J24" s="19">
        <f>IF(OR(F24="",I24=""),"",IF(I24&lt;=0,0,MAX(0,$G$4-F24)))</f>
        <v/>
      </c>
      <c r="K24" s="19">
        <f>IF(I24="","",IF(I24&lt;=0,"PAGADA",IF(J24&gt;0,"VENCIDA","VIGENTE")))</f>
        <v/>
      </c>
    </row>
    <row r="25">
      <c r="A25" s="32" t="n">
        <v>19</v>
      </c>
      <c r="B25" s="17" t="n"/>
      <c r="C25" s="17" t="n"/>
      <c r="D25" s="30" t="n"/>
      <c r="E25" s="17" t="n"/>
      <c r="F25" s="33">
        <f>IF(D25="","",D25+E25)</f>
        <v/>
      </c>
      <c r="G25" s="34" t="n"/>
      <c r="H25" s="34" t="n"/>
      <c r="I25" s="35">
        <f>IF(G25="","",G25-H25)</f>
        <v/>
      </c>
      <c r="J25" s="19">
        <f>IF(OR(F25="",I25=""),"",IF(I25&lt;=0,0,MAX(0,$G$4-F25)))</f>
        <v/>
      </c>
      <c r="K25" s="19">
        <f>IF(I25="","",IF(I25&lt;=0,"PAGADA",IF(J25&gt;0,"VENCIDA","VIGENTE")))</f>
        <v/>
      </c>
    </row>
    <row r="26">
      <c r="A26" s="32" t="n">
        <v>20</v>
      </c>
      <c r="B26" s="17" t="n"/>
      <c r="C26" s="17" t="n"/>
      <c r="D26" s="30" t="n"/>
      <c r="E26" s="17" t="n"/>
      <c r="F26" s="33">
        <f>IF(D26="","",D26+E26)</f>
        <v/>
      </c>
      <c r="G26" s="34" t="n"/>
      <c r="H26" s="34" t="n"/>
      <c r="I26" s="35">
        <f>IF(G26="","",G26-H26)</f>
        <v/>
      </c>
      <c r="J26" s="19">
        <f>IF(OR(F26="",I26=""),"",IF(I26&lt;=0,0,MAX(0,$G$4-F26)))</f>
        <v/>
      </c>
      <c r="K26" s="19">
        <f>IF(I26="","",IF(I26&lt;=0,"PAGADA",IF(J26&gt;0,"VENCIDA","VIGENTE")))</f>
        <v/>
      </c>
    </row>
    <row r="27">
      <c r="A27" s="32" t="n">
        <v>21</v>
      </c>
      <c r="B27" s="17" t="n"/>
      <c r="C27" s="17" t="n"/>
      <c r="D27" s="30" t="n"/>
      <c r="E27" s="17" t="n"/>
      <c r="F27" s="33">
        <f>IF(D27="","",D27+E27)</f>
        <v/>
      </c>
      <c r="G27" s="34" t="n"/>
      <c r="H27" s="34" t="n"/>
      <c r="I27" s="35">
        <f>IF(G27="","",G27-H27)</f>
        <v/>
      </c>
      <c r="J27" s="19">
        <f>IF(OR(F27="",I27=""),"",IF(I27&lt;=0,0,MAX(0,$G$4-F27)))</f>
        <v/>
      </c>
      <c r="K27" s="19">
        <f>IF(I27="","",IF(I27&lt;=0,"PAGADA",IF(J27&gt;0,"VENCIDA","VIGENTE")))</f>
        <v/>
      </c>
    </row>
    <row r="28">
      <c r="A28" s="32" t="n">
        <v>22</v>
      </c>
      <c r="B28" s="17" t="n"/>
      <c r="C28" s="17" t="n"/>
      <c r="D28" s="30" t="n"/>
      <c r="E28" s="17" t="n"/>
      <c r="F28" s="33">
        <f>IF(D28="","",D28+E28)</f>
        <v/>
      </c>
      <c r="G28" s="34" t="n"/>
      <c r="H28" s="34" t="n"/>
      <c r="I28" s="35">
        <f>IF(G28="","",G28-H28)</f>
        <v/>
      </c>
      <c r="J28" s="19">
        <f>IF(OR(F28="",I28=""),"",IF(I28&lt;=0,0,MAX(0,$G$4-F28)))</f>
        <v/>
      </c>
      <c r="K28" s="19">
        <f>IF(I28="","",IF(I28&lt;=0,"PAGADA",IF(J28&gt;0,"VENCIDA","VIGENTE")))</f>
        <v/>
      </c>
    </row>
    <row r="29">
      <c r="A29" s="32" t="n">
        <v>23</v>
      </c>
      <c r="B29" s="17" t="n"/>
      <c r="C29" s="17" t="n"/>
      <c r="D29" s="30" t="n"/>
      <c r="E29" s="17" t="n"/>
      <c r="F29" s="33">
        <f>IF(D29="","",D29+E29)</f>
        <v/>
      </c>
      <c r="G29" s="34" t="n"/>
      <c r="H29" s="34" t="n"/>
      <c r="I29" s="35">
        <f>IF(G29="","",G29-H29)</f>
        <v/>
      </c>
      <c r="J29" s="19">
        <f>IF(OR(F29="",I29=""),"",IF(I29&lt;=0,0,MAX(0,$G$4-F29)))</f>
        <v/>
      </c>
      <c r="K29" s="19">
        <f>IF(I29="","",IF(I29&lt;=0,"PAGADA",IF(J29&gt;0,"VENCIDA","VIGENTE")))</f>
        <v/>
      </c>
    </row>
    <row r="30">
      <c r="A30" s="32" t="n">
        <v>24</v>
      </c>
      <c r="B30" s="17" t="n"/>
      <c r="C30" s="17" t="n"/>
      <c r="D30" s="30" t="n"/>
      <c r="E30" s="17" t="n"/>
      <c r="F30" s="33">
        <f>IF(D30="","",D30+E30)</f>
        <v/>
      </c>
      <c r="G30" s="34" t="n"/>
      <c r="H30" s="34" t="n"/>
      <c r="I30" s="35">
        <f>IF(G30="","",G30-H30)</f>
        <v/>
      </c>
      <c r="J30" s="19">
        <f>IF(OR(F30="",I30=""),"",IF(I30&lt;=0,0,MAX(0,$G$4-F30)))</f>
        <v/>
      </c>
      <c r="K30" s="19">
        <f>IF(I30="","",IF(I30&lt;=0,"PAGADA",IF(J30&gt;0,"VENCIDA","VIGENTE")))</f>
        <v/>
      </c>
    </row>
    <row r="31">
      <c r="A31" s="32" t="n">
        <v>25</v>
      </c>
      <c r="B31" s="17" t="n"/>
      <c r="C31" s="17" t="n"/>
      <c r="D31" s="30" t="n"/>
      <c r="E31" s="17" t="n"/>
      <c r="F31" s="33">
        <f>IF(D31="","",D31+E31)</f>
        <v/>
      </c>
      <c r="G31" s="34" t="n"/>
      <c r="H31" s="34" t="n"/>
      <c r="I31" s="35">
        <f>IF(G31="","",G31-H31)</f>
        <v/>
      </c>
      <c r="J31" s="19">
        <f>IF(OR(F31="",I31=""),"",IF(I31&lt;=0,0,MAX(0,$G$4-F31)))</f>
        <v/>
      </c>
      <c r="K31" s="19">
        <f>IF(I31="","",IF(I31&lt;=0,"PAGADA",IF(J31&gt;0,"VENCIDA","VIGENTE")))</f>
        <v/>
      </c>
    </row>
    <row r="32">
      <c r="A32" s="32" t="n">
        <v>26</v>
      </c>
      <c r="B32" s="17" t="n"/>
      <c r="C32" s="17" t="n"/>
      <c r="D32" s="30" t="n"/>
      <c r="E32" s="17" t="n"/>
      <c r="F32" s="33">
        <f>IF(D32="","",D32+E32)</f>
        <v/>
      </c>
      <c r="G32" s="34" t="n"/>
      <c r="H32" s="34" t="n"/>
      <c r="I32" s="35">
        <f>IF(G32="","",G32-H32)</f>
        <v/>
      </c>
      <c r="J32" s="19">
        <f>IF(OR(F32="",I32=""),"",IF(I32&lt;=0,0,MAX(0,$G$4-F32)))</f>
        <v/>
      </c>
      <c r="K32" s="19">
        <f>IF(I32="","",IF(I32&lt;=0,"PAGADA",IF(J32&gt;0,"VENCIDA","VIGENTE")))</f>
        <v/>
      </c>
    </row>
    <row r="33">
      <c r="A33" s="32" t="n">
        <v>27</v>
      </c>
      <c r="B33" s="17" t="n"/>
      <c r="C33" s="17" t="n"/>
      <c r="D33" s="30" t="n"/>
      <c r="E33" s="17" t="n"/>
      <c r="F33" s="33">
        <f>IF(D33="","",D33+E33)</f>
        <v/>
      </c>
      <c r="G33" s="34" t="n"/>
      <c r="H33" s="34" t="n"/>
      <c r="I33" s="35">
        <f>IF(G33="","",G33-H33)</f>
        <v/>
      </c>
      <c r="J33" s="19">
        <f>IF(OR(F33="",I33=""),"",IF(I33&lt;=0,0,MAX(0,$G$4-F33)))</f>
        <v/>
      </c>
      <c r="K33" s="19">
        <f>IF(I33="","",IF(I33&lt;=0,"PAGADA",IF(J33&gt;0,"VENCIDA","VIGENTE")))</f>
        <v/>
      </c>
    </row>
    <row r="34">
      <c r="A34" s="32" t="n">
        <v>28</v>
      </c>
      <c r="B34" s="17" t="n"/>
      <c r="C34" s="17" t="n"/>
      <c r="D34" s="30" t="n"/>
      <c r="E34" s="17" t="n"/>
      <c r="F34" s="33">
        <f>IF(D34="","",D34+E34)</f>
        <v/>
      </c>
      <c r="G34" s="34" t="n"/>
      <c r="H34" s="34" t="n"/>
      <c r="I34" s="35">
        <f>IF(G34="","",G34-H34)</f>
        <v/>
      </c>
      <c r="J34" s="19">
        <f>IF(OR(F34="",I34=""),"",IF(I34&lt;=0,0,MAX(0,$G$4-F34)))</f>
        <v/>
      </c>
      <c r="K34" s="19">
        <f>IF(I34="","",IF(I34&lt;=0,"PAGADA",IF(J34&gt;0,"VENCIDA","VIGENTE")))</f>
        <v/>
      </c>
    </row>
    <row r="35">
      <c r="A35" s="32" t="n">
        <v>29</v>
      </c>
      <c r="B35" s="17" t="n"/>
      <c r="C35" s="17" t="n"/>
      <c r="D35" s="30" t="n"/>
      <c r="E35" s="17" t="n"/>
      <c r="F35" s="33">
        <f>IF(D35="","",D35+E35)</f>
        <v/>
      </c>
      <c r="G35" s="34" t="n"/>
      <c r="H35" s="34" t="n"/>
      <c r="I35" s="35">
        <f>IF(G35="","",G35-H35)</f>
        <v/>
      </c>
      <c r="J35" s="19">
        <f>IF(OR(F35="",I35=""),"",IF(I35&lt;=0,0,MAX(0,$G$4-F35)))</f>
        <v/>
      </c>
      <c r="K35" s="19">
        <f>IF(I35="","",IF(I35&lt;=0,"PAGADA",IF(J35&gt;0,"VENCIDA","VIGENTE")))</f>
        <v/>
      </c>
    </row>
    <row r="36">
      <c r="A36" s="32" t="n">
        <v>30</v>
      </c>
      <c r="B36" s="17" t="n"/>
      <c r="C36" s="17" t="n"/>
      <c r="D36" s="30" t="n"/>
      <c r="E36" s="17" t="n"/>
      <c r="F36" s="33">
        <f>IF(D36="","",D36+E36)</f>
        <v/>
      </c>
      <c r="G36" s="34" t="n"/>
      <c r="H36" s="34" t="n"/>
      <c r="I36" s="35">
        <f>IF(G36="","",G36-H36)</f>
        <v/>
      </c>
      <c r="J36" s="19">
        <f>IF(OR(F36="",I36=""),"",IF(I36&lt;=0,0,MAX(0,$G$4-F36)))</f>
        <v/>
      </c>
      <c r="K36" s="19">
        <f>IF(I36="","",IF(I36&lt;=0,"PAGADA",IF(J36&gt;0,"VENCIDA","VIGENTE")))</f>
        <v/>
      </c>
    </row>
    <row r="37">
      <c r="A37" s="32" t="n">
        <v>31</v>
      </c>
      <c r="B37" s="17" t="n"/>
      <c r="C37" s="17" t="n"/>
      <c r="D37" s="30" t="n"/>
      <c r="E37" s="17" t="n"/>
      <c r="F37" s="33">
        <f>IF(D37="","",D37+E37)</f>
        <v/>
      </c>
      <c r="G37" s="34" t="n"/>
      <c r="H37" s="34" t="n"/>
      <c r="I37" s="35">
        <f>IF(G37="","",G37-H37)</f>
        <v/>
      </c>
      <c r="J37" s="19">
        <f>IF(OR(F37="",I37=""),"",IF(I37&lt;=0,0,MAX(0,$G$4-F37)))</f>
        <v/>
      </c>
      <c r="K37" s="19">
        <f>IF(I37="","",IF(I37&lt;=0,"PAGADA",IF(J37&gt;0,"VENCIDA","VIGENTE")))</f>
        <v/>
      </c>
    </row>
    <row r="38">
      <c r="A38" s="32" t="n">
        <v>32</v>
      </c>
      <c r="B38" s="17" t="n"/>
      <c r="C38" s="17" t="n"/>
      <c r="D38" s="30" t="n"/>
      <c r="E38" s="17" t="n"/>
      <c r="F38" s="33">
        <f>IF(D38="","",D38+E38)</f>
        <v/>
      </c>
      <c r="G38" s="34" t="n"/>
      <c r="H38" s="34" t="n"/>
      <c r="I38" s="35">
        <f>IF(G38="","",G38-H38)</f>
        <v/>
      </c>
      <c r="J38" s="19">
        <f>IF(OR(F38="",I38=""),"",IF(I38&lt;=0,0,MAX(0,$G$4-F38)))</f>
        <v/>
      </c>
      <c r="K38" s="19">
        <f>IF(I38="","",IF(I38&lt;=0,"PAGADA",IF(J38&gt;0,"VENCIDA","VIGENTE")))</f>
        <v/>
      </c>
    </row>
    <row r="39">
      <c r="A39" s="32" t="n">
        <v>33</v>
      </c>
      <c r="B39" s="17" t="n"/>
      <c r="C39" s="17" t="n"/>
      <c r="D39" s="30" t="n"/>
      <c r="E39" s="17" t="n"/>
      <c r="F39" s="33">
        <f>IF(D39="","",D39+E39)</f>
        <v/>
      </c>
      <c r="G39" s="34" t="n"/>
      <c r="H39" s="34" t="n"/>
      <c r="I39" s="35">
        <f>IF(G39="","",G39-H39)</f>
        <v/>
      </c>
      <c r="J39" s="19">
        <f>IF(OR(F39="",I39=""),"",IF(I39&lt;=0,0,MAX(0,$G$4-F39)))</f>
        <v/>
      </c>
      <c r="K39" s="19">
        <f>IF(I39="","",IF(I39&lt;=0,"PAGADA",IF(J39&gt;0,"VENCIDA","VIGENTE")))</f>
        <v/>
      </c>
    </row>
    <row r="40">
      <c r="A40" s="32" t="n">
        <v>34</v>
      </c>
      <c r="B40" s="17" t="n"/>
      <c r="C40" s="17" t="n"/>
      <c r="D40" s="30" t="n"/>
      <c r="E40" s="17" t="n"/>
      <c r="F40" s="33">
        <f>IF(D40="","",D40+E40)</f>
        <v/>
      </c>
      <c r="G40" s="34" t="n"/>
      <c r="H40" s="34" t="n"/>
      <c r="I40" s="35">
        <f>IF(G40="","",G40-H40)</f>
        <v/>
      </c>
      <c r="J40" s="19">
        <f>IF(OR(F40="",I40=""),"",IF(I40&lt;=0,0,MAX(0,$G$4-F40)))</f>
        <v/>
      </c>
      <c r="K40" s="19">
        <f>IF(I40="","",IF(I40&lt;=0,"PAGADA",IF(J40&gt;0,"VENCIDA","VIGENTE")))</f>
        <v/>
      </c>
    </row>
    <row r="41">
      <c r="A41" s="32" t="n">
        <v>35</v>
      </c>
      <c r="B41" s="17" t="n"/>
      <c r="C41" s="17" t="n"/>
      <c r="D41" s="30" t="n"/>
      <c r="E41" s="17" t="n"/>
      <c r="F41" s="33">
        <f>IF(D41="","",D41+E41)</f>
        <v/>
      </c>
      <c r="G41" s="34" t="n"/>
      <c r="H41" s="34" t="n"/>
      <c r="I41" s="35">
        <f>IF(G41="","",G41-H41)</f>
        <v/>
      </c>
      <c r="J41" s="19">
        <f>IF(OR(F41="",I41=""),"",IF(I41&lt;=0,0,MAX(0,$G$4-F41)))</f>
        <v/>
      </c>
      <c r="K41" s="19">
        <f>IF(I41="","",IF(I41&lt;=0,"PAGADA",IF(J41&gt;0,"VENCIDA","VIGENTE")))</f>
        <v/>
      </c>
    </row>
    <row r="42">
      <c r="A42" s="32" t="n">
        <v>36</v>
      </c>
      <c r="B42" s="17" t="n"/>
      <c r="C42" s="17" t="n"/>
      <c r="D42" s="30" t="n"/>
      <c r="E42" s="17" t="n"/>
      <c r="F42" s="33">
        <f>IF(D42="","",D42+E42)</f>
        <v/>
      </c>
      <c r="G42" s="34" t="n"/>
      <c r="H42" s="34" t="n"/>
      <c r="I42" s="35">
        <f>IF(G42="","",G42-H42)</f>
        <v/>
      </c>
      <c r="J42" s="19">
        <f>IF(OR(F42="",I42=""),"",IF(I42&lt;=0,0,MAX(0,$G$4-F42)))</f>
        <v/>
      </c>
      <c r="K42" s="19">
        <f>IF(I42="","",IF(I42&lt;=0,"PAGADA",IF(J42&gt;0,"VENCIDA","VIGENTE")))</f>
        <v/>
      </c>
    </row>
    <row r="43">
      <c r="A43" s="32" t="n">
        <v>37</v>
      </c>
      <c r="B43" s="17" t="n"/>
      <c r="C43" s="17" t="n"/>
      <c r="D43" s="30" t="n"/>
      <c r="E43" s="17" t="n"/>
      <c r="F43" s="33">
        <f>IF(D43="","",D43+E43)</f>
        <v/>
      </c>
      <c r="G43" s="34" t="n"/>
      <c r="H43" s="34" t="n"/>
      <c r="I43" s="35">
        <f>IF(G43="","",G43-H43)</f>
        <v/>
      </c>
      <c r="J43" s="19">
        <f>IF(OR(F43="",I43=""),"",IF(I43&lt;=0,0,MAX(0,$G$4-F43)))</f>
        <v/>
      </c>
      <c r="K43" s="19">
        <f>IF(I43="","",IF(I43&lt;=0,"PAGADA",IF(J43&gt;0,"VENCIDA","VIGENTE")))</f>
        <v/>
      </c>
    </row>
    <row r="44">
      <c r="A44" s="32" t="n">
        <v>38</v>
      </c>
      <c r="B44" s="17" t="n"/>
      <c r="C44" s="17" t="n"/>
      <c r="D44" s="30" t="n"/>
      <c r="E44" s="17" t="n"/>
      <c r="F44" s="33">
        <f>IF(D44="","",D44+E44)</f>
        <v/>
      </c>
      <c r="G44" s="34" t="n"/>
      <c r="H44" s="34" t="n"/>
      <c r="I44" s="35">
        <f>IF(G44="","",G44-H44)</f>
        <v/>
      </c>
      <c r="J44" s="19">
        <f>IF(OR(F44="",I44=""),"",IF(I44&lt;=0,0,MAX(0,$G$4-F44)))</f>
        <v/>
      </c>
      <c r="K44" s="19">
        <f>IF(I44="","",IF(I44&lt;=0,"PAGADA",IF(J44&gt;0,"VENCIDA","VIGENTE")))</f>
        <v/>
      </c>
    </row>
    <row r="45">
      <c r="A45" s="32" t="n">
        <v>39</v>
      </c>
      <c r="B45" s="17" t="n"/>
      <c r="C45" s="17" t="n"/>
      <c r="D45" s="30" t="n"/>
      <c r="E45" s="17" t="n"/>
      <c r="F45" s="33">
        <f>IF(D45="","",D45+E45)</f>
        <v/>
      </c>
      <c r="G45" s="34" t="n"/>
      <c r="H45" s="34" t="n"/>
      <c r="I45" s="35">
        <f>IF(G45="","",G45-H45)</f>
        <v/>
      </c>
      <c r="J45" s="19">
        <f>IF(OR(F45="",I45=""),"",IF(I45&lt;=0,0,MAX(0,$G$4-F45)))</f>
        <v/>
      </c>
      <c r="K45" s="19">
        <f>IF(I45="","",IF(I45&lt;=0,"PAGADA",IF(J45&gt;0,"VENCIDA","VIGENTE")))</f>
        <v/>
      </c>
    </row>
    <row r="46">
      <c r="A46" s="32" t="n">
        <v>40</v>
      </c>
      <c r="B46" s="17" t="n"/>
      <c r="C46" s="17" t="n"/>
      <c r="D46" s="30" t="n"/>
      <c r="E46" s="17" t="n"/>
      <c r="F46" s="33">
        <f>IF(D46="","",D46+E46)</f>
        <v/>
      </c>
      <c r="G46" s="34" t="n"/>
      <c r="H46" s="34" t="n"/>
      <c r="I46" s="35">
        <f>IF(G46="","",G46-H46)</f>
        <v/>
      </c>
      <c r="J46" s="19">
        <f>IF(OR(F46="",I46=""),"",IF(I46&lt;=0,0,MAX(0,$G$4-F46)))</f>
        <v/>
      </c>
      <c r="K46" s="19">
        <f>IF(I46="","",IF(I46&lt;=0,"PAGADA",IF(J46&gt;0,"VENCIDA","VIGENTE")))</f>
        <v/>
      </c>
    </row>
    <row r="47">
      <c r="A47" s="32" t="n">
        <v>41</v>
      </c>
      <c r="B47" s="17" t="n"/>
      <c r="C47" s="17" t="n"/>
      <c r="D47" s="30" t="n"/>
      <c r="E47" s="17" t="n"/>
      <c r="F47" s="33">
        <f>IF(D47="","",D47+E47)</f>
        <v/>
      </c>
      <c r="G47" s="34" t="n"/>
      <c r="H47" s="34" t="n"/>
      <c r="I47" s="35">
        <f>IF(G47="","",G47-H47)</f>
        <v/>
      </c>
      <c r="J47" s="19">
        <f>IF(OR(F47="",I47=""),"",IF(I47&lt;=0,0,MAX(0,$G$4-F47)))</f>
        <v/>
      </c>
      <c r="K47" s="19">
        <f>IF(I47="","",IF(I47&lt;=0,"PAGADA",IF(J47&gt;0,"VENCIDA","VIGENTE")))</f>
        <v/>
      </c>
    </row>
    <row r="48">
      <c r="A48" s="32" t="n">
        <v>42</v>
      </c>
      <c r="B48" s="17" t="n"/>
      <c r="C48" s="17" t="n"/>
      <c r="D48" s="30" t="n"/>
      <c r="E48" s="17" t="n"/>
      <c r="F48" s="33">
        <f>IF(D48="","",D48+E48)</f>
        <v/>
      </c>
      <c r="G48" s="34" t="n"/>
      <c r="H48" s="34" t="n"/>
      <c r="I48" s="35">
        <f>IF(G48="","",G48-H48)</f>
        <v/>
      </c>
      <c r="J48" s="19">
        <f>IF(OR(F48="",I48=""),"",IF(I48&lt;=0,0,MAX(0,$G$4-F48)))</f>
        <v/>
      </c>
      <c r="K48" s="19">
        <f>IF(I48="","",IF(I48&lt;=0,"PAGADA",IF(J48&gt;0,"VENCIDA","VIGENTE")))</f>
        <v/>
      </c>
    </row>
    <row r="49">
      <c r="A49" s="32" t="n">
        <v>43</v>
      </c>
      <c r="B49" s="17" t="n"/>
      <c r="C49" s="17" t="n"/>
      <c r="D49" s="30" t="n"/>
      <c r="E49" s="17" t="n"/>
      <c r="F49" s="33">
        <f>IF(D49="","",D49+E49)</f>
        <v/>
      </c>
      <c r="G49" s="34" t="n"/>
      <c r="H49" s="34" t="n"/>
      <c r="I49" s="35">
        <f>IF(G49="","",G49-H49)</f>
        <v/>
      </c>
      <c r="J49" s="19">
        <f>IF(OR(F49="",I49=""),"",IF(I49&lt;=0,0,MAX(0,$G$4-F49)))</f>
        <v/>
      </c>
      <c r="K49" s="19">
        <f>IF(I49="","",IF(I49&lt;=0,"PAGADA",IF(J49&gt;0,"VENCIDA","VIGENTE")))</f>
        <v/>
      </c>
    </row>
    <row r="50">
      <c r="A50" s="32" t="n">
        <v>44</v>
      </c>
      <c r="B50" s="17" t="n"/>
      <c r="C50" s="17" t="n"/>
      <c r="D50" s="30" t="n"/>
      <c r="E50" s="17" t="n"/>
      <c r="F50" s="33">
        <f>IF(D50="","",D50+E50)</f>
        <v/>
      </c>
      <c r="G50" s="34" t="n"/>
      <c r="H50" s="34" t="n"/>
      <c r="I50" s="35">
        <f>IF(G50="","",G50-H50)</f>
        <v/>
      </c>
      <c r="J50" s="19">
        <f>IF(OR(F50="",I50=""),"",IF(I50&lt;=0,0,MAX(0,$G$4-F50)))</f>
        <v/>
      </c>
      <c r="K50" s="19">
        <f>IF(I50="","",IF(I50&lt;=0,"PAGADA",IF(J50&gt;0,"VENCIDA","VIGENTE")))</f>
        <v/>
      </c>
    </row>
    <row r="51">
      <c r="A51" s="32" t="n">
        <v>45</v>
      </c>
      <c r="B51" s="17" t="n"/>
      <c r="C51" s="17" t="n"/>
      <c r="D51" s="30" t="n"/>
      <c r="E51" s="17" t="n"/>
      <c r="F51" s="33">
        <f>IF(D51="","",D51+E51)</f>
        <v/>
      </c>
      <c r="G51" s="34" t="n"/>
      <c r="H51" s="34" t="n"/>
      <c r="I51" s="35">
        <f>IF(G51="","",G51-H51)</f>
        <v/>
      </c>
      <c r="J51" s="19">
        <f>IF(OR(F51="",I51=""),"",IF(I51&lt;=0,0,MAX(0,$G$4-F51)))</f>
        <v/>
      </c>
      <c r="K51" s="19">
        <f>IF(I51="","",IF(I51&lt;=0,"PAGADA",IF(J51&gt;0,"VENCIDA","VIGENTE")))</f>
        <v/>
      </c>
    </row>
    <row r="52">
      <c r="A52" s="32" t="n">
        <v>46</v>
      </c>
      <c r="B52" s="17" t="n"/>
      <c r="C52" s="17" t="n"/>
      <c r="D52" s="30" t="n"/>
      <c r="E52" s="17" t="n"/>
      <c r="F52" s="33">
        <f>IF(D52="","",D52+E52)</f>
        <v/>
      </c>
      <c r="G52" s="34" t="n"/>
      <c r="H52" s="34" t="n"/>
      <c r="I52" s="35">
        <f>IF(G52="","",G52-H52)</f>
        <v/>
      </c>
      <c r="J52" s="19">
        <f>IF(OR(F52="",I52=""),"",IF(I52&lt;=0,0,MAX(0,$G$4-F52)))</f>
        <v/>
      </c>
      <c r="K52" s="19">
        <f>IF(I52="","",IF(I52&lt;=0,"PAGADA",IF(J52&gt;0,"VENCIDA","VIGENTE")))</f>
        <v/>
      </c>
    </row>
    <row r="53">
      <c r="A53" s="32" t="n">
        <v>47</v>
      </c>
      <c r="B53" s="17" t="n"/>
      <c r="C53" s="17" t="n"/>
      <c r="D53" s="30" t="n"/>
      <c r="E53" s="17" t="n"/>
      <c r="F53" s="33">
        <f>IF(D53="","",D53+E53)</f>
        <v/>
      </c>
      <c r="G53" s="34" t="n"/>
      <c r="H53" s="34" t="n"/>
      <c r="I53" s="35">
        <f>IF(G53="","",G53-H53)</f>
        <v/>
      </c>
      <c r="J53" s="19">
        <f>IF(OR(F53="",I53=""),"",IF(I53&lt;=0,0,MAX(0,$G$4-F53)))</f>
        <v/>
      </c>
      <c r="K53" s="19">
        <f>IF(I53="","",IF(I53&lt;=0,"PAGADA",IF(J53&gt;0,"VENCIDA","VIGENTE")))</f>
        <v/>
      </c>
    </row>
    <row r="54">
      <c r="A54" s="32" t="n">
        <v>48</v>
      </c>
      <c r="B54" s="17" t="n"/>
      <c r="C54" s="17" t="n"/>
      <c r="D54" s="30" t="n"/>
      <c r="E54" s="17" t="n"/>
      <c r="F54" s="33">
        <f>IF(D54="","",D54+E54)</f>
        <v/>
      </c>
      <c r="G54" s="34" t="n"/>
      <c r="H54" s="34" t="n"/>
      <c r="I54" s="35">
        <f>IF(G54="","",G54-H54)</f>
        <v/>
      </c>
      <c r="J54" s="19">
        <f>IF(OR(F54="",I54=""),"",IF(I54&lt;=0,0,MAX(0,$G$4-F54)))</f>
        <v/>
      </c>
      <c r="K54" s="19">
        <f>IF(I54="","",IF(I54&lt;=0,"PAGADA",IF(J54&gt;0,"VENCIDA","VIGENTE")))</f>
        <v/>
      </c>
    </row>
    <row r="55">
      <c r="A55" s="32" t="n">
        <v>49</v>
      </c>
      <c r="B55" s="17" t="n"/>
      <c r="C55" s="17" t="n"/>
      <c r="D55" s="30" t="n"/>
      <c r="E55" s="17" t="n"/>
      <c r="F55" s="33">
        <f>IF(D55="","",D55+E55)</f>
        <v/>
      </c>
      <c r="G55" s="34" t="n"/>
      <c r="H55" s="34" t="n"/>
      <c r="I55" s="35">
        <f>IF(G55="","",G55-H55)</f>
        <v/>
      </c>
      <c r="J55" s="19">
        <f>IF(OR(F55="",I55=""),"",IF(I55&lt;=0,0,MAX(0,$G$4-F55)))</f>
        <v/>
      </c>
      <c r="K55" s="19">
        <f>IF(I55="","",IF(I55&lt;=0,"PAGADA",IF(J55&gt;0,"VENCIDA","VIGENTE")))</f>
        <v/>
      </c>
    </row>
    <row r="56">
      <c r="A56" s="32" t="n">
        <v>50</v>
      </c>
      <c r="B56" s="17" t="n"/>
      <c r="C56" s="17" t="n"/>
      <c r="D56" s="30" t="n"/>
      <c r="E56" s="17" t="n"/>
      <c r="F56" s="33">
        <f>IF(D56="","",D56+E56)</f>
        <v/>
      </c>
      <c r="G56" s="34" t="n"/>
      <c r="H56" s="34" t="n"/>
      <c r="I56" s="35">
        <f>IF(G56="","",G56-H56)</f>
        <v/>
      </c>
      <c r="J56" s="19">
        <f>IF(OR(F56="",I56=""),"",IF(I56&lt;=0,0,MAX(0,$G$4-F56)))</f>
        <v/>
      </c>
      <c r="K56" s="19">
        <f>IF(I56="","",IF(I56&lt;=0,"PAGADA",IF(J56&gt;0,"VENCIDA","VIGENTE")))</f>
        <v/>
      </c>
    </row>
    <row r="57">
      <c r="A57" s="32" t="n">
        <v>51</v>
      </c>
      <c r="B57" s="17" t="n"/>
      <c r="C57" s="17" t="n"/>
      <c r="D57" s="30" t="n"/>
      <c r="E57" s="17" t="n"/>
      <c r="F57" s="33">
        <f>IF(D57="","",D57+E57)</f>
        <v/>
      </c>
      <c r="G57" s="34" t="n"/>
      <c r="H57" s="34" t="n"/>
      <c r="I57" s="35">
        <f>IF(G57="","",G57-H57)</f>
        <v/>
      </c>
      <c r="J57" s="19">
        <f>IF(OR(F57="",I57=""),"",IF(I57&lt;=0,0,MAX(0,$G$4-F57)))</f>
        <v/>
      </c>
      <c r="K57" s="19">
        <f>IF(I57="","",IF(I57&lt;=0,"PAGADA",IF(J57&gt;0,"VENCIDA","VIGENTE")))</f>
        <v/>
      </c>
    </row>
    <row r="58">
      <c r="A58" s="32" t="n">
        <v>52</v>
      </c>
      <c r="B58" s="17" t="n"/>
      <c r="C58" s="17" t="n"/>
      <c r="D58" s="30" t="n"/>
      <c r="E58" s="17" t="n"/>
      <c r="F58" s="33">
        <f>IF(D58="","",D58+E58)</f>
        <v/>
      </c>
      <c r="G58" s="34" t="n"/>
      <c r="H58" s="34" t="n"/>
      <c r="I58" s="35">
        <f>IF(G58="","",G58-H58)</f>
        <v/>
      </c>
      <c r="J58" s="19">
        <f>IF(OR(F58="",I58=""),"",IF(I58&lt;=0,0,MAX(0,$G$4-F58)))</f>
        <v/>
      </c>
      <c r="K58" s="19">
        <f>IF(I58="","",IF(I58&lt;=0,"PAGADA",IF(J58&gt;0,"VENCIDA","VIGENTE")))</f>
        <v/>
      </c>
    </row>
    <row r="59">
      <c r="A59" s="32" t="n">
        <v>53</v>
      </c>
      <c r="B59" s="17" t="n"/>
      <c r="C59" s="17" t="n"/>
      <c r="D59" s="30" t="n"/>
      <c r="E59" s="17" t="n"/>
      <c r="F59" s="33">
        <f>IF(D59="","",D59+E59)</f>
        <v/>
      </c>
      <c r="G59" s="34" t="n"/>
      <c r="H59" s="34" t="n"/>
      <c r="I59" s="35">
        <f>IF(G59="","",G59-H59)</f>
        <v/>
      </c>
      <c r="J59" s="19">
        <f>IF(OR(F59="",I59=""),"",IF(I59&lt;=0,0,MAX(0,$G$4-F59)))</f>
        <v/>
      </c>
      <c r="K59" s="19">
        <f>IF(I59="","",IF(I59&lt;=0,"PAGADA",IF(J59&gt;0,"VENCIDA","VIGENTE")))</f>
        <v/>
      </c>
    </row>
    <row r="60">
      <c r="A60" s="32" t="n">
        <v>54</v>
      </c>
      <c r="B60" s="17" t="n"/>
      <c r="C60" s="17" t="n"/>
      <c r="D60" s="30" t="n"/>
      <c r="E60" s="17" t="n"/>
      <c r="F60" s="33">
        <f>IF(D60="","",D60+E60)</f>
        <v/>
      </c>
      <c r="G60" s="34" t="n"/>
      <c r="H60" s="34" t="n"/>
      <c r="I60" s="35">
        <f>IF(G60="","",G60-H60)</f>
        <v/>
      </c>
      <c r="J60" s="19">
        <f>IF(OR(F60="",I60=""),"",IF(I60&lt;=0,0,MAX(0,$G$4-F60)))</f>
        <v/>
      </c>
      <c r="K60" s="19">
        <f>IF(I60="","",IF(I60&lt;=0,"PAGADA",IF(J60&gt;0,"VENCIDA","VIGENTE")))</f>
        <v/>
      </c>
    </row>
    <row r="61">
      <c r="A61" s="32" t="n">
        <v>55</v>
      </c>
      <c r="B61" s="17" t="n"/>
      <c r="C61" s="17" t="n"/>
      <c r="D61" s="30" t="n"/>
      <c r="E61" s="17" t="n"/>
      <c r="F61" s="33">
        <f>IF(D61="","",D61+E61)</f>
        <v/>
      </c>
      <c r="G61" s="34" t="n"/>
      <c r="H61" s="34" t="n"/>
      <c r="I61" s="35">
        <f>IF(G61="","",G61-H61)</f>
        <v/>
      </c>
      <c r="J61" s="19">
        <f>IF(OR(F61="",I61=""),"",IF(I61&lt;=0,0,MAX(0,$G$4-F61)))</f>
        <v/>
      </c>
      <c r="K61" s="19">
        <f>IF(I61="","",IF(I61&lt;=0,"PAGADA",IF(J61&gt;0,"VENCIDA","VIGENTE")))</f>
        <v/>
      </c>
    </row>
    <row r="62">
      <c r="A62" s="32" t="n">
        <v>56</v>
      </c>
      <c r="B62" s="17" t="n"/>
      <c r="C62" s="17" t="n"/>
      <c r="D62" s="30" t="n"/>
      <c r="E62" s="17" t="n"/>
      <c r="F62" s="33">
        <f>IF(D62="","",D62+E62)</f>
        <v/>
      </c>
      <c r="G62" s="34" t="n"/>
      <c r="H62" s="34" t="n"/>
      <c r="I62" s="35">
        <f>IF(G62="","",G62-H62)</f>
        <v/>
      </c>
      <c r="J62" s="19">
        <f>IF(OR(F62="",I62=""),"",IF(I62&lt;=0,0,MAX(0,$G$4-F62)))</f>
        <v/>
      </c>
      <c r="K62" s="19">
        <f>IF(I62="","",IF(I62&lt;=0,"PAGADA",IF(J62&gt;0,"VENCIDA","VIGENTE")))</f>
        <v/>
      </c>
    </row>
    <row r="63">
      <c r="A63" s="32" t="n">
        <v>57</v>
      </c>
      <c r="B63" s="17" t="n"/>
      <c r="C63" s="17" t="n"/>
      <c r="D63" s="30" t="n"/>
      <c r="E63" s="17" t="n"/>
      <c r="F63" s="33">
        <f>IF(D63="","",D63+E63)</f>
        <v/>
      </c>
      <c r="G63" s="34" t="n"/>
      <c r="H63" s="34" t="n"/>
      <c r="I63" s="35">
        <f>IF(G63="","",G63-H63)</f>
        <v/>
      </c>
      <c r="J63" s="19">
        <f>IF(OR(F63="",I63=""),"",IF(I63&lt;=0,0,MAX(0,$G$4-F63)))</f>
        <v/>
      </c>
      <c r="K63" s="19">
        <f>IF(I63="","",IF(I63&lt;=0,"PAGADA",IF(J63&gt;0,"VENCIDA","VIGENTE")))</f>
        <v/>
      </c>
    </row>
    <row r="64">
      <c r="A64" s="32" t="n">
        <v>58</v>
      </c>
      <c r="B64" s="17" t="n"/>
      <c r="C64" s="17" t="n"/>
      <c r="D64" s="30" t="n"/>
      <c r="E64" s="17" t="n"/>
      <c r="F64" s="33">
        <f>IF(D64="","",D64+E64)</f>
        <v/>
      </c>
      <c r="G64" s="34" t="n"/>
      <c r="H64" s="34" t="n"/>
      <c r="I64" s="35">
        <f>IF(G64="","",G64-H64)</f>
        <v/>
      </c>
      <c r="J64" s="19">
        <f>IF(OR(F64="",I64=""),"",IF(I64&lt;=0,0,MAX(0,$G$4-F64)))</f>
        <v/>
      </c>
      <c r="K64" s="19">
        <f>IF(I64="","",IF(I64&lt;=0,"PAGADA",IF(J64&gt;0,"VENCIDA","VIGENTE")))</f>
        <v/>
      </c>
    </row>
    <row r="65">
      <c r="A65" s="32" t="n">
        <v>59</v>
      </c>
      <c r="B65" s="17" t="n"/>
      <c r="C65" s="17" t="n"/>
      <c r="D65" s="30" t="n"/>
      <c r="E65" s="17" t="n"/>
      <c r="F65" s="33">
        <f>IF(D65="","",D65+E65)</f>
        <v/>
      </c>
      <c r="G65" s="34" t="n"/>
      <c r="H65" s="34" t="n"/>
      <c r="I65" s="35">
        <f>IF(G65="","",G65-H65)</f>
        <v/>
      </c>
      <c r="J65" s="19">
        <f>IF(OR(F65="",I65=""),"",IF(I65&lt;=0,0,MAX(0,$G$4-F65)))</f>
        <v/>
      </c>
      <c r="K65" s="19">
        <f>IF(I65="","",IF(I65&lt;=0,"PAGADA",IF(J65&gt;0,"VENCIDA","VIGENTE")))</f>
        <v/>
      </c>
    </row>
    <row r="66">
      <c r="A66" s="32" t="n">
        <v>60</v>
      </c>
      <c r="B66" s="17" t="n"/>
      <c r="C66" s="17" t="n"/>
      <c r="D66" s="30" t="n"/>
      <c r="E66" s="17" t="n"/>
      <c r="F66" s="33">
        <f>IF(D66="","",D66+E66)</f>
        <v/>
      </c>
      <c r="G66" s="34" t="n"/>
      <c r="H66" s="34" t="n"/>
      <c r="I66" s="35">
        <f>IF(G66="","",G66-H66)</f>
        <v/>
      </c>
      <c r="J66" s="19">
        <f>IF(OR(F66="",I66=""),"",IF(I66&lt;=0,0,MAX(0,$G$4-F66)))</f>
        <v/>
      </c>
      <c r="K66" s="19">
        <f>IF(I66="","",IF(I66&lt;=0,"PAGADA",IF(J66&gt;0,"VENCIDA","VIGENTE")))</f>
        <v/>
      </c>
    </row>
    <row r="67">
      <c r="A67" s="32" t="n">
        <v>61</v>
      </c>
      <c r="B67" s="17" t="n"/>
      <c r="C67" s="17" t="n"/>
      <c r="D67" s="30" t="n"/>
      <c r="E67" s="17" t="n"/>
      <c r="F67" s="33">
        <f>IF(D67="","",D67+E67)</f>
        <v/>
      </c>
      <c r="G67" s="34" t="n"/>
      <c r="H67" s="34" t="n"/>
      <c r="I67" s="35">
        <f>IF(G67="","",G67-H67)</f>
        <v/>
      </c>
      <c r="J67" s="19">
        <f>IF(OR(F67="",I67=""),"",IF(I67&lt;=0,0,MAX(0,$G$4-F67)))</f>
        <v/>
      </c>
      <c r="K67" s="19">
        <f>IF(I67="","",IF(I67&lt;=0,"PAGADA",IF(J67&gt;0,"VENCIDA","VIGENTE")))</f>
        <v/>
      </c>
    </row>
    <row r="68">
      <c r="A68" s="32" t="n">
        <v>62</v>
      </c>
      <c r="B68" s="17" t="n"/>
      <c r="C68" s="17" t="n"/>
      <c r="D68" s="30" t="n"/>
      <c r="E68" s="17" t="n"/>
      <c r="F68" s="33">
        <f>IF(D68="","",D68+E68)</f>
        <v/>
      </c>
      <c r="G68" s="34" t="n"/>
      <c r="H68" s="34" t="n"/>
      <c r="I68" s="35">
        <f>IF(G68="","",G68-H68)</f>
        <v/>
      </c>
      <c r="J68" s="19">
        <f>IF(OR(F68="",I68=""),"",IF(I68&lt;=0,0,MAX(0,$G$4-F68)))</f>
        <v/>
      </c>
      <c r="K68" s="19">
        <f>IF(I68="","",IF(I68&lt;=0,"PAGADA",IF(J68&gt;0,"VENCIDA","VIGENTE")))</f>
        <v/>
      </c>
    </row>
    <row r="69">
      <c r="A69" s="32" t="n">
        <v>63</v>
      </c>
      <c r="B69" s="17" t="n"/>
      <c r="C69" s="17" t="n"/>
      <c r="D69" s="30" t="n"/>
      <c r="E69" s="17" t="n"/>
      <c r="F69" s="33">
        <f>IF(D69="","",D69+E69)</f>
        <v/>
      </c>
      <c r="G69" s="34" t="n"/>
      <c r="H69" s="34" t="n"/>
      <c r="I69" s="35">
        <f>IF(G69="","",G69-H69)</f>
        <v/>
      </c>
      <c r="J69" s="19">
        <f>IF(OR(F69="",I69=""),"",IF(I69&lt;=0,0,MAX(0,$G$4-F69)))</f>
        <v/>
      </c>
      <c r="K69" s="19">
        <f>IF(I69="","",IF(I69&lt;=0,"PAGADA",IF(J69&gt;0,"VENCIDA","VIGENTE")))</f>
        <v/>
      </c>
    </row>
    <row r="70">
      <c r="A70" s="32" t="n">
        <v>64</v>
      </c>
      <c r="B70" s="17" t="n"/>
      <c r="C70" s="17" t="n"/>
      <c r="D70" s="30" t="n"/>
      <c r="E70" s="17" t="n"/>
      <c r="F70" s="33">
        <f>IF(D70="","",D70+E70)</f>
        <v/>
      </c>
      <c r="G70" s="34" t="n"/>
      <c r="H70" s="34" t="n"/>
      <c r="I70" s="35">
        <f>IF(G70="","",G70-H70)</f>
        <v/>
      </c>
      <c r="J70" s="19">
        <f>IF(OR(F70="",I70=""),"",IF(I70&lt;=0,0,MAX(0,$G$4-F70)))</f>
        <v/>
      </c>
      <c r="K70" s="19">
        <f>IF(I70="","",IF(I70&lt;=0,"PAGADA",IF(J70&gt;0,"VENCIDA","VIGENTE")))</f>
        <v/>
      </c>
    </row>
    <row r="71">
      <c r="A71" s="32" t="n">
        <v>65</v>
      </c>
      <c r="B71" s="17" t="n"/>
      <c r="C71" s="17" t="n"/>
      <c r="D71" s="30" t="n"/>
      <c r="E71" s="17" t="n"/>
      <c r="F71" s="33">
        <f>IF(D71="","",D71+E71)</f>
        <v/>
      </c>
      <c r="G71" s="34" t="n"/>
      <c r="H71" s="34" t="n"/>
      <c r="I71" s="35">
        <f>IF(G71="","",G71-H71)</f>
        <v/>
      </c>
      <c r="J71" s="19">
        <f>IF(OR(F71="",I71=""),"",IF(I71&lt;=0,0,MAX(0,$G$4-F71)))</f>
        <v/>
      </c>
      <c r="K71" s="19">
        <f>IF(I71="","",IF(I71&lt;=0,"PAGADA",IF(J71&gt;0,"VENCIDA","VIGENTE")))</f>
        <v/>
      </c>
    </row>
    <row r="72">
      <c r="A72" s="32" t="n">
        <v>66</v>
      </c>
      <c r="B72" s="17" t="n"/>
      <c r="C72" s="17" t="n"/>
      <c r="D72" s="30" t="n"/>
      <c r="E72" s="17" t="n"/>
      <c r="F72" s="33">
        <f>IF(D72="","",D72+E72)</f>
        <v/>
      </c>
      <c r="G72" s="34" t="n"/>
      <c r="H72" s="34" t="n"/>
      <c r="I72" s="35">
        <f>IF(G72="","",G72-H72)</f>
        <v/>
      </c>
      <c r="J72" s="19">
        <f>IF(OR(F72="",I72=""),"",IF(I72&lt;=0,0,MAX(0,$G$4-F72)))</f>
        <v/>
      </c>
      <c r="K72" s="19">
        <f>IF(I72="","",IF(I72&lt;=0,"PAGADA",IF(J72&gt;0,"VENCIDA","VIGENTE")))</f>
        <v/>
      </c>
    </row>
    <row r="73">
      <c r="A73" s="32" t="n">
        <v>67</v>
      </c>
      <c r="B73" s="17" t="n"/>
      <c r="C73" s="17" t="n"/>
      <c r="D73" s="30" t="n"/>
      <c r="E73" s="17" t="n"/>
      <c r="F73" s="33">
        <f>IF(D73="","",D73+E73)</f>
        <v/>
      </c>
      <c r="G73" s="34" t="n"/>
      <c r="H73" s="34" t="n"/>
      <c r="I73" s="35">
        <f>IF(G73="","",G73-H73)</f>
        <v/>
      </c>
      <c r="J73" s="19">
        <f>IF(OR(F73="",I73=""),"",IF(I73&lt;=0,0,MAX(0,$G$4-F73)))</f>
        <v/>
      </c>
      <c r="K73" s="19">
        <f>IF(I73="","",IF(I73&lt;=0,"PAGADA",IF(J73&gt;0,"VENCIDA","VIGENTE")))</f>
        <v/>
      </c>
    </row>
    <row r="74">
      <c r="A74" s="32" t="n">
        <v>68</v>
      </c>
      <c r="B74" s="17" t="n"/>
      <c r="C74" s="17" t="n"/>
      <c r="D74" s="30" t="n"/>
      <c r="E74" s="17" t="n"/>
      <c r="F74" s="33">
        <f>IF(D74="","",D74+E74)</f>
        <v/>
      </c>
      <c r="G74" s="34" t="n"/>
      <c r="H74" s="34" t="n"/>
      <c r="I74" s="35">
        <f>IF(G74="","",G74-H74)</f>
        <v/>
      </c>
      <c r="J74" s="19">
        <f>IF(OR(F74="",I74=""),"",IF(I74&lt;=0,0,MAX(0,$G$4-F74)))</f>
        <v/>
      </c>
      <c r="K74" s="19">
        <f>IF(I74="","",IF(I74&lt;=0,"PAGADA",IF(J74&gt;0,"VENCIDA","VIGENTE")))</f>
        <v/>
      </c>
    </row>
    <row r="75">
      <c r="A75" s="32" t="n">
        <v>69</v>
      </c>
      <c r="B75" s="17" t="n"/>
      <c r="C75" s="17" t="n"/>
      <c r="D75" s="30" t="n"/>
      <c r="E75" s="17" t="n"/>
      <c r="F75" s="33">
        <f>IF(D75="","",D75+E75)</f>
        <v/>
      </c>
      <c r="G75" s="34" t="n"/>
      <c r="H75" s="34" t="n"/>
      <c r="I75" s="35">
        <f>IF(G75="","",G75-H75)</f>
        <v/>
      </c>
      <c r="J75" s="19">
        <f>IF(OR(F75="",I75=""),"",IF(I75&lt;=0,0,MAX(0,$G$4-F75)))</f>
        <v/>
      </c>
      <c r="K75" s="19">
        <f>IF(I75="","",IF(I75&lt;=0,"PAGADA",IF(J75&gt;0,"VENCIDA","VIGENTE")))</f>
        <v/>
      </c>
    </row>
    <row r="76">
      <c r="A76" s="32" t="n">
        <v>70</v>
      </c>
      <c r="B76" s="17" t="n"/>
      <c r="C76" s="17" t="n"/>
      <c r="D76" s="30" t="n"/>
      <c r="E76" s="17" t="n"/>
      <c r="F76" s="33">
        <f>IF(D76="","",D76+E76)</f>
        <v/>
      </c>
      <c r="G76" s="34" t="n"/>
      <c r="H76" s="34" t="n"/>
      <c r="I76" s="35">
        <f>IF(G76="","",G76-H76)</f>
        <v/>
      </c>
      <c r="J76" s="19">
        <f>IF(OR(F76="",I76=""),"",IF(I76&lt;=0,0,MAX(0,$G$4-F76)))</f>
        <v/>
      </c>
      <c r="K76" s="19">
        <f>IF(I76="","",IF(I76&lt;=0,"PAGADA",IF(J76&gt;0,"VENCIDA","VIGENTE")))</f>
        <v/>
      </c>
    </row>
    <row r="77">
      <c r="A77" s="32" t="n">
        <v>71</v>
      </c>
      <c r="B77" s="17" t="n"/>
      <c r="C77" s="17" t="n"/>
      <c r="D77" s="30" t="n"/>
      <c r="E77" s="17" t="n"/>
      <c r="F77" s="33">
        <f>IF(D77="","",D77+E77)</f>
        <v/>
      </c>
      <c r="G77" s="34" t="n"/>
      <c r="H77" s="34" t="n"/>
      <c r="I77" s="35">
        <f>IF(G77="","",G77-H77)</f>
        <v/>
      </c>
      <c r="J77" s="19">
        <f>IF(OR(F77="",I77=""),"",IF(I77&lt;=0,0,MAX(0,$G$4-F77)))</f>
        <v/>
      </c>
      <c r="K77" s="19">
        <f>IF(I77="","",IF(I77&lt;=0,"PAGADA",IF(J77&gt;0,"VENCIDA","VIGENTE")))</f>
        <v/>
      </c>
    </row>
    <row r="78">
      <c r="A78" s="32" t="n">
        <v>72</v>
      </c>
      <c r="B78" s="17" t="n"/>
      <c r="C78" s="17" t="n"/>
      <c r="D78" s="30" t="n"/>
      <c r="E78" s="17" t="n"/>
      <c r="F78" s="33">
        <f>IF(D78="","",D78+E78)</f>
        <v/>
      </c>
      <c r="G78" s="34" t="n"/>
      <c r="H78" s="34" t="n"/>
      <c r="I78" s="35">
        <f>IF(G78="","",G78-H78)</f>
        <v/>
      </c>
      <c r="J78" s="19">
        <f>IF(OR(F78="",I78=""),"",IF(I78&lt;=0,0,MAX(0,$G$4-F78)))</f>
        <v/>
      </c>
      <c r="K78" s="19">
        <f>IF(I78="","",IF(I78&lt;=0,"PAGADA",IF(J78&gt;0,"VENCIDA","VIGENTE")))</f>
        <v/>
      </c>
    </row>
    <row r="79">
      <c r="A79" s="32" t="n">
        <v>73</v>
      </c>
      <c r="B79" s="17" t="n"/>
      <c r="C79" s="17" t="n"/>
      <c r="D79" s="30" t="n"/>
      <c r="E79" s="17" t="n"/>
      <c r="F79" s="33">
        <f>IF(D79="","",D79+E79)</f>
        <v/>
      </c>
      <c r="G79" s="34" t="n"/>
      <c r="H79" s="34" t="n"/>
      <c r="I79" s="35">
        <f>IF(G79="","",G79-H79)</f>
        <v/>
      </c>
      <c r="J79" s="19">
        <f>IF(OR(F79="",I79=""),"",IF(I79&lt;=0,0,MAX(0,$G$4-F79)))</f>
        <v/>
      </c>
      <c r="K79" s="19">
        <f>IF(I79="","",IF(I79&lt;=0,"PAGADA",IF(J79&gt;0,"VENCIDA","VIGENTE")))</f>
        <v/>
      </c>
    </row>
    <row r="80">
      <c r="A80" s="32" t="n">
        <v>74</v>
      </c>
      <c r="B80" s="17" t="n"/>
      <c r="C80" s="17" t="n"/>
      <c r="D80" s="30" t="n"/>
      <c r="E80" s="17" t="n"/>
      <c r="F80" s="33">
        <f>IF(D80="","",D80+E80)</f>
        <v/>
      </c>
      <c r="G80" s="34" t="n"/>
      <c r="H80" s="34" t="n"/>
      <c r="I80" s="35">
        <f>IF(G80="","",G80-H80)</f>
        <v/>
      </c>
      <c r="J80" s="19">
        <f>IF(OR(F80="",I80=""),"",IF(I80&lt;=0,0,MAX(0,$G$4-F80)))</f>
        <v/>
      </c>
      <c r="K80" s="19">
        <f>IF(I80="","",IF(I80&lt;=0,"PAGADA",IF(J80&gt;0,"VENCIDA","VIGENTE")))</f>
        <v/>
      </c>
    </row>
    <row r="81">
      <c r="A81" s="32" t="n">
        <v>75</v>
      </c>
      <c r="B81" s="17" t="n"/>
      <c r="C81" s="17" t="n"/>
      <c r="D81" s="30" t="n"/>
      <c r="E81" s="17" t="n"/>
      <c r="F81" s="33">
        <f>IF(D81="","",D81+E81)</f>
        <v/>
      </c>
      <c r="G81" s="34" t="n"/>
      <c r="H81" s="34" t="n"/>
      <c r="I81" s="35">
        <f>IF(G81="","",G81-H81)</f>
        <v/>
      </c>
      <c r="J81" s="19">
        <f>IF(OR(F81="",I81=""),"",IF(I81&lt;=0,0,MAX(0,$G$4-F81)))</f>
        <v/>
      </c>
      <c r="K81" s="19">
        <f>IF(I81="","",IF(I81&lt;=0,"PAGADA",IF(J81&gt;0,"VENCIDA","VIGENTE")))</f>
        <v/>
      </c>
    </row>
    <row r="82">
      <c r="A82" s="32" t="n">
        <v>76</v>
      </c>
      <c r="B82" s="17" t="n"/>
      <c r="C82" s="17" t="n"/>
      <c r="D82" s="30" t="n"/>
      <c r="E82" s="17" t="n"/>
      <c r="F82" s="33">
        <f>IF(D82="","",D82+E82)</f>
        <v/>
      </c>
      <c r="G82" s="34" t="n"/>
      <c r="H82" s="34" t="n"/>
      <c r="I82" s="35">
        <f>IF(G82="","",G82-H82)</f>
        <v/>
      </c>
      <c r="J82" s="19">
        <f>IF(OR(F82="",I82=""),"",IF(I82&lt;=0,0,MAX(0,$G$4-F82)))</f>
        <v/>
      </c>
      <c r="K82" s="19">
        <f>IF(I82="","",IF(I82&lt;=0,"PAGADA",IF(J82&gt;0,"VENCIDA","VIGENTE")))</f>
        <v/>
      </c>
    </row>
    <row r="83">
      <c r="A83" s="32" t="n">
        <v>77</v>
      </c>
      <c r="B83" s="17" t="n"/>
      <c r="C83" s="17" t="n"/>
      <c r="D83" s="30" t="n"/>
      <c r="E83" s="17" t="n"/>
      <c r="F83" s="33">
        <f>IF(D83="","",D83+E83)</f>
        <v/>
      </c>
      <c r="G83" s="34" t="n"/>
      <c r="H83" s="34" t="n"/>
      <c r="I83" s="35">
        <f>IF(G83="","",G83-H83)</f>
        <v/>
      </c>
      <c r="J83" s="19">
        <f>IF(OR(F83="",I83=""),"",IF(I83&lt;=0,0,MAX(0,$G$4-F83)))</f>
        <v/>
      </c>
      <c r="K83" s="19">
        <f>IF(I83="","",IF(I83&lt;=0,"PAGADA",IF(J83&gt;0,"VENCIDA","VIGENTE")))</f>
        <v/>
      </c>
    </row>
    <row r="84">
      <c r="A84" s="32" t="n">
        <v>78</v>
      </c>
      <c r="B84" s="17" t="n"/>
      <c r="C84" s="17" t="n"/>
      <c r="D84" s="30" t="n"/>
      <c r="E84" s="17" t="n"/>
      <c r="F84" s="33">
        <f>IF(D84="","",D84+E84)</f>
        <v/>
      </c>
      <c r="G84" s="34" t="n"/>
      <c r="H84" s="34" t="n"/>
      <c r="I84" s="35">
        <f>IF(G84="","",G84-H84)</f>
        <v/>
      </c>
      <c r="J84" s="19">
        <f>IF(OR(F84="",I84=""),"",IF(I84&lt;=0,0,MAX(0,$G$4-F84)))</f>
        <v/>
      </c>
      <c r="K84" s="19">
        <f>IF(I84="","",IF(I84&lt;=0,"PAGADA",IF(J84&gt;0,"VENCIDA","VIGENTE")))</f>
        <v/>
      </c>
    </row>
    <row r="85">
      <c r="A85" s="32" t="n">
        <v>79</v>
      </c>
      <c r="B85" s="17" t="n"/>
      <c r="C85" s="17" t="n"/>
      <c r="D85" s="30" t="n"/>
      <c r="E85" s="17" t="n"/>
      <c r="F85" s="33">
        <f>IF(D85="","",D85+E85)</f>
        <v/>
      </c>
      <c r="G85" s="34" t="n"/>
      <c r="H85" s="34" t="n"/>
      <c r="I85" s="35">
        <f>IF(G85="","",G85-H85)</f>
        <v/>
      </c>
      <c r="J85" s="19">
        <f>IF(OR(F85="",I85=""),"",IF(I85&lt;=0,0,MAX(0,$G$4-F85)))</f>
        <v/>
      </c>
      <c r="K85" s="19">
        <f>IF(I85="","",IF(I85&lt;=0,"PAGADA",IF(J85&gt;0,"VENCIDA","VIGENTE")))</f>
        <v/>
      </c>
    </row>
    <row r="86">
      <c r="A86" s="32" t="n">
        <v>80</v>
      </c>
      <c r="B86" s="17" t="n"/>
      <c r="C86" s="17" t="n"/>
      <c r="D86" s="30" t="n"/>
      <c r="E86" s="17" t="n"/>
      <c r="F86" s="33">
        <f>IF(D86="","",D86+E86)</f>
        <v/>
      </c>
      <c r="G86" s="34" t="n"/>
      <c r="H86" s="34" t="n"/>
      <c r="I86" s="35">
        <f>IF(G86="","",G86-H86)</f>
        <v/>
      </c>
      <c r="J86" s="19">
        <f>IF(OR(F86="",I86=""),"",IF(I86&lt;=0,0,MAX(0,$G$4-F86)))</f>
        <v/>
      </c>
      <c r="K86" s="19">
        <f>IF(I86="","",IF(I86&lt;=0,"PAGADA",IF(J86&gt;0,"VENCIDA","VIGENTE")))</f>
        <v/>
      </c>
    </row>
    <row r="87">
      <c r="A87" s="32" t="n">
        <v>81</v>
      </c>
      <c r="B87" s="17" t="n"/>
      <c r="C87" s="17" t="n"/>
      <c r="D87" s="30" t="n"/>
      <c r="E87" s="17" t="n"/>
      <c r="F87" s="33">
        <f>IF(D87="","",D87+E87)</f>
        <v/>
      </c>
      <c r="G87" s="34" t="n"/>
      <c r="H87" s="34" t="n"/>
      <c r="I87" s="35">
        <f>IF(G87="","",G87-H87)</f>
        <v/>
      </c>
      <c r="J87" s="19">
        <f>IF(OR(F87="",I87=""),"",IF(I87&lt;=0,0,MAX(0,$G$4-F87)))</f>
        <v/>
      </c>
      <c r="K87" s="19">
        <f>IF(I87="","",IF(I87&lt;=0,"PAGADA",IF(J87&gt;0,"VENCIDA","VIGENTE")))</f>
        <v/>
      </c>
    </row>
    <row r="88">
      <c r="A88" s="32" t="n">
        <v>82</v>
      </c>
      <c r="B88" s="17" t="n"/>
      <c r="C88" s="17" t="n"/>
      <c r="D88" s="30" t="n"/>
      <c r="E88" s="17" t="n"/>
      <c r="F88" s="33">
        <f>IF(D88="","",D88+E88)</f>
        <v/>
      </c>
      <c r="G88" s="34" t="n"/>
      <c r="H88" s="34" t="n"/>
      <c r="I88" s="35">
        <f>IF(G88="","",G88-H88)</f>
        <v/>
      </c>
      <c r="J88" s="19">
        <f>IF(OR(F88="",I88=""),"",IF(I88&lt;=0,0,MAX(0,$G$4-F88)))</f>
        <v/>
      </c>
      <c r="K88" s="19">
        <f>IF(I88="","",IF(I88&lt;=0,"PAGADA",IF(J88&gt;0,"VENCIDA","VIGENTE")))</f>
        <v/>
      </c>
    </row>
    <row r="89">
      <c r="A89" s="32" t="n">
        <v>83</v>
      </c>
      <c r="B89" s="17" t="n"/>
      <c r="C89" s="17" t="n"/>
      <c r="D89" s="30" t="n"/>
      <c r="E89" s="17" t="n"/>
      <c r="F89" s="33">
        <f>IF(D89="","",D89+E89)</f>
        <v/>
      </c>
      <c r="G89" s="34" t="n"/>
      <c r="H89" s="34" t="n"/>
      <c r="I89" s="35">
        <f>IF(G89="","",G89-H89)</f>
        <v/>
      </c>
      <c r="J89" s="19">
        <f>IF(OR(F89="",I89=""),"",IF(I89&lt;=0,0,MAX(0,$G$4-F89)))</f>
        <v/>
      </c>
      <c r="K89" s="19">
        <f>IF(I89="","",IF(I89&lt;=0,"PAGADA",IF(J89&gt;0,"VENCIDA","VIGENTE")))</f>
        <v/>
      </c>
    </row>
    <row r="90">
      <c r="A90" s="32" t="n">
        <v>84</v>
      </c>
      <c r="B90" s="17" t="n"/>
      <c r="C90" s="17" t="n"/>
      <c r="D90" s="30" t="n"/>
      <c r="E90" s="17" t="n"/>
      <c r="F90" s="33">
        <f>IF(D90="","",D90+E90)</f>
        <v/>
      </c>
      <c r="G90" s="34" t="n"/>
      <c r="H90" s="34" t="n"/>
      <c r="I90" s="35">
        <f>IF(G90="","",G90-H90)</f>
        <v/>
      </c>
      <c r="J90" s="19">
        <f>IF(OR(F90="",I90=""),"",IF(I90&lt;=0,0,MAX(0,$G$4-F90)))</f>
        <v/>
      </c>
      <c r="K90" s="19">
        <f>IF(I90="","",IF(I90&lt;=0,"PAGADA",IF(J90&gt;0,"VENCIDA","VIGENTE")))</f>
        <v/>
      </c>
    </row>
    <row r="91">
      <c r="A91" s="32" t="n">
        <v>85</v>
      </c>
      <c r="B91" s="17" t="n"/>
      <c r="C91" s="17" t="n"/>
      <c r="D91" s="30" t="n"/>
      <c r="E91" s="17" t="n"/>
      <c r="F91" s="33">
        <f>IF(D91="","",D91+E91)</f>
        <v/>
      </c>
      <c r="G91" s="34" t="n"/>
      <c r="H91" s="34" t="n"/>
      <c r="I91" s="35">
        <f>IF(G91="","",G91-H91)</f>
        <v/>
      </c>
      <c r="J91" s="19">
        <f>IF(OR(F91="",I91=""),"",IF(I91&lt;=0,0,MAX(0,$G$4-F91)))</f>
        <v/>
      </c>
      <c r="K91" s="19">
        <f>IF(I91="","",IF(I91&lt;=0,"PAGADA",IF(J91&gt;0,"VENCIDA","VIGENTE")))</f>
        <v/>
      </c>
    </row>
    <row r="92">
      <c r="A92" s="32" t="n">
        <v>86</v>
      </c>
      <c r="B92" s="17" t="n"/>
      <c r="C92" s="17" t="n"/>
      <c r="D92" s="30" t="n"/>
      <c r="E92" s="17" t="n"/>
      <c r="F92" s="33">
        <f>IF(D92="","",D92+E92)</f>
        <v/>
      </c>
      <c r="G92" s="34" t="n"/>
      <c r="H92" s="34" t="n"/>
      <c r="I92" s="35">
        <f>IF(G92="","",G92-H92)</f>
        <v/>
      </c>
      <c r="J92" s="19">
        <f>IF(OR(F92="",I92=""),"",IF(I92&lt;=0,0,MAX(0,$G$4-F92)))</f>
        <v/>
      </c>
      <c r="K92" s="19">
        <f>IF(I92="","",IF(I92&lt;=0,"PAGADA",IF(J92&gt;0,"VENCIDA","VIGENTE")))</f>
        <v/>
      </c>
    </row>
    <row r="93">
      <c r="A93" s="32" t="n">
        <v>87</v>
      </c>
      <c r="B93" s="17" t="n"/>
      <c r="C93" s="17" t="n"/>
      <c r="D93" s="30" t="n"/>
      <c r="E93" s="17" t="n"/>
      <c r="F93" s="33">
        <f>IF(D93="","",D93+E93)</f>
        <v/>
      </c>
      <c r="G93" s="34" t="n"/>
      <c r="H93" s="34" t="n"/>
      <c r="I93" s="35">
        <f>IF(G93="","",G93-H93)</f>
        <v/>
      </c>
      <c r="J93" s="19">
        <f>IF(OR(F93="",I93=""),"",IF(I93&lt;=0,0,MAX(0,$G$4-F93)))</f>
        <v/>
      </c>
      <c r="K93" s="19">
        <f>IF(I93="","",IF(I93&lt;=0,"PAGADA",IF(J93&gt;0,"VENCIDA","VIGENTE")))</f>
        <v/>
      </c>
    </row>
    <row r="94">
      <c r="A94" s="32" t="n">
        <v>88</v>
      </c>
      <c r="B94" s="17" t="n"/>
      <c r="C94" s="17" t="n"/>
      <c r="D94" s="30" t="n"/>
      <c r="E94" s="17" t="n"/>
      <c r="F94" s="33">
        <f>IF(D94="","",D94+E94)</f>
        <v/>
      </c>
      <c r="G94" s="34" t="n"/>
      <c r="H94" s="34" t="n"/>
      <c r="I94" s="35">
        <f>IF(G94="","",G94-H94)</f>
        <v/>
      </c>
      <c r="J94" s="19">
        <f>IF(OR(F94="",I94=""),"",IF(I94&lt;=0,0,MAX(0,$G$4-F94)))</f>
        <v/>
      </c>
      <c r="K94" s="19">
        <f>IF(I94="","",IF(I94&lt;=0,"PAGADA",IF(J94&gt;0,"VENCIDA","VIGENTE")))</f>
        <v/>
      </c>
    </row>
    <row r="95">
      <c r="A95" s="32" t="n">
        <v>89</v>
      </c>
      <c r="B95" s="17" t="n"/>
      <c r="C95" s="17" t="n"/>
      <c r="D95" s="30" t="n"/>
      <c r="E95" s="17" t="n"/>
      <c r="F95" s="33">
        <f>IF(D95="","",D95+E95)</f>
        <v/>
      </c>
      <c r="G95" s="34" t="n"/>
      <c r="H95" s="34" t="n"/>
      <c r="I95" s="35">
        <f>IF(G95="","",G95-H95)</f>
        <v/>
      </c>
      <c r="J95" s="19">
        <f>IF(OR(F95="",I95=""),"",IF(I95&lt;=0,0,MAX(0,$G$4-F95)))</f>
        <v/>
      </c>
      <c r="K95" s="19">
        <f>IF(I95="","",IF(I95&lt;=0,"PAGADA",IF(J95&gt;0,"VENCIDA","VIGENTE")))</f>
        <v/>
      </c>
    </row>
    <row r="96">
      <c r="A96" s="32" t="n">
        <v>90</v>
      </c>
      <c r="B96" s="17" t="n"/>
      <c r="C96" s="17" t="n"/>
      <c r="D96" s="30" t="n"/>
      <c r="E96" s="17" t="n"/>
      <c r="F96" s="33">
        <f>IF(D96="","",D96+E96)</f>
        <v/>
      </c>
      <c r="G96" s="34" t="n"/>
      <c r="H96" s="34" t="n"/>
      <c r="I96" s="35">
        <f>IF(G96="","",G96-H96)</f>
        <v/>
      </c>
      <c r="J96" s="19">
        <f>IF(OR(F96="",I96=""),"",IF(I96&lt;=0,0,MAX(0,$G$4-F96)))</f>
        <v/>
      </c>
      <c r="K96" s="19">
        <f>IF(I96="","",IF(I96&lt;=0,"PAGADA",IF(J96&gt;0,"VENCIDA","VIGENTE")))</f>
        <v/>
      </c>
    </row>
    <row r="97">
      <c r="A97" s="32" t="n">
        <v>91</v>
      </c>
      <c r="B97" s="17" t="n"/>
      <c r="C97" s="17" t="n"/>
      <c r="D97" s="30" t="n"/>
      <c r="E97" s="17" t="n"/>
      <c r="F97" s="33">
        <f>IF(D97="","",D97+E97)</f>
        <v/>
      </c>
      <c r="G97" s="34" t="n"/>
      <c r="H97" s="34" t="n"/>
      <c r="I97" s="35">
        <f>IF(G97="","",G97-H97)</f>
        <v/>
      </c>
      <c r="J97" s="19">
        <f>IF(OR(F97="",I97=""),"",IF(I97&lt;=0,0,MAX(0,$G$4-F97)))</f>
        <v/>
      </c>
      <c r="K97" s="19">
        <f>IF(I97="","",IF(I97&lt;=0,"PAGADA",IF(J97&gt;0,"VENCIDA","VIGENTE")))</f>
        <v/>
      </c>
    </row>
    <row r="98">
      <c r="A98" s="32" t="n">
        <v>92</v>
      </c>
      <c r="B98" s="17" t="n"/>
      <c r="C98" s="17" t="n"/>
      <c r="D98" s="30" t="n"/>
      <c r="E98" s="17" t="n"/>
      <c r="F98" s="33">
        <f>IF(D98="","",D98+E98)</f>
        <v/>
      </c>
      <c r="G98" s="34" t="n"/>
      <c r="H98" s="34" t="n"/>
      <c r="I98" s="35">
        <f>IF(G98="","",G98-H98)</f>
        <v/>
      </c>
      <c r="J98" s="19">
        <f>IF(OR(F98="",I98=""),"",IF(I98&lt;=0,0,MAX(0,$G$4-F98)))</f>
        <v/>
      </c>
      <c r="K98" s="19">
        <f>IF(I98="","",IF(I98&lt;=0,"PAGADA",IF(J98&gt;0,"VENCIDA","VIGENTE")))</f>
        <v/>
      </c>
    </row>
    <row r="99">
      <c r="A99" s="32" t="n">
        <v>93</v>
      </c>
      <c r="B99" s="17" t="n"/>
      <c r="C99" s="17" t="n"/>
      <c r="D99" s="30" t="n"/>
      <c r="E99" s="17" t="n"/>
      <c r="F99" s="33">
        <f>IF(D99="","",D99+E99)</f>
        <v/>
      </c>
      <c r="G99" s="34" t="n"/>
      <c r="H99" s="34" t="n"/>
      <c r="I99" s="35">
        <f>IF(G99="","",G99-H99)</f>
        <v/>
      </c>
      <c r="J99" s="19">
        <f>IF(OR(F99="",I99=""),"",IF(I99&lt;=0,0,MAX(0,$G$4-F99)))</f>
        <v/>
      </c>
      <c r="K99" s="19">
        <f>IF(I99="","",IF(I99&lt;=0,"PAGADA",IF(J99&gt;0,"VENCIDA","VIGENTE")))</f>
        <v/>
      </c>
    </row>
    <row r="100">
      <c r="A100" s="32" t="n">
        <v>94</v>
      </c>
      <c r="B100" s="17" t="n"/>
      <c r="C100" s="17" t="n"/>
      <c r="D100" s="30" t="n"/>
      <c r="E100" s="17" t="n"/>
      <c r="F100" s="33">
        <f>IF(D100="","",D100+E100)</f>
        <v/>
      </c>
      <c r="G100" s="34" t="n"/>
      <c r="H100" s="34" t="n"/>
      <c r="I100" s="35">
        <f>IF(G100="","",G100-H100)</f>
        <v/>
      </c>
      <c r="J100" s="19">
        <f>IF(OR(F100="",I100=""),"",IF(I100&lt;=0,0,MAX(0,$G$4-F100)))</f>
        <v/>
      </c>
      <c r="K100" s="19">
        <f>IF(I100="","",IF(I100&lt;=0,"PAGADA",IF(J100&gt;0,"VENCIDA","VIGENTE")))</f>
        <v/>
      </c>
    </row>
    <row r="101">
      <c r="A101" s="32" t="n">
        <v>95</v>
      </c>
      <c r="B101" s="17" t="n"/>
      <c r="C101" s="17" t="n"/>
      <c r="D101" s="30" t="n"/>
      <c r="E101" s="17" t="n"/>
      <c r="F101" s="33">
        <f>IF(D101="","",D101+E101)</f>
        <v/>
      </c>
      <c r="G101" s="34" t="n"/>
      <c r="H101" s="34" t="n"/>
      <c r="I101" s="35">
        <f>IF(G101="","",G101-H101)</f>
        <v/>
      </c>
      <c r="J101" s="19">
        <f>IF(OR(F101="",I101=""),"",IF(I101&lt;=0,0,MAX(0,$G$4-F101)))</f>
        <v/>
      </c>
      <c r="K101" s="19">
        <f>IF(I101="","",IF(I101&lt;=0,"PAGADA",IF(J101&gt;0,"VENCIDA","VIGENTE")))</f>
        <v/>
      </c>
    </row>
    <row r="102">
      <c r="A102" s="32" t="n">
        <v>96</v>
      </c>
      <c r="B102" s="17" t="n"/>
      <c r="C102" s="17" t="n"/>
      <c r="D102" s="30" t="n"/>
      <c r="E102" s="17" t="n"/>
      <c r="F102" s="33">
        <f>IF(D102="","",D102+E102)</f>
        <v/>
      </c>
      <c r="G102" s="34" t="n"/>
      <c r="H102" s="34" t="n"/>
      <c r="I102" s="35">
        <f>IF(G102="","",G102-H102)</f>
        <v/>
      </c>
      <c r="J102" s="19">
        <f>IF(OR(F102="",I102=""),"",IF(I102&lt;=0,0,MAX(0,$G$4-F102)))</f>
        <v/>
      </c>
      <c r="K102" s="19">
        <f>IF(I102="","",IF(I102&lt;=0,"PAGADA",IF(J102&gt;0,"VENCIDA","VIGENTE")))</f>
        <v/>
      </c>
    </row>
    <row r="103">
      <c r="A103" s="32" t="n">
        <v>97</v>
      </c>
      <c r="B103" s="17" t="n"/>
      <c r="C103" s="17" t="n"/>
      <c r="D103" s="30" t="n"/>
      <c r="E103" s="17" t="n"/>
      <c r="F103" s="33">
        <f>IF(D103="","",D103+E103)</f>
        <v/>
      </c>
      <c r="G103" s="34" t="n"/>
      <c r="H103" s="34" t="n"/>
      <c r="I103" s="35">
        <f>IF(G103="","",G103-H103)</f>
        <v/>
      </c>
      <c r="J103" s="19">
        <f>IF(OR(F103="",I103=""),"",IF(I103&lt;=0,0,MAX(0,$G$4-F103)))</f>
        <v/>
      </c>
      <c r="K103" s="19">
        <f>IF(I103="","",IF(I103&lt;=0,"PAGADA",IF(J103&gt;0,"VENCIDA","VIGENTE")))</f>
        <v/>
      </c>
    </row>
    <row r="104">
      <c r="A104" s="32" t="n">
        <v>98</v>
      </c>
      <c r="B104" s="17" t="n"/>
      <c r="C104" s="17" t="n"/>
      <c r="D104" s="30" t="n"/>
      <c r="E104" s="17" t="n"/>
      <c r="F104" s="33">
        <f>IF(D104="","",D104+E104)</f>
        <v/>
      </c>
      <c r="G104" s="34" t="n"/>
      <c r="H104" s="34" t="n"/>
      <c r="I104" s="35">
        <f>IF(G104="","",G104-H104)</f>
        <v/>
      </c>
      <c r="J104" s="19">
        <f>IF(OR(F104="",I104=""),"",IF(I104&lt;=0,0,MAX(0,$G$4-F104)))</f>
        <v/>
      </c>
      <c r="K104" s="19">
        <f>IF(I104="","",IF(I104&lt;=0,"PAGADA",IF(J104&gt;0,"VENCIDA","VIGENTE")))</f>
        <v/>
      </c>
    </row>
    <row r="105">
      <c r="A105" s="32" t="n">
        <v>99</v>
      </c>
      <c r="B105" s="17" t="n"/>
      <c r="C105" s="17" t="n"/>
      <c r="D105" s="30" t="n"/>
      <c r="E105" s="17" t="n"/>
      <c r="F105" s="33">
        <f>IF(D105="","",D105+E105)</f>
        <v/>
      </c>
      <c r="G105" s="34" t="n"/>
      <c r="H105" s="34" t="n"/>
      <c r="I105" s="35">
        <f>IF(G105="","",G105-H105)</f>
        <v/>
      </c>
      <c r="J105" s="19">
        <f>IF(OR(F105="",I105=""),"",IF(I105&lt;=0,0,MAX(0,$G$4-F105)))</f>
        <v/>
      </c>
      <c r="K105" s="19">
        <f>IF(I105="","",IF(I105&lt;=0,"PAGADA",IF(J105&gt;0,"VENCIDA","VIGENTE")))</f>
        <v/>
      </c>
    </row>
    <row r="106">
      <c r="A106" s="32" t="n">
        <v>100</v>
      </c>
      <c r="B106" s="17" t="n"/>
      <c r="C106" s="17" t="n"/>
      <c r="D106" s="30" t="n"/>
      <c r="E106" s="17" t="n"/>
      <c r="F106" s="33">
        <f>IF(D106="","",D106+E106)</f>
        <v/>
      </c>
      <c r="G106" s="34" t="n"/>
      <c r="H106" s="34" t="n"/>
      <c r="I106" s="35">
        <f>IF(G106="","",G106-H106)</f>
        <v/>
      </c>
      <c r="J106" s="19">
        <f>IF(OR(F106="",I106=""),"",IF(I106&lt;=0,0,MAX(0,$G$4-F106)))</f>
        <v/>
      </c>
      <c r="K106" s="19">
        <f>IF(I106="","",IF(I106&lt;=0,"PAGADA",IF(J106&gt;0,"VENCIDA","VIGENTE")))</f>
        <v/>
      </c>
    </row>
    <row r="107">
      <c r="A107" s="32" t="n">
        <v>101</v>
      </c>
      <c r="B107" s="17" t="n"/>
      <c r="C107" s="17" t="n"/>
      <c r="D107" s="30" t="n"/>
      <c r="E107" s="17" t="n"/>
      <c r="F107" s="33">
        <f>IF(D107="","",D107+E107)</f>
        <v/>
      </c>
      <c r="G107" s="34" t="n"/>
      <c r="H107" s="34" t="n"/>
      <c r="I107" s="35">
        <f>IF(G107="","",G107-H107)</f>
        <v/>
      </c>
      <c r="J107" s="19">
        <f>IF(OR(F107="",I107=""),"",IF(I107&lt;=0,0,MAX(0,$G$4-F107)))</f>
        <v/>
      </c>
      <c r="K107" s="19">
        <f>IF(I107="","",IF(I107&lt;=0,"PAGADA",IF(J107&gt;0,"VENCIDA","VIGENTE")))</f>
        <v/>
      </c>
    </row>
    <row r="108">
      <c r="A108" s="32" t="n">
        <v>102</v>
      </c>
      <c r="B108" s="17" t="n"/>
      <c r="C108" s="17" t="n"/>
      <c r="D108" s="30" t="n"/>
      <c r="E108" s="17" t="n"/>
      <c r="F108" s="33">
        <f>IF(D108="","",D108+E108)</f>
        <v/>
      </c>
      <c r="G108" s="34" t="n"/>
      <c r="H108" s="34" t="n"/>
      <c r="I108" s="35">
        <f>IF(G108="","",G108-H108)</f>
        <v/>
      </c>
      <c r="J108" s="19">
        <f>IF(OR(F108="",I108=""),"",IF(I108&lt;=0,0,MAX(0,$G$4-F108)))</f>
        <v/>
      </c>
      <c r="K108" s="19">
        <f>IF(I108="","",IF(I108&lt;=0,"PAGADA",IF(J108&gt;0,"VENCIDA","VIGENTE")))</f>
        <v/>
      </c>
    </row>
    <row r="109">
      <c r="A109" s="32" t="n">
        <v>103</v>
      </c>
      <c r="B109" s="17" t="n"/>
      <c r="C109" s="17" t="n"/>
      <c r="D109" s="30" t="n"/>
      <c r="E109" s="17" t="n"/>
      <c r="F109" s="33">
        <f>IF(D109="","",D109+E109)</f>
        <v/>
      </c>
      <c r="G109" s="34" t="n"/>
      <c r="H109" s="34" t="n"/>
      <c r="I109" s="35">
        <f>IF(G109="","",G109-H109)</f>
        <v/>
      </c>
      <c r="J109" s="19">
        <f>IF(OR(F109="",I109=""),"",IF(I109&lt;=0,0,MAX(0,$G$4-F109)))</f>
        <v/>
      </c>
      <c r="K109" s="19">
        <f>IF(I109="","",IF(I109&lt;=0,"PAGADA",IF(J109&gt;0,"VENCIDA","VIGENTE")))</f>
        <v/>
      </c>
    </row>
    <row r="110">
      <c r="A110" s="32" t="n">
        <v>104</v>
      </c>
      <c r="B110" s="17" t="n"/>
      <c r="C110" s="17" t="n"/>
      <c r="D110" s="30" t="n"/>
      <c r="E110" s="17" t="n"/>
      <c r="F110" s="33">
        <f>IF(D110="","",D110+E110)</f>
        <v/>
      </c>
      <c r="G110" s="34" t="n"/>
      <c r="H110" s="34" t="n"/>
      <c r="I110" s="35">
        <f>IF(G110="","",G110-H110)</f>
        <v/>
      </c>
      <c r="J110" s="19">
        <f>IF(OR(F110="",I110=""),"",IF(I110&lt;=0,0,MAX(0,$G$4-F110)))</f>
        <v/>
      </c>
      <c r="K110" s="19">
        <f>IF(I110="","",IF(I110&lt;=0,"PAGADA",IF(J110&gt;0,"VENCIDA","VIGENTE")))</f>
        <v/>
      </c>
    </row>
    <row r="111">
      <c r="A111" s="32" t="n">
        <v>105</v>
      </c>
      <c r="B111" s="17" t="n"/>
      <c r="C111" s="17" t="n"/>
      <c r="D111" s="30" t="n"/>
      <c r="E111" s="17" t="n"/>
      <c r="F111" s="33">
        <f>IF(D111="","",D111+E111)</f>
        <v/>
      </c>
      <c r="G111" s="34" t="n"/>
      <c r="H111" s="34" t="n"/>
      <c r="I111" s="35">
        <f>IF(G111="","",G111-H111)</f>
        <v/>
      </c>
      <c r="J111" s="19">
        <f>IF(OR(F111="",I111=""),"",IF(I111&lt;=0,0,MAX(0,$G$4-F111)))</f>
        <v/>
      </c>
      <c r="K111" s="19">
        <f>IF(I111="","",IF(I111&lt;=0,"PAGADA",IF(J111&gt;0,"VENCIDA","VIGENTE")))</f>
        <v/>
      </c>
    </row>
    <row r="112">
      <c r="A112" s="32" t="n">
        <v>106</v>
      </c>
      <c r="B112" s="17" t="n"/>
      <c r="C112" s="17" t="n"/>
      <c r="D112" s="30" t="n"/>
      <c r="E112" s="17" t="n"/>
      <c r="F112" s="33">
        <f>IF(D112="","",D112+E112)</f>
        <v/>
      </c>
      <c r="G112" s="34" t="n"/>
      <c r="H112" s="34" t="n"/>
      <c r="I112" s="35">
        <f>IF(G112="","",G112-H112)</f>
        <v/>
      </c>
      <c r="J112" s="19">
        <f>IF(OR(F112="",I112=""),"",IF(I112&lt;=0,0,MAX(0,$G$4-F112)))</f>
        <v/>
      </c>
      <c r="K112" s="19">
        <f>IF(I112="","",IF(I112&lt;=0,"PAGADA",IF(J112&gt;0,"VENCIDA","VIGENTE")))</f>
        <v/>
      </c>
    </row>
    <row r="113">
      <c r="A113" s="32" t="n">
        <v>107</v>
      </c>
      <c r="B113" s="17" t="n"/>
      <c r="C113" s="17" t="n"/>
      <c r="D113" s="30" t="n"/>
      <c r="E113" s="17" t="n"/>
      <c r="F113" s="33">
        <f>IF(D113="","",D113+E113)</f>
        <v/>
      </c>
      <c r="G113" s="34" t="n"/>
      <c r="H113" s="34" t="n"/>
      <c r="I113" s="35">
        <f>IF(G113="","",G113-H113)</f>
        <v/>
      </c>
      <c r="J113" s="19">
        <f>IF(OR(F113="",I113=""),"",IF(I113&lt;=0,0,MAX(0,$G$4-F113)))</f>
        <v/>
      </c>
      <c r="K113" s="19">
        <f>IF(I113="","",IF(I113&lt;=0,"PAGADA",IF(J113&gt;0,"VENCIDA","VIGENTE")))</f>
        <v/>
      </c>
    </row>
    <row r="114">
      <c r="A114" s="32" t="n">
        <v>108</v>
      </c>
      <c r="B114" s="17" t="n"/>
      <c r="C114" s="17" t="n"/>
      <c r="D114" s="30" t="n"/>
      <c r="E114" s="17" t="n"/>
      <c r="F114" s="33">
        <f>IF(D114="","",D114+E114)</f>
        <v/>
      </c>
      <c r="G114" s="34" t="n"/>
      <c r="H114" s="34" t="n"/>
      <c r="I114" s="35">
        <f>IF(G114="","",G114-H114)</f>
        <v/>
      </c>
      <c r="J114" s="19">
        <f>IF(OR(F114="",I114=""),"",IF(I114&lt;=0,0,MAX(0,$G$4-F114)))</f>
        <v/>
      </c>
      <c r="K114" s="19">
        <f>IF(I114="","",IF(I114&lt;=0,"PAGADA",IF(J114&gt;0,"VENCIDA","VIGENTE")))</f>
        <v/>
      </c>
    </row>
    <row r="115">
      <c r="A115" s="32" t="n">
        <v>109</v>
      </c>
      <c r="B115" s="17" t="n"/>
      <c r="C115" s="17" t="n"/>
      <c r="D115" s="30" t="n"/>
      <c r="E115" s="17" t="n"/>
      <c r="F115" s="33">
        <f>IF(D115="","",D115+E115)</f>
        <v/>
      </c>
      <c r="G115" s="34" t="n"/>
      <c r="H115" s="34" t="n"/>
      <c r="I115" s="35">
        <f>IF(G115="","",G115-H115)</f>
        <v/>
      </c>
      <c r="J115" s="19">
        <f>IF(OR(F115="",I115=""),"",IF(I115&lt;=0,0,MAX(0,$G$4-F115)))</f>
        <v/>
      </c>
      <c r="K115" s="19">
        <f>IF(I115="","",IF(I115&lt;=0,"PAGADA",IF(J115&gt;0,"VENCIDA","VIGENTE")))</f>
        <v/>
      </c>
    </row>
    <row r="116">
      <c r="A116" s="32" t="n">
        <v>110</v>
      </c>
      <c r="B116" s="17" t="n"/>
      <c r="C116" s="17" t="n"/>
      <c r="D116" s="30" t="n"/>
      <c r="E116" s="17" t="n"/>
      <c r="F116" s="33">
        <f>IF(D116="","",D116+E116)</f>
        <v/>
      </c>
      <c r="G116" s="34" t="n"/>
      <c r="H116" s="34" t="n"/>
      <c r="I116" s="35">
        <f>IF(G116="","",G116-H116)</f>
        <v/>
      </c>
      <c r="J116" s="19">
        <f>IF(OR(F116="",I116=""),"",IF(I116&lt;=0,0,MAX(0,$G$4-F116)))</f>
        <v/>
      </c>
      <c r="K116" s="19">
        <f>IF(I116="","",IF(I116&lt;=0,"PAGADA",IF(J116&gt;0,"VENCIDA","VIGENTE")))</f>
        <v/>
      </c>
    </row>
    <row r="117">
      <c r="A117" s="32" t="n">
        <v>111</v>
      </c>
      <c r="B117" s="17" t="n"/>
      <c r="C117" s="17" t="n"/>
      <c r="D117" s="30" t="n"/>
      <c r="E117" s="17" t="n"/>
      <c r="F117" s="33">
        <f>IF(D117="","",D117+E117)</f>
        <v/>
      </c>
      <c r="G117" s="34" t="n"/>
      <c r="H117" s="34" t="n"/>
      <c r="I117" s="35">
        <f>IF(G117="","",G117-H117)</f>
        <v/>
      </c>
      <c r="J117" s="19">
        <f>IF(OR(F117="",I117=""),"",IF(I117&lt;=0,0,MAX(0,$G$4-F117)))</f>
        <v/>
      </c>
      <c r="K117" s="19">
        <f>IF(I117="","",IF(I117&lt;=0,"PAGADA",IF(J117&gt;0,"VENCIDA","VIGENTE")))</f>
        <v/>
      </c>
    </row>
    <row r="118">
      <c r="A118" s="32" t="n">
        <v>112</v>
      </c>
      <c r="B118" s="17" t="n"/>
      <c r="C118" s="17" t="n"/>
      <c r="D118" s="30" t="n"/>
      <c r="E118" s="17" t="n"/>
      <c r="F118" s="33">
        <f>IF(D118="","",D118+E118)</f>
        <v/>
      </c>
      <c r="G118" s="34" t="n"/>
      <c r="H118" s="34" t="n"/>
      <c r="I118" s="35">
        <f>IF(G118="","",G118-H118)</f>
        <v/>
      </c>
      <c r="J118" s="19">
        <f>IF(OR(F118="",I118=""),"",IF(I118&lt;=0,0,MAX(0,$G$4-F118)))</f>
        <v/>
      </c>
      <c r="K118" s="19">
        <f>IF(I118="","",IF(I118&lt;=0,"PAGADA",IF(J118&gt;0,"VENCIDA","VIGENTE")))</f>
        <v/>
      </c>
    </row>
    <row r="119">
      <c r="A119" s="32" t="n">
        <v>113</v>
      </c>
      <c r="B119" s="17" t="n"/>
      <c r="C119" s="17" t="n"/>
      <c r="D119" s="30" t="n"/>
      <c r="E119" s="17" t="n"/>
      <c r="F119" s="33">
        <f>IF(D119="","",D119+E119)</f>
        <v/>
      </c>
      <c r="G119" s="34" t="n"/>
      <c r="H119" s="34" t="n"/>
      <c r="I119" s="35">
        <f>IF(G119="","",G119-H119)</f>
        <v/>
      </c>
      <c r="J119" s="19">
        <f>IF(OR(F119="",I119=""),"",IF(I119&lt;=0,0,MAX(0,$G$4-F119)))</f>
        <v/>
      </c>
      <c r="K119" s="19">
        <f>IF(I119="","",IF(I119&lt;=0,"PAGADA",IF(J119&gt;0,"VENCIDA","VIGENTE")))</f>
        <v/>
      </c>
    </row>
    <row r="120">
      <c r="A120" s="32" t="n">
        <v>114</v>
      </c>
      <c r="B120" s="17" t="n"/>
      <c r="C120" s="17" t="n"/>
      <c r="D120" s="30" t="n"/>
      <c r="E120" s="17" t="n"/>
      <c r="F120" s="33">
        <f>IF(D120="","",D120+E120)</f>
        <v/>
      </c>
      <c r="G120" s="34" t="n"/>
      <c r="H120" s="34" t="n"/>
      <c r="I120" s="35">
        <f>IF(G120="","",G120-H120)</f>
        <v/>
      </c>
      <c r="J120" s="19">
        <f>IF(OR(F120="",I120=""),"",IF(I120&lt;=0,0,MAX(0,$G$4-F120)))</f>
        <v/>
      </c>
      <c r="K120" s="19">
        <f>IF(I120="","",IF(I120&lt;=0,"PAGADA",IF(J120&gt;0,"VENCIDA","VIGENTE")))</f>
        <v/>
      </c>
    </row>
    <row r="121">
      <c r="A121" s="32" t="n">
        <v>115</v>
      </c>
      <c r="B121" s="17" t="n"/>
      <c r="C121" s="17" t="n"/>
      <c r="D121" s="30" t="n"/>
      <c r="E121" s="17" t="n"/>
      <c r="F121" s="33">
        <f>IF(D121="","",D121+E121)</f>
        <v/>
      </c>
      <c r="G121" s="34" t="n"/>
      <c r="H121" s="34" t="n"/>
      <c r="I121" s="35">
        <f>IF(G121="","",G121-H121)</f>
        <v/>
      </c>
      <c r="J121" s="19">
        <f>IF(OR(F121="",I121=""),"",IF(I121&lt;=0,0,MAX(0,$G$4-F121)))</f>
        <v/>
      </c>
      <c r="K121" s="19">
        <f>IF(I121="","",IF(I121&lt;=0,"PAGADA",IF(J121&gt;0,"VENCIDA","VIGENTE")))</f>
        <v/>
      </c>
    </row>
    <row r="122">
      <c r="A122" s="32" t="n">
        <v>116</v>
      </c>
      <c r="B122" s="17" t="n"/>
      <c r="C122" s="17" t="n"/>
      <c r="D122" s="30" t="n"/>
      <c r="E122" s="17" t="n"/>
      <c r="F122" s="33">
        <f>IF(D122="","",D122+E122)</f>
        <v/>
      </c>
      <c r="G122" s="34" t="n"/>
      <c r="H122" s="34" t="n"/>
      <c r="I122" s="35">
        <f>IF(G122="","",G122-H122)</f>
        <v/>
      </c>
      <c r="J122" s="19">
        <f>IF(OR(F122="",I122=""),"",IF(I122&lt;=0,0,MAX(0,$G$4-F122)))</f>
        <v/>
      </c>
      <c r="K122" s="19">
        <f>IF(I122="","",IF(I122&lt;=0,"PAGADA",IF(J122&gt;0,"VENCIDA","VIGENTE")))</f>
        <v/>
      </c>
    </row>
    <row r="123">
      <c r="A123" s="32" t="n">
        <v>117</v>
      </c>
      <c r="B123" s="17" t="n"/>
      <c r="C123" s="17" t="n"/>
      <c r="D123" s="30" t="n"/>
      <c r="E123" s="17" t="n"/>
      <c r="F123" s="33">
        <f>IF(D123="","",D123+E123)</f>
        <v/>
      </c>
      <c r="G123" s="34" t="n"/>
      <c r="H123" s="34" t="n"/>
      <c r="I123" s="35">
        <f>IF(G123="","",G123-H123)</f>
        <v/>
      </c>
      <c r="J123" s="19">
        <f>IF(OR(F123="",I123=""),"",IF(I123&lt;=0,0,MAX(0,$G$4-F123)))</f>
        <v/>
      </c>
      <c r="K123" s="19">
        <f>IF(I123="","",IF(I123&lt;=0,"PAGADA",IF(J123&gt;0,"VENCIDA","VIGENTE")))</f>
        <v/>
      </c>
    </row>
    <row r="124">
      <c r="A124" s="32" t="n">
        <v>118</v>
      </c>
      <c r="B124" s="17" t="n"/>
      <c r="C124" s="17" t="n"/>
      <c r="D124" s="30" t="n"/>
      <c r="E124" s="17" t="n"/>
      <c r="F124" s="33">
        <f>IF(D124="","",D124+E124)</f>
        <v/>
      </c>
      <c r="G124" s="34" t="n"/>
      <c r="H124" s="34" t="n"/>
      <c r="I124" s="35">
        <f>IF(G124="","",G124-H124)</f>
        <v/>
      </c>
      <c r="J124" s="19">
        <f>IF(OR(F124="",I124=""),"",IF(I124&lt;=0,0,MAX(0,$G$4-F124)))</f>
        <v/>
      </c>
      <c r="K124" s="19">
        <f>IF(I124="","",IF(I124&lt;=0,"PAGADA",IF(J124&gt;0,"VENCIDA","VIGENTE")))</f>
        <v/>
      </c>
    </row>
    <row r="125">
      <c r="A125" s="32" t="n">
        <v>119</v>
      </c>
      <c r="B125" s="17" t="n"/>
      <c r="C125" s="17" t="n"/>
      <c r="D125" s="30" t="n"/>
      <c r="E125" s="17" t="n"/>
      <c r="F125" s="33">
        <f>IF(D125="","",D125+E125)</f>
        <v/>
      </c>
      <c r="G125" s="34" t="n"/>
      <c r="H125" s="34" t="n"/>
      <c r="I125" s="35">
        <f>IF(G125="","",G125-H125)</f>
        <v/>
      </c>
      <c r="J125" s="19">
        <f>IF(OR(F125="",I125=""),"",IF(I125&lt;=0,0,MAX(0,$G$4-F125)))</f>
        <v/>
      </c>
      <c r="K125" s="19">
        <f>IF(I125="","",IF(I125&lt;=0,"PAGADA",IF(J125&gt;0,"VENCIDA","VIGENTE")))</f>
        <v/>
      </c>
    </row>
    <row r="126">
      <c r="A126" s="32" t="n">
        <v>120</v>
      </c>
      <c r="B126" s="17" t="n"/>
      <c r="C126" s="17" t="n"/>
      <c r="D126" s="30" t="n"/>
      <c r="E126" s="17" t="n"/>
      <c r="F126" s="33">
        <f>IF(D126="","",D126+E126)</f>
        <v/>
      </c>
      <c r="G126" s="34" t="n"/>
      <c r="H126" s="34" t="n"/>
      <c r="I126" s="35">
        <f>IF(G126="","",G126-H126)</f>
        <v/>
      </c>
      <c r="J126" s="19">
        <f>IF(OR(F126="",I126=""),"",IF(I126&lt;=0,0,MAX(0,$G$4-F126)))</f>
        <v/>
      </c>
      <c r="K126" s="19">
        <f>IF(I126="","",IF(I126&lt;=0,"PAGADA",IF(J126&gt;0,"VENCIDA","VIGENTE")))</f>
        <v/>
      </c>
    </row>
    <row r="127">
      <c r="A127" s="32" t="n">
        <v>121</v>
      </c>
      <c r="B127" s="17" t="n"/>
      <c r="C127" s="17" t="n"/>
      <c r="D127" s="30" t="n"/>
      <c r="E127" s="17" t="n"/>
      <c r="F127" s="33">
        <f>IF(D127="","",D127+E127)</f>
        <v/>
      </c>
      <c r="G127" s="34" t="n"/>
      <c r="H127" s="34" t="n"/>
      <c r="I127" s="35">
        <f>IF(G127="","",G127-H127)</f>
        <v/>
      </c>
      <c r="J127" s="19">
        <f>IF(OR(F127="",I127=""),"",IF(I127&lt;=0,0,MAX(0,$G$4-F127)))</f>
        <v/>
      </c>
      <c r="K127" s="19">
        <f>IF(I127="","",IF(I127&lt;=0,"PAGADA",IF(J127&gt;0,"VENCIDA","VIGENTE")))</f>
        <v/>
      </c>
    </row>
    <row r="128">
      <c r="A128" s="32" t="n">
        <v>122</v>
      </c>
      <c r="B128" s="17" t="n"/>
      <c r="C128" s="17" t="n"/>
      <c r="D128" s="30" t="n"/>
      <c r="E128" s="17" t="n"/>
      <c r="F128" s="33">
        <f>IF(D128="","",D128+E128)</f>
        <v/>
      </c>
      <c r="G128" s="34" t="n"/>
      <c r="H128" s="34" t="n"/>
      <c r="I128" s="35">
        <f>IF(G128="","",G128-H128)</f>
        <v/>
      </c>
      <c r="J128" s="19">
        <f>IF(OR(F128="",I128=""),"",IF(I128&lt;=0,0,MAX(0,$G$4-F128)))</f>
        <v/>
      </c>
      <c r="K128" s="19">
        <f>IF(I128="","",IF(I128&lt;=0,"PAGADA",IF(J128&gt;0,"VENCIDA","VIGENTE")))</f>
        <v/>
      </c>
    </row>
    <row r="129">
      <c r="A129" s="32" t="n">
        <v>123</v>
      </c>
      <c r="B129" s="17" t="n"/>
      <c r="C129" s="17" t="n"/>
      <c r="D129" s="30" t="n"/>
      <c r="E129" s="17" t="n"/>
      <c r="F129" s="33">
        <f>IF(D129="","",D129+E129)</f>
        <v/>
      </c>
      <c r="G129" s="34" t="n"/>
      <c r="H129" s="34" t="n"/>
      <c r="I129" s="35">
        <f>IF(G129="","",G129-H129)</f>
        <v/>
      </c>
      <c r="J129" s="19">
        <f>IF(OR(F129="",I129=""),"",IF(I129&lt;=0,0,MAX(0,$G$4-F129)))</f>
        <v/>
      </c>
      <c r="K129" s="19">
        <f>IF(I129="","",IF(I129&lt;=0,"PAGADA",IF(J129&gt;0,"VENCIDA","VIGENTE")))</f>
        <v/>
      </c>
    </row>
    <row r="130">
      <c r="A130" s="32" t="n">
        <v>124</v>
      </c>
      <c r="B130" s="17" t="n"/>
      <c r="C130" s="17" t="n"/>
      <c r="D130" s="30" t="n"/>
      <c r="E130" s="17" t="n"/>
      <c r="F130" s="33">
        <f>IF(D130="","",D130+E130)</f>
        <v/>
      </c>
      <c r="G130" s="34" t="n"/>
      <c r="H130" s="34" t="n"/>
      <c r="I130" s="35">
        <f>IF(G130="","",G130-H130)</f>
        <v/>
      </c>
      <c r="J130" s="19">
        <f>IF(OR(F130="",I130=""),"",IF(I130&lt;=0,0,MAX(0,$G$4-F130)))</f>
        <v/>
      </c>
      <c r="K130" s="19">
        <f>IF(I130="","",IF(I130&lt;=0,"PAGADA",IF(J130&gt;0,"VENCIDA","VIGENTE")))</f>
        <v/>
      </c>
    </row>
    <row r="131">
      <c r="A131" s="32" t="n">
        <v>125</v>
      </c>
      <c r="B131" s="17" t="n"/>
      <c r="C131" s="17" t="n"/>
      <c r="D131" s="30" t="n"/>
      <c r="E131" s="17" t="n"/>
      <c r="F131" s="33">
        <f>IF(D131="","",D131+E131)</f>
        <v/>
      </c>
      <c r="G131" s="34" t="n"/>
      <c r="H131" s="34" t="n"/>
      <c r="I131" s="35">
        <f>IF(G131="","",G131-H131)</f>
        <v/>
      </c>
      <c r="J131" s="19">
        <f>IF(OR(F131="",I131=""),"",IF(I131&lt;=0,0,MAX(0,$G$4-F131)))</f>
        <v/>
      </c>
      <c r="K131" s="19">
        <f>IF(I131="","",IF(I131&lt;=0,"PAGADA",IF(J131&gt;0,"VENCIDA","VIGENTE")))</f>
        <v/>
      </c>
    </row>
    <row r="132">
      <c r="A132" s="32" t="n">
        <v>126</v>
      </c>
      <c r="B132" s="17" t="n"/>
      <c r="C132" s="17" t="n"/>
      <c r="D132" s="30" t="n"/>
      <c r="E132" s="17" t="n"/>
      <c r="F132" s="33">
        <f>IF(D132="","",D132+E132)</f>
        <v/>
      </c>
      <c r="G132" s="34" t="n"/>
      <c r="H132" s="34" t="n"/>
      <c r="I132" s="35">
        <f>IF(G132="","",G132-H132)</f>
        <v/>
      </c>
      <c r="J132" s="19">
        <f>IF(OR(F132="",I132=""),"",IF(I132&lt;=0,0,MAX(0,$G$4-F132)))</f>
        <v/>
      </c>
      <c r="K132" s="19">
        <f>IF(I132="","",IF(I132&lt;=0,"PAGADA",IF(J132&gt;0,"VENCIDA","VIGENTE")))</f>
        <v/>
      </c>
    </row>
    <row r="133">
      <c r="A133" s="32" t="n">
        <v>127</v>
      </c>
      <c r="B133" s="17" t="n"/>
      <c r="C133" s="17" t="n"/>
      <c r="D133" s="30" t="n"/>
      <c r="E133" s="17" t="n"/>
      <c r="F133" s="33">
        <f>IF(D133="","",D133+E133)</f>
        <v/>
      </c>
      <c r="G133" s="34" t="n"/>
      <c r="H133" s="34" t="n"/>
      <c r="I133" s="35">
        <f>IF(G133="","",G133-H133)</f>
        <v/>
      </c>
      <c r="J133" s="19">
        <f>IF(OR(F133="",I133=""),"",IF(I133&lt;=0,0,MAX(0,$G$4-F133)))</f>
        <v/>
      </c>
      <c r="K133" s="19">
        <f>IF(I133="","",IF(I133&lt;=0,"PAGADA",IF(J133&gt;0,"VENCIDA","VIGENTE")))</f>
        <v/>
      </c>
    </row>
    <row r="134">
      <c r="A134" s="32" t="n">
        <v>128</v>
      </c>
      <c r="B134" s="17" t="n"/>
      <c r="C134" s="17" t="n"/>
      <c r="D134" s="30" t="n"/>
      <c r="E134" s="17" t="n"/>
      <c r="F134" s="33">
        <f>IF(D134="","",D134+E134)</f>
        <v/>
      </c>
      <c r="G134" s="34" t="n"/>
      <c r="H134" s="34" t="n"/>
      <c r="I134" s="35">
        <f>IF(G134="","",G134-H134)</f>
        <v/>
      </c>
      <c r="J134" s="19">
        <f>IF(OR(F134="",I134=""),"",IF(I134&lt;=0,0,MAX(0,$G$4-F134)))</f>
        <v/>
      </c>
      <c r="K134" s="19">
        <f>IF(I134="","",IF(I134&lt;=0,"PAGADA",IF(J134&gt;0,"VENCIDA","VIGENTE")))</f>
        <v/>
      </c>
    </row>
    <row r="135">
      <c r="A135" s="32" t="n">
        <v>129</v>
      </c>
      <c r="B135" s="17" t="n"/>
      <c r="C135" s="17" t="n"/>
      <c r="D135" s="30" t="n"/>
      <c r="E135" s="17" t="n"/>
      <c r="F135" s="33">
        <f>IF(D135="","",D135+E135)</f>
        <v/>
      </c>
      <c r="G135" s="34" t="n"/>
      <c r="H135" s="34" t="n"/>
      <c r="I135" s="35">
        <f>IF(G135="","",G135-H135)</f>
        <v/>
      </c>
      <c r="J135" s="19">
        <f>IF(OR(F135="",I135=""),"",IF(I135&lt;=0,0,MAX(0,$G$4-F135)))</f>
        <v/>
      </c>
      <c r="K135" s="19">
        <f>IF(I135="","",IF(I135&lt;=0,"PAGADA",IF(J135&gt;0,"VENCIDA","VIGENTE")))</f>
        <v/>
      </c>
    </row>
    <row r="136">
      <c r="A136" s="32" t="n">
        <v>130</v>
      </c>
      <c r="B136" s="17" t="n"/>
      <c r="C136" s="17" t="n"/>
      <c r="D136" s="30" t="n"/>
      <c r="E136" s="17" t="n"/>
      <c r="F136" s="33">
        <f>IF(D136="","",D136+E136)</f>
        <v/>
      </c>
      <c r="G136" s="34" t="n"/>
      <c r="H136" s="34" t="n"/>
      <c r="I136" s="35">
        <f>IF(G136="","",G136-H136)</f>
        <v/>
      </c>
      <c r="J136" s="19">
        <f>IF(OR(F136="",I136=""),"",IF(I136&lt;=0,0,MAX(0,$G$4-F136)))</f>
        <v/>
      </c>
      <c r="K136" s="19">
        <f>IF(I136="","",IF(I136&lt;=0,"PAGADA",IF(J136&gt;0,"VENCIDA","VIGENTE")))</f>
        <v/>
      </c>
    </row>
    <row r="137">
      <c r="A137" s="32" t="n">
        <v>131</v>
      </c>
      <c r="B137" s="17" t="n"/>
      <c r="C137" s="17" t="n"/>
      <c r="D137" s="30" t="n"/>
      <c r="E137" s="17" t="n"/>
      <c r="F137" s="33">
        <f>IF(D137="","",D137+E137)</f>
        <v/>
      </c>
      <c r="G137" s="34" t="n"/>
      <c r="H137" s="34" t="n"/>
      <c r="I137" s="35">
        <f>IF(G137="","",G137-H137)</f>
        <v/>
      </c>
      <c r="J137" s="19">
        <f>IF(OR(F137="",I137=""),"",IF(I137&lt;=0,0,MAX(0,$G$4-F137)))</f>
        <v/>
      </c>
      <c r="K137" s="19">
        <f>IF(I137="","",IF(I137&lt;=0,"PAGADA",IF(J137&gt;0,"VENCIDA","VIGENTE")))</f>
        <v/>
      </c>
    </row>
    <row r="138">
      <c r="A138" s="32" t="n">
        <v>132</v>
      </c>
      <c r="B138" s="17" t="n"/>
      <c r="C138" s="17" t="n"/>
      <c r="D138" s="30" t="n"/>
      <c r="E138" s="17" t="n"/>
      <c r="F138" s="33">
        <f>IF(D138="","",D138+E138)</f>
        <v/>
      </c>
      <c r="G138" s="34" t="n"/>
      <c r="H138" s="34" t="n"/>
      <c r="I138" s="35">
        <f>IF(G138="","",G138-H138)</f>
        <v/>
      </c>
      <c r="J138" s="19">
        <f>IF(OR(F138="",I138=""),"",IF(I138&lt;=0,0,MAX(0,$G$4-F138)))</f>
        <v/>
      </c>
      <c r="K138" s="19">
        <f>IF(I138="","",IF(I138&lt;=0,"PAGADA",IF(J138&gt;0,"VENCIDA","VIGENTE")))</f>
        <v/>
      </c>
    </row>
    <row r="139">
      <c r="A139" s="32" t="n">
        <v>133</v>
      </c>
      <c r="B139" s="17" t="n"/>
      <c r="C139" s="17" t="n"/>
      <c r="D139" s="30" t="n"/>
      <c r="E139" s="17" t="n"/>
      <c r="F139" s="33">
        <f>IF(D139="","",D139+E139)</f>
        <v/>
      </c>
      <c r="G139" s="34" t="n"/>
      <c r="H139" s="34" t="n"/>
      <c r="I139" s="35">
        <f>IF(G139="","",G139-H139)</f>
        <v/>
      </c>
      <c r="J139" s="19">
        <f>IF(OR(F139="",I139=""),"",IF(I139&lt;=0,0,MAX(0,$G$4-F139)))</f>
        <v/>
      </c>
      <c r="K139" s="19">
        <f>IF(I139="","",IF(I139&lt;=0,"PAGADA",IF(J139&gt;0,"VENCIDA","VIGENTE")))</f>
        <v/>
      </c>
    </row>
    <row r="140">
      <c r="A140" s="32" t="n">
        <v>134</v>
      </c>
      <c r="B140" s="17" t="n"/>
      <c r="C140" s="17" t="n"/>
      <c r="D140" s="30" t="n"/>
      <c r="E140" s="17" t="n"/>
      <c r="F140" s="33">
        <f>IF(D140="","",D140+E140)</f>
        <v/>
      </c>
      <c r="G140" s="34" t="n"/>
      <c r="H140" s="34" t="n"/>
      <c r="I140" s="35">
        <f>IF(G140="","",G140-H140)</f>
        <v/>
      </c>
      <c r="J140" s="19">
        <f>IF(OR(F140="",I140=""),"",IF(I140&lt;=0,0,MAX(0,$G$4-F140)))</f>
        <v/>
      </c>
      <c r="K140" s="19">
        <f>IF(I140="","",IF(I140&lt;=0,"PAGADA",IF(J140&gt;0,"VENCIDA","VIGENTE")))</f>
        <v/>
      </c>
    </row>
    <row r="141">
      <c r="A141" s="32" t="n">
        <v>135</v>
      </c>
      <c r="B141" s="17" t="n"/>
      <c r="C141" s="17" t="n"/>
      <c r="D141" s="30" t="n"/>
      <c r="E141" s="17" t="n"/>
      <c r="F141" s="33">
        <f>IF(D141="","",D141+E141)</f>
        <v/>
      </c>
      <c r="G141" s="34" t="n"/>
      <c r="H141" s="34" t="n"/>
      <c r="I141" s="35">
        <f>IF(G141="","",G141-H141)</f>
        <v/>
      </c>
      <c r="J141" s="19">
        <f>IF(OR(F141="",I141=""),"",IF(I141&lt;=0,0,MAX(0,$G$4-F141)))</f>
        <v/>
      </c>
      <c r="K141" s="19">
        <f>IF(I141="","",IF(I141&lt;=0,"PAGADA",IF(J141&gt;0,"VENCIDA","VIGENTE")))</f>
        <v/>
      </c>
    </row>
    <row r="142">
      <c r="A142" s="32" t="n">
        <v>136</v>
      </c>
      <c r="B142" s="17" t="n"/>
      <c r="C142" s="17" t="n"/>
      <c r="D142" s="30" t="n"/>
      <c r="E142" s="17" t="n"/>
      <c r="F142" s="33">
        <f>IF(D142="","",D142+E142)</f>
        <v/>
      </c>
      <c r="G142" s="34" t="n"/>
      <c r="H142" s="34" t="n"/>
      <c r="I142" s="35">
        <f>IF(G142="","",G142-H142)</f>
        <v/>
      </c>
      <c r="J142" s="19">
        <f>IF(OR(F142="",I142=""),"",IF(I142&lt;=0,0,MAX(0,$G$4-F142)))</f>
        <v/>
      </c>
      <c r="K142" s="19">
        <f>IF(I142="","",IF(I142&lt;=0,"PAGADA",IF(J142&gt;0,"VENCIDA","VIGENTE")))</f>
        <v/>
      </c>
    </row>
    <row r="143">
      <c r="A143" s="32" t="n">
        <v>137</v>
      </c>
      <c r="B143" s="17" t="n"/>
      <c r="C143" s="17" t="n"/>
      <c r="D143" s="30" t="n"/>
      <c r="E143" s="17" t="n"/>
      <c r="F143" s="33">
        <f>IF(D143="","",D143+E143)</f>
        <v/>
      </c>
      <c r="G143" s="34" t="n"/>
      <c r="H143" s="34" t="n"/>
      <c r="I143" s="35">
        <f>IF(G143="","",G143-H143)</f>
        <v/>
      </c>
      <c r="J143" s="19">
        <f>IF(OR(F143="",I143=""),"",IF(I143&lt;=0,0,MAX(0,$G$4-F143)))</f>
        <v/>
      </c>
      <c r="K143" s="19">
        <f>IF(I143="","",IF(I143&lt;=0,"PAGADA",IF(J143&gt;0,"VENCIDA","VIGENTE")))</f>
        <v/>
      </c>
    </row>
    <row r="144">
      <c r="A144" s="32" t="n">
        <v>138</v>
      </c>
      <c r="B144" s="17" t="n"/>
      <c r="C144" s="17" t="n"/>
      <c r="D144" s="30" t="n"/>
      <c r="E144" s="17" t="n"/>
      <c r="F144" s="33">
        <f>IF(D144="","",D144+E144)</f>
        <v/>
      </c>
      <c r="G144" s="34" t="n"/>
      <c r="H144" s="34" t="n"/>
      <c r="I144" s="35">
        <f>IF(G144="","",G144-H144)</f>
        <v/>
      </c>
      <c r="J144" s="19">
        <f>IF(OR(F144="",I144=""),"",IF(I144&lt;=0,0,MAX(0,$G$4-F144)))</f>
        <v/>
      </c>
      <c r="K144" s="19">
        <f>IF(I144="","",IF(I144&lt;=0,"PAGADA",IF(J144&gt;0,"VENCIDA","VIGENTE")))</f>
        <v/>
      </c>
    </row>
    <row r="145">
      <c r="A145" s="32" t="n">
        <v>139</v>
      </c>
      <c r="B145" s="17" t="n"/>
      <c r="C145" s="17" t="n"/>
      <c r="D145" s="30" t="n"/>
      <c r="E145" s="17" t="n"/>
      <c r="F145" s="33">
        <f>IF(D145="","",D145+E145)</f>
        <v/>
      </c>
      <c r="G145" s="34" t="n"/>
      <c r="H145" s="34" t="n"/>
      <c r="I145" s="35">
        <f>IF(G145="","",G145-H145)</f>
        <v/>
      </c>
      <c r="J145" s="19">
        <f>IF(OR(F145="",I145=""),"",IF(I145&lt;=0,0,MAX(0,$G$4-F145)))</f>
        <v/>
      </c>
      <c r="K145" s="19">
        <f>IF(I145="","",IF(I145&lt;=0,"PAGADA",IF(J145&gt;0,"VENCIDA","VIGENTE")))</f>
        <v/>
      </c>
    </row>
    <row r="146">
      <c r="A146" s="32" t="n">
        <v>140</v>
      </c>
      <c r="B146" s="17" t="n"/>
      <c r="C146" s="17" t="n"/>
      <c r="D146" s="30" t="n"/>
      <c r="E146" s="17" t="n"/>
      <c r="F146" s="33">
        <f>IF(D146="","",D146+E146)</f>
        <v/>
      </c>
      <c r="G146" s="34" t="n"/>
      <c r="H146" s="34" t="n"/>
      <c r="I146" s="35">
        <f>IF(G146="","",G146-H146)</f>
        <v/>
      </c>
      <c r="J146" s="19">
        <f>IF(OR(F146="",I146=""),"",IF(I146&lt;=0,0,MAX(0,$G$4-F146)))</f>
        <v/>
      </c>
      <c r="K146" s="19">
        <f>IF(I146="","",IF(I146&lt;=0,"PAGADA",IF(J146&gt;0,"VENCIDA","VIGENTE")))</f>
        <v/>
      </c>
    </row>
    <row r="147">
      <c r="A147" s="32" t="n">
        <v>141</v>
      </c>
      <c r="B147" s="17" t="n"/>
      <c r="C147" s="17" t="n"/>
      <c r="D147" s="30" t="n"/>
      <c r="E147" s="17" t="n"/>
      <c r="F147" s="33">
        <f>IF(D147="","",D147+E147)</f>
        <v/>
      </c>
      <c r="G147" s="34" t="n"/>
      <c r="H147" s="34" t="n"/>
      <c r="I147" s="35">
        <f>IF(G147="","",G147-H147)</f>
        <v/>
      </c>
      <c r="J147" s="19">
        <f>IF(OR(F147="",I147=""),"",IF(I147&lt;=0,0,MAX(0,$G$4-F147)))</f>
        <v/>
      </c>
      <c r="K147" s="19">
        <f>IF(I147="","",IF(I147&lt;=0,"PAGADA",IF(J147&gt;0,"VENCIDA","VIGENTE")))</f>
        <v/>
      </c>
    </row>
    <row r="148">
      <c r="A148" s="32" t="n">
        <v>142</v>
      </c>
      <c r="B148" s="17" t="n"/>
      <c r="C148" s="17" t="n"/>
      <c r="D148" s="30" t="n"/>
      <c r="E148" s="17" t="n"/>
      <c r="F148" s="33">
        <f>IF(D148="","",D148+E148)</f>
        <v/>
      </c>
      <c r="G148" s="34" t="n"/>
      <c r="H148" s="34" t="n"/>
      <c r="I148" s="35">
        <f>IF(G148="","",G148-H148)</f>
        <v/>
      </c>
      <c r="J148" s="19">
        <f>IF(OR(F148="",I148=""),"",IF(I148&lt;=0,0,MAX(0,$G$4-F148)))</f>
        <v/>
      </c>
      <c r="K148" s="19">
        <f>IF(I148="","",IF(I148&lt;=0,"PAGADA",IF(J148&gt;0,"VENCIDA","VIGENTE")))</f>
        <v/>
      </c>
    </row>
    <row r="149">
      <c r="A149" s="32" t="n">
        <v>143</v>
      </c>
      <c r="B149" s="17" t="n"/>
      <c r="C149" s="17" t="n"/>
      <c r="D149" s="30" t="n"/>
      <c r="E149" s="17" t="n"/>
      <c r="F149" s="33">
        <f>IF(D149="","",D149+E149)</f>
        <v/>
      </c>
      <c r="G149" s="34" t="n"/>
      <c r="H149" s="34" t="n"/>
      <c r="I149" s="35">
        <f>IF(G149="","",G149-H149)</f>
        <v/>
      </c>
      <c r="J149" s="19">
        <f>IF(OR(F149="",I149=""),"",IF(I149&lt;=0,0,MAX(0,$G$4-F149)))</f>
        <v/>
      </c>
      <c r="K149" s="19">
        <f>IF(I149="","",IF(I149&lt;=0,"PAGADA",IF(J149&gt;0,"VENCIDA","VIGENTE")))</f>
        <v/>
      </c>
    </row>
    <row r="150">
      <c r="A150" s="32" t="n">
        <v>144</v>
      </c>
      <c r="B150" s="17" t="n"/>
      <c r="C150" s="17" t="n"/>
      <c r="D150" s="30" t="n"/>
      <c r="E150" s="17" t="n"/>
      <c r="F150" s="33">
        <f>IF(D150="","",D150+E150)</f>
        <v/>
      </c>
      <c r="G150" s="34" t="n"/>
      <c r="H150" s="34" t="n"/>
      <c r="I150" s="35">
        <f>IF(G150="","",G150-H150)</f>
        <v/>
      </c>
      <c r="J150" s="19">
        <f>IF(OR(F150="",I150=""),"",IF(I150&lt;=0,0,MAX(0,$G$4-F150)))</f>
        <v/>
      </c>
      <c r="K150" s="19">
        <f>IF(I150="","",IF(I150&lt;=0,"PAGADA",IF(J150&gt;0,"VENCIDA","VIGENTE")))</f>
        <v/>
      </c>
    </row>
    <row r="151">
      <c r="A151" s="32" t="n">
        <v>145</v>
      </c>
      <c r="B151" s="17" t="n"/>
      <c r="C151" s="17" t="n"/>
      <c r="D151" s="30" t="n"/>
      <c r="E151" s="17" t="n"/>
      <c r="F151" s="33">
        <f>IF(D151="","",D151+E151)</f>
        <v/>
      </c>
      <c r="G151" s="34" t="n"/>
      <c r="H151" s="34" t="n"/>
      <c r="I151" s="35">
        <f>IF(G151="","",G151-H151)</f>
        <v/>
      </c>
      <c r="J151" s="19">
        <f>IF(OR(F151="",I151=""),"",IF(I151&lt;=0,0,MAX(0,$G$4-F151)))</f>
        <v/>
      </c>
      <c r="K151" s="19">
        <f>IF(I151="","",IF(I151&lt;=0,"PAGADA",IF(J151&gt;0,"VENCIDA","VIGENTE")))</f>
        <v/>
      </c>
    </row>
    <row r="152">
      <c r="A152" s="32" t="n">
        <v>146</v>
      </c>
      <c r="B152" s="17" t="n"/>
      <c r="C152" s="17" t="n"/>
      <c r="D152" s="30" t="n"/>
      <c r="E152" s="17" t="n"/>
      <c r="F152" s="33">
        <f>IF(D152="","",D152+E152)</f>
        <v/>
      </c>
      <c r="G152" s="34" t="n"/>
      <c r="H152" s="34" t="n"/>
      <c r="I152" s="35">
        <f>IF(G152="","",G152-H152)</f>
        <v/>
      </c>
      <c r="J152" s="19">
        <f>IF(OR(F152="",I152=""),"",IF(I152&lt;=0,0,MAX(0,$G$4-F152)))</f>
        <v/>
      </c>
      <c r="K152" s="19">
        <f>IF(I152="","",IF(I152&lt;=0,"PAGADA",IF(J152&gt;0,"VENCIDA","VIGENTE")))</f>
        <v/>
      </c>
    </row>
    <row r="153">
      <c r="A153" s="32" t="n">
        <v>147</v>
      </c>
      <c r="B153" s="17" t="n"/>
      <c r="C153" s="17" t="n"/>
      <c r="D153" s="30" t="n"/>
      <c r="E153" s="17" t="n"/>
      <c r="F153" s="33">
        <f>IF(D153="","",D153+E153)</f>
        <v/>
      </c>
      <c r="G153" s="34" t="n"/>
      <c r="H153" s="34" t="n"/>
      <c r="I153" s="35">
        <f>IF(G153="","",G153-H153)</f>
        <v/>
      </c>
      <c r="J153" s="19">
        <f>IF(OR(F153="",I153=""),"",IF(I153&lt;=0,0,MAX(0,$G$4-F153)))</f>
        <v/>
      </c>
      <c r="K153" s="19">
        <f>IF(I153="","",IF(I153&lt;=0,"PAGADA",IF(J153&gt;0,"VENCIDA","VIGENTE")))</f>
        <v/>
      </c>
    </row>
    <row r="154">
      <c r="A154" s="32" t="n">
        <v>148</v>
      </c>
      <c r="B154" s="17" t="n"/>
      <c r="C154" s="17" t="n"/>
      <c r="D154" s="30" t="n"/>
      <c r="E154" s="17" t="n"/>
      <c r="F154" s="33">
        <f>IF(D154="","",D154+E154)</f>
        <v/>
      </c>
      <c r="G154" s="34" t="n"/>
      <c r="H154" s="34" t="n"/>
      <c r="I154" s="35">
        <f>IF(G154="","",G154-H154)</f>
        <v/>
      </c>
      <c r="J154" s="19">
        <f>IF(OR(F154="",I154=""),"",IF(I154&lt;=0,0,MAX(0,$G$4-F154)))</f>
        <v/>
      </c>
      <c r="K154" s="19">
        <f>IF(I154="","",IF(I154&lt;=0,"PAGADA",IF(J154&gt;0,"VENCIDA","VIGENTE")))</f>
        <v/>
      </c>
    </row>
    <row r="155">
      <c r="A155" s="32" t="n">
        <v>149</v>
      </c>
      <c r="B155" s="17" t="n"/>
      <c r="C155" s="17" t="n"/>
      <c r="D155" s="30" t="n"/>
      <c r="E155" s="17" t="n"/>
      <c r="F155" s="33">
        <f>IF(D155="","",D155+E155)</f>
        <v/>
      </c>
      <c r="G155" s="34" t="n"/>
      <c r="H155" s="34" t="n"/>
      <c r="I155" s="35">
        <f>IF(G155="","",G155-H155)</f>
        <v/>
      </c>
      <c r="J155" s="19">
        <f>IF(OR(F155="",I155=""),"",IF(I155&lt;=0,0,MAX(0,$G$4-F155)))</f>
        <v/>
      </c>
      <c r="K155" s="19">
        <f>IF(I155="","",IF(I155&lt;=0,"PAGADA",IF(J155&gt;0,"VENCIDA","VIGENTE")))</f>
        <v/>
      </c>
    </row>
    <row r="156">
      <c r="A156" s="32" t="n">
        <v>150</v>
      </c>
      <c r="B156" s="17" t="n"/>
      <c r="C156" s="17" t="n"/>
      <c r="D156" s="30" t="n"/>
      <c r="E156" s="17" t="n"/>
      <c r="F156" s="33">
        <f>IF(D156="","",D156+E156)</f>
        <v/>
      </c>
      <c r="G156" s="34" t="n"/>
      <c r="H156" s="34" t="n"/>
      <c r="I156" s="35">
        <f>IF(G156="","",G156-H156)</f>
        <v/>
      </c>
      <c r="J156" s="19">
        <f>IF(OR(F156="",I156=""),"",IF(I156&lt;=0,0,MAX(0,$G$4-F156)))</f>
        <v/>
      </c>
      <c r="K156" s="19">
        <f>IF(I156="","",IF(I156&lt;=0,"PAGADA",IF(J156&gt;0,"VENCIDA","VIGENTE")))</f>
        <v/>
      </c>
    </row>
    <row r="157">
      <c r="A157" s="4" t="n"/>
      <c r="B157" s="4" t="n"/>
      <c r="C157" s="4" t="n"/>
      <c r="D157" s="4" t="n"/>
      <c r="E157" s="4" t="n"/>
      <c r="F157" s="36" t="inlineStr">
        <is>
          <t>TOTAL</t>
        </is>
      </c>
      <c r="G157" s="37">
        <f>SUM(G7:G156)</f>
        <v/>
      </c>
      <c r="H157" s="37">
        <f>SUM(H7:H156)</f>
        <v/>
      </c>
      <c r="I157" s="37">
        <f>SUM(I7:I156)</f>
        <v/>
      </c>
      <c r="J157" s="4" t="n"/>
      <c r="K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</row>
    <row r="159">
      <c r="A159" s="4" t="n"/>
      <c r="B159" s="38" t="inlineStr">
        <is>
          <t>ANTIGÜEDAD DE SALDOS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</row>
    <row r="160">
      <c r="A160" s="4" t="n"/>
      <c r="B160" s="39" t="inlineStr">
        <is>
          <t>VIGENTE</t>
        </is>
      </c>
      <c r="C160" s="40">
        <f>SUMIFS(I7:I156,K7:K156,"VIGENTE")</f>
        <v/>
      </c>
      <c r="D160" s="4" t="n"/>
      <c r="E160" s="4" t="n"/>
      <c r="F160" s="4" t="n"/>
      <c r="G160" s="4" t="n"/>
      <c r="H160" s="4" t="n"/>
      <c r="I160" s="4" t="n"/>
      <c r="J160" s="4" t="n"/>
      <c r="K160" s="4" t="n"/>
    </row>
    <row r="161">
      <c r="A161" s="4" t="n"/>
      <c r="B161" s="39" t="inlineStr">
        <is>
          <t>1 A 30 DÍAS</t>
        </is>
      </c>
      <c r="C161" s="40">
        <f>SUMIFS(I7:I156,J7:J156,"&gt;=1",J7:J156,"&lt;=30")</f>
        <v/>
      </c>
      <c r="D161" s="4" t="n"/>
      <c r="E161" s="4" t="n"/>
      <c r="F161" s="4" t="n"/>
      <c r="G161" s="4" t="n"/>
      <c r="H161" s="4" t="n"/>
      <c r="I161" s="4" t="n"/>
      <c r="J161" s="4" t="n"/>
      <c r="K161" s="4" t="n"/>
    </row>
    <row r="162">
      <c r="A162" s="4" t="n"/>
      <c r="B162" s="39" t="inlineStr">
        <is>
          <t>31 A 60 DÍAS</t>
        </is>
      </c>
      <c r="C162" s="40">
        <f>SUMIFS(I7:I156,J7:J156,"&gt;=31",J7:J156,"&lt;=60")</f>
        <v/>
      </c>
      <c r="D162" s="4" t="n"/>
      <c r="E162" s="4" t="n"/>
      <c r="F162" s="4" t="n"/>
      <c r="G162" s="4" t="n"/>
      <c r="H162" s="4" t="n"/>
      <c r="I162" s="4" t="n"/>
      <c r="J162" s="4" t="n"/>
      <c r="K162" s="4" t="n"/>
    </row>
    <row r="163">
      <c r="A163" s="4" t="n"/>
      <c r="B163" s="39" t="inlineStr">
        <is>
          <t>61 A 90 DÍAS</t>
        </is>
      </c>
      <c r="C163" s="40">
        <f>SUMIFS(I7:I156,J7:J156,"&gt;=61",J7:J156,"&lt;=90")</f>
        <v/>
      </c>
      <c r="D163" s="4" t="n"/>
      <c r="E163" s="4" t="n"/>
      <c r="F163" s="4" t="n"/>
      <c r="G163" s="4" t="n"/>
      <c r="H163" s="4" t="n"/>
      <c r="I163" s="4" t="n"/>
      <c r="J163" s="4" t="n"/>
      <c r="K163" s="4" t="n"/>
    </row>
    <row r="164">
      <c r="A164" s="4" t="n"/>
      <c r="B164" s="39" t="inlineStr">
        <is>
          <t>MÁS DE 90 DÍAS</t>
        </is>
      </c>
      <c r="C164" s="40">
        <f>SUMIFS(I7:I156,J7:J156,"&gt;90")</f>
        <v/>
      </c>
      <c r="D164" s="4" t="n"/>
      <c r="E164" s="4" t="n"/>
      <c r="F164" s="4" t="n"/>
      <c r="G164" s="4" t="n"/>
      <c r="H164" s="4" t="n"/>
      <c r="I164" s="4" t="n"/>
      <c r="J164" s="4" t="n"/>
      <c r="K164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">
    <mergeCell ref="G4:H4"/>
    <mergeCell ref="A2:I2"/>
    <mergeCell ref="B4:D4"/>
    <mergeCell ref="A1:I1"/>
    <mergeCell ref="J1:K2"/>
  </mergeCell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22" t="inlineStr">
        <is>
          <t>RESUMEN DE COBRANZA</t>
        </is>
      </c>
      <c r="H1" s="57" t="inlineStr">
        <is>
          <t>INSERTE SU LOGO
(clic derecho &gt; Insertar imagen)</t>
        </is>
      </c>
      <c r="I1" s="65" t="n"/>
      <c r="J1" s="58" t="n"/>
    </row>
    <row r="2" ht="26" customHeight="1">
      <c r="A2" s="59" t="inlineStr">
        <is>
          <t>Saldo, vencimientos y antigüedad de saldos</t>
        </is>
      </c>
      <c r="B2" s="60" t="n"/>
      <c r="C2" s="60" t="n"/>
      <c r="D2" s="60" t="n"/>
      <c r="E2" s="60" t="n"/>
      <c r="F2" s="60" t="n"/>
      <c r="G2" s="60" t="n"/>
      <c r="H2" s="61" t="n"/>
      <c r="I2" s="66" t="n"/>
      <c r="J2" s="62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0" customHeight="1">
      <c r="A4" s="4" t="n"/>
      <c r="B4" s="67" t="inlineStr">
        <is>
          <t>SALDO POR COBRAR</t>
        </is>
      </c>
      <c r="C4" s="68" t="n"/>
      <c r="D4" s="67" t="inlineStr">
        <is>
          <t>SALDO VENCIDO</t>
        </is>
      </c>
      <c r="E4" s="68" t="n"/>
      <c r="F4" s="67" t="inlineStr">
        <is>
          <t>% VENCIDO</t>
        </is>
      </c>
      <c r="G4" s="68" t="n"/>
      <c r="H4" s="67" t="inlineStr">
        <is>
          <t>FACTURAS CON SALDO</t>
        </is>
      </c>
      <c r="I4" s="68" t="n"/>
      <c r="J4" s="4" t="n"/>
    </row>
    <row r="5" ht="36" customHeight="1">
      <c r="A5" s="4" t="n"/>
      <c r="B5" s="69">
        <f>FORMATO!I157</f>
        <v/>
      </c>
      <c r="C5" s="70" t="n"/>
      <c r="D5" s="69">
        <f>SUMIF(FORMATO!K7:K156,"VENCIDA",FORMATO!I7:I156)</f>
        <v/>
      </c>
      <c r="E5" s="70" t="n"/>
      <c r="F5" s="71">
        <f>IFERROR(D5/B5,0)</f>
        <v/>
      </c>
      <c r="G5" s="70" t="n"/>
      <c r="H5" s="72">
        <f>COUNTIF(FORMATO!I7:I156,"&gt;0")</f>
        <v/>
      </c>
      <c r="I5" s="70" t="n"/>
      <c r="J5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1">
    <mergeCell ref="F4:G4"/>
    <mergeCell ref="H1:J2"/>
    <mergeCell ref="A1:G1"/>
    <mergeCell ref="B5:C5"/>
    <mergeCell ref="F5:G5"/>
    <mergeCell ref="D5:E5"/>
    <mergeCell ref="A2:G2"/>
    <mergeCell ref="D4:E4"/>
    <mergeCell ref="H5:I5"/>
    <mergeCell ref="H4:I4"/>
    <mergeCell ref="B4:C4"/>
  </mergeCells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49" t="inlineStr">
        <is>
          <t>AYUDA Y PREGUNTAS FRECUENTES</t>
        </is>
      </c>
      <c r="E1" s="1" t="n"/>
    </row>
    <row r="2">
      <c r="A2" s="1" t="n"/>
      <c r="B2" s="50" t="inlineStr">
        <is>
          <t>CUENTAS POR COBRAR</t>
        </is>
      </c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0" customHeight="1">
      <c r="A6" s="4" t="n"/>
      <c r="B6" s="4" t="n"/>
      <c r="C6" s="51" t="inlineStr">
        <is>
          <t>¿Cómo registro un pago parcial?</t>
        </is>
      </c>
      <c r="D6" s="52" t="inlineStr">
        <is>
          <t>Escribe el acumulado de pagos en la columna Abonos; el saldo se recalcula.</t>
        </is>
      </c>
      <c r="E6" s="4" t="n"/>
    </row>
    <row r="7" ht="30" customHeight="1">
      <c r="A7" s="4" t="n"/>
      <c r="B7" s="4" t="n"/>
      <c r="C7" s="51" t="inlineStr">
        <is>
          <t>¿Qué fecha de corte uso?</t>
        </is>
      </c>
      <c r="D7" s="52" t="inlineStr">
        <is>
          <t>Por defecto HOY(); puedes escribir una fecha fija para reportes al cierre de mes.</t>
        </is>
      </c>
      <c r="E7" s="4" t="n"/>
    </row>
    <row r="8" ht="53" customHeight="1">
      <c r="A8" s="4" t="n"/>
      <c r="B8" s="4" t="n"/>
      <c r="C8" s="51" t="inlineStr">
        <is>
          <t>¿Por qué no puedo escribir en algunas celdas?</t>
        </is>
      </c>
      <c r="D8" s="52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8" s="4" t="n"/>
    </row>
    <row r="9" ht="38" customHeight="1">
      <c r="A9" s="4" t="n"/>
      <c r="B9" s="4" t="n"/>
      <c r="C9" s="51" t="inlineStr">
        <is>
          <t>¿Cómo agrego mi logotipo?</t>
        </is>
      </c>
      <c r="D9" s="52" t="inlineStr">
        <is>
          <t>Haz clic en el recuadro punteado de la esquina superior derecha del formato y usa Insertar &gt; Imágenes. Ajusta el tamaño sin salirte del recuadro.</t>
        </is>
      </c>
      <c r="E9" s="4" t="n"/>
    </row>
    <row r="10" ht="38" customHeight="1">
      <c r="A10" s="4" t="n"/>
      <c r="B10" s="4" t="n"/>
      <c r="C10" s="51" t="inlineStr">
        <is>
          <t>¿Cómo lo imprimo o lo convierto a PDF?</t>
        </is>
      </c>
      <c r="D10" s="52" t="inlineStr">
        <is>
          <t>Archivo &gt; Imprimir (ya está ajustado a una hoja de ancho). Para PDF elige 'Microsoft Print to PDF' o Archivo &gt; Exportar &gt; PDF.</t>
        </is>
      </c>
      <c r="E10" s="4" t="n"/>
    </row>
    <row r="11" ht="38" customHeight="1">
      <c r="A11" s="4" t="n"/>
      <c r="B11" s="4" t="n"/>
      <c r="C11" s="51" t="inlineStr">
        <is>
          <t>¿Con qué versiones de Excel funciona?</t>
        </is>
      </c>
      <c r="D11" s="52" t="inlineStr">
        <is>
          <t>Excel 2016, 2019, 2021 y Microsoft 365 (Windows y Mac). Funciona en LibreOffice y Google Sheets, aunque algunas gráficas y formatos pueden verse distintos.</t>
        </is>
      </c>
      <c r="E11" s="4" t="n"/>
    </row>
    <row r="12" ht="38" customHeight="1">
      <c r="A12" s="4" t="n"/>
      <c r="B12" s="4" t="n"/>
      <c r="C12" s="51" t="inlineStr">
        <is>
          <t>¿Por qué la letra se ve diferente?</t>
        </is>
      </c>
      <c r="D12" s="52" t="inlineStr">
        <is>
          <t>El diseño usa la fuente Abadi, incluida en Microsoft 365. Si tu versión no la tiene, Excel la sustituye por otra; no afecta el funcionamiento.</t>
        </is>
      </c>
      <c r="E12" s="4" t="n"/>
    </row>
    <row r="13" ht="38" customHeight="1">
      <c r="A13" s="4" t="n"/>
      <c r="B13" s="4" t="n"/>
      <c r="C13" s="51" t="inlineStr">
        <is>
          <t>¿Puedo usarlo en varias empresas o por varios años?</t>
        </is>
      </c>
      <c r="D13" s="52" t="inlineStr">
        <is>
          <t>Sí. Guarda una copia del archivo por empresa o por periodo (Archivo &gt; Guardar como) y deja el original en blanco como plantilla maestra.</t>
        </is>
      </c>
      <c r="E13" s="4" t="n"/>
    </row>
    <row r="14">
      <c r="A14" s="4" t="n"/>
      <c r="B14" s="4" t="n"/>
      <c r="C14" s="4" t="n"/>
      <c r="D14" s="4" t="n"/>
      <c r="E14" s="4" t="n"/>
    </row>
    <row r="15" ht="24" customHeight="1">
      <c r="A15" s="4" t="n"/>
      <c r="B15" s="9" t="inlineStr">
        <is>
          <t>GLOSARIO</t>
        </is>
      </c>
      <c r="C15" s="10" t="n"/>
      <c r="D15" s="10" t="n"/>
      <c r="E15" s="4" t="n"/>
    </row>
    <row r="16" ht="21" customHeight="1">
      <c r="A16" s="4" t="n"/>
      <c r="B16" s="4" t="n"/>
      <c r="C16" s="53" t="inlineStr">
        <is>
          <t>ANTIGÜEDAD DE SALDOS</t>
        </is>
      </c>
      <c r="D16" s="54" t="inlineStr">
        <is>
          <t>Clasificación de la deuda según los días de atraso.</t>
        </is>
      </c>
      <c r="E16" s="4" t="n"/>
    </row>
    <row r="17" ht="21" customHeight="1">
      <c r="A17" s="4" t="n"/>
      <c r="B17" s="4" t="n"/>
      <c r="C17" s="53" t="inlineStr">
        <is>
          <t>SALDO VENCIDO</t>
        </is>
      </c>
      <c r="D17" s="54" t="inlineStr">
        <is>
          <t>Importe cuyo plazo de pago ya terminó.</t>
        </is>
      </c>
      <c r="E17" s="4" t="n"/>
    </row>
    <row r="18" ht="21" customHeight="1">
      <c r="A18" s="4" t="n"/>
      <c r="B18" s="4" t="n"/>
      <c r="C18" s="53" t="inlineStr">
        <is>
          <t>DÍAS DE CRÉDITO</t>
        </is>
      </c>
      <c r="D18" s="54" t="inlineStr">
        <is>
          <t>Plazo que se concede al cliente para pagar.</t>
        </is>
      </c>
      <c r="E18" s="4" t="n"/>
    </row>
    <row r="19">
      <c r="A19" s="4" t="n"/>
      <c r="B19" s="4" t="n"/>
      <c r="C19" s="4" t="n"/>
      <c r="D19" s="4" t="n"/>
      <c r="E19" s="4" t="n"/>
    </row>
    <row r="20" ht="24" customHeight="1">
      <c r="A20" s="4" t="n"/>
      <c r="B20" s="9" t="inlineStr">
        <is>
          <t>LISTA DE VERIFICACIÓN (marca ☑ al completar)</t>
        </is>
      </c>
      <c r="C20" s="10" t="n"/>
      <c r="D20" s="10" t="n"/>
      <c r="E20" s="4" t="n"/>
    </row>
    <row r="21" ht="20" customHeight="1">
      <c r="A21" s="4" t="n"/>
      <c r="B21" s="55" t="inlineStr">
        <is>
          <t>☐</t>
        </is>
      </c>
      <c r="C21" s="56" t="inlineStr">
        <is>
          <t>Facturas del periodo capturadas</t>
        </is>
      </c>
      <c r="E21" s="4" t="n"/>
    </row>
    <row r="22" ht="20" customHeight="1">
      <c r="A22" s="4" t="n"/>
      <c r="B22" s="55" t="inlineStr">
        <is>
          <t>☐</t>
        </is>
      </c>
      <c r="C22" s="56" t="inlineStr">
        <is>
          <t>Abonos aplicados</t>
        </is>
      </c>
      <c r="E22" s="4" t="n"/>
    </row>
    <row r="23" ht="20" customHeight="1">
      <c r="A23" s="4" t="n"/>
      <c r="B23" s="55" t="inlineStr">
        <is>
          <t>☐</t>
        </is>
      </c>
      <c r="C23" s="56" t="inlineStr">
        <is>
          <t>Recordatorios enviados</t>
        </is>
      </c>
      <c r="E23" s="4" t="n"/>
    </row>
    <row r="24" ht="20" customHeight="1">
      <c r="A24" s="4" t="n"/>
      <c r="B24" s="55" t="inlineStr">
        <is>
          <t>☐</t>
        </is>
      </c>
      <c r="C24" s="56" t="inlineStr">
        <is>
          <t>Saldos &gt; 60 días con plan de acción</t>
        </is>
      </c>
      <c r="E24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C21:D21"/>
    <mergeCell ref="C24:D24"/>
    <mergeCell ref="B1:D1"/>
    <mergeCell ref="C22:D22"/>
    <mergeCell ref="C23:D23"/>
    <mergeCell ref="B2:D2"/>
  </mergeCells>
  <dataValidations count="1">
    <dataValidation sqref="B21 B22 B23 B24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2026-10-07T21:52:18Z</dcterms:created>
  <dcterms:modified xmlns:dcterms="http://purl.org/dc/terms/" xmlns:xsi="http://www.w3.org/2001/XMLSchema-instance" xsi:type="dcterms:W3CDTF">2026-10-07T21:54:23Z</dcterms:modified>
</cp:coreProperties>
</file>