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PROYECTOS" sheetId="4" state="visible" r:id="rId4"/>
    <sheet xmlns:r="http://schemas.openxmlformats.org/officeDocument/2006/relationships" name="PENDIENTES" sheetId="5" state="visible" r:id="rId5"/>
    <sheet xmlns:r="http://schemas.openxmlformats.org/officeDocument/2006/relationships" name="RIESGOS" sheetId="6" state="visible" r:id="rId6"/>
    <sheet xmlns:r="http://schemas.openxmlformats.org/officeDocument/2006/relationships" name="DECISIONES" sheetId="7" state="visible" r:id="rId7"/>
    <sheet xmlns:r="http://schemas.openxmlformats.org/officeDocument/2006/relationships" name="INDICADORES" sheetId="8" state="visible" r:id="rId8"/>
    <sheet xmlns:r="http://schemas.openxmlformats.org/officeDocument/2006/relationships" name="CATÁLOGOS" sheetId="9" state="visible" r:id="rId9"/>
    <sheet xmlns:r="http://schemas.openxmlformats.org/officeDocument/2006/relationships" name="AYUDA" sheetId="10" state="visible" r:id="rId10"/>
  </sheets>
  <definedNames>
    <definedName name="FECHA_CORTE">TABLERO!$H$8</definedName>
    <definedName name="_xlnm._FilterDatabase" localSheetId="2" hidden="1">'ACTIVIDADES'!$A$4:$M$204</definedName>
    <definedName name="_xlnm._FilterDatabase" localSheetId="3" hidden="1">'PROYECTOS'!$A$4:$O$44</definedName>
    <definedName name="_xlnm._FilterDatabase" localSheetId="4" hidden="1">'PENDIENTES'!$A$4:$K$154</definedName>
    <definedName name="_xlnm._FilterDatabase" localSheetId="5" hidden="1">'RIESGOS'!$A$4:$K$64</definedName>
    <definedName name="_xlnm._FilterDatabase" localSheetId="6" hidden="1">'DECISIONES'!$A$4:$K$64</definedName>
    <definedName name="_xlnm._FilterDatabase" localSheetId="7" hidden="1">'INDICADORES'!$A$4:$T$24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#,##0.00"/>
    <numFmt numFmtId="166" formatCode="#,##0.##"/>
  </numFmts>
  <fonts count="29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FFFFFF"/>
    </font>
    <font>
      <name val="Abadi"/>
      <i val="1"/>
      <color rgb="005B6B78"/>
      <sz val="9"/>
    </font>
    <font>
      <name val="Abadi"/>
      <b val="1"/>
      <color rgb="000E7C8B"/>
    </font>
    <font>
      <name val="Abadi"/>
      <b val="1"/>
      <color rgb="000B2A4A"/>
      <sz val="8"/>
    </font>
    <font>
      <name val="Abadi"/>
      <b val="1"/>
      <color rgb="000B2A4A"/>
      <sz val="12"/>
    </font>
    <font>
      <name val="Abadi"/>
      <b val="1"/>
      <color rgb="000E7C8B"/>
      <sz val="9"/>
    </font>
    <font>
      <name val="Abadi"/>
      <b val="1"/>
      <color rgb="000B2A4A"/>
      <sz val="18"/>
    </font>
    <font>
      <name val="Abadi"/>
      <i val="1"/>
      <color rgb="000B2A4A"/>
      <sz val="10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10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6D0"/>
      </patternFill>
    </fill>
    <fill>
      <patternFill patternType="solid">
        <fgColor rgb="00E6ECF1"/>
      </patternFill>
    </fill>
    <fill>
      <patternFill patternType="solid">
        <fgColor rgb="00FFFFFF"/>
      </patternFill>
    </fill>
  </fills>
  <borders count="36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  <border>
      <right/>
      <bottom style="medium">
        <color rgb="00C9A227"/>
      </bottom>
    </border>
    <border>
      <left style="dashed">
        <color rgb="00A6A6A6"/>
      </left>
      <right style="dashed">
        <color rgb="00A6A6A6"/>
      </right>
      <top/>
      <bottom/>
      <diagonal/>
    </border>
    <border>
      <left style="dashed">
        <color rgb="00A6A6A6"/>
      </left>
      <right style="dashed">
        <color rgb="00A6A6A6"/>
      </right>
      <top/>
      <bottom style="dashed">
        <color rgb="00A6A6A6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8" fillId="2" borderId="0" pivotButton="0" quotePrefix="0" xfId="0"/>
    <xf numFmtId="0" fontId="12" fillId="2" borderId="0" pivotButton="0" quotePrefix="0" xfId="0"/>
    <xf numFmtId="0" fontId="13" fillId="2" borderId="0" applyAlignment="1" pivotButton="0" quotePrefix="0" xfId="0">
      <alignment horizontal="right" vertical="center"/>
    </xf>
    <xf numFmtId="0" fontId="28" fillId="0" borderId="0" pivotButton="0" quotePrefix="0" xfId="0"/>
    <xf numFmtId="0" fontId="14" fillId="2" borderId="0" applyAlignment="1" pivotButton="0" quotePrefix="0" xfId="0">
      <alignment vertical="center" wrapText="1"/>
    </xf>
    <xf numFmtId="0" fontId="15" fillId="2" borderId="0" pivotButton="0" quotePrefix="0" xfId="0"/>
    <xf numFmtId="0" fontId="16" fillId="2" borderId="16" applyAlignment="1" pivotButton="0" quotePrefix="0" xfId="0">
      <alignment horizontal="center" vertical="center"/>
    </xf>
    <xf numFmtId="0" fontId="28" fillId="0" borderId="17" pivotButton="0" quotePrefix="0" xfId="0"/>
    <xf numFmtId="0" fontId="17" fillId="0" borderId="1" pivotButton="0" quotePrefix="0" xfId="0"/>
    <xf numFmtId="0" fontId="28" fillId="0" borderId="1" pivotButton="0" quotePrefix="0" xfId="0"/>
    <xf numFmtId="0" fontId="12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8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8" fillId="3" borderId="11" applyProtection="1" pivotButton="0" quotePrefix="0" xfId="0">
      <protection locked="0" hidden="0"/>
    </xf>
    <xf numFmtId="0" fontId="22" fillId="0" borderId="0" pivotButton="0" quotePrefix="0" xfId="0"/>
    <xf numFmtId="0" fontId="28" fillId="4" borderId="11" pivotButton="0" quotePrefix="0" xfId="0"/>
    <xf numFmtId="0" fontId="28" fillId="2" borderId="11" pivotButton="0" quotePrefix="0" xfId="0"/>
    <xf numFmtId="0" fontId="23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28" fillId="0" borderId="6" pivotButton="0" quotePrefix="0" xfId="0"/>
    <xf numFmtId="0" fontId="28" fillId="0" borderId="7" pivotButton="0" quotePrefix="0" xfId="0"/>
    <xf numFmtId="0" fontId="2" fillId="0" borderId="1" applyAlignment="1" pivotButton="0" quotePrefix="0" xfId="0">
      <alignment horizontal="center" vertical="center"/>
    </xf>
    <xf numFmtId="0" fontId="28" fillId="0" borderId="2" pivotButton="0" quotePrefix="0" xfId="0"/>
    <xf numFmtId="0" fontId="28" fillId="0" borderId="8" pivotButton="0" quotePrefix="0" xfId="0"/>
    <xf numFmtId="0" fontId="28" fillId="0" borderId="9" pivotButton="0" quotePrefix="0" xfId="0"/>
    <xf numFmtId="0" fontId="28" fillId="0" borderId="10" pivotButton="0" quotePrefix="0" xfId="0"/>
    <xf numFmtId="0" fontId="9" fillId="8" borderId="12" applyAlignment="1" pivotButton="0" quotePrefix="0" xfId="0">
      <alignment horizontal="center" vertical="center"/>
    </xf>
    <xf numFmtId="0" fontId="28" fillId="8" borderId="13" pivotButton="0" quotePrefix="0" xfId="0"/>
    <xf numFmtId="9" fontId="10" fillId="9" borderId="14" applyAlignment="1" pivotButton="0" quotePrefix="0" xfId="0">
      <alignment horizontal="center" vertical="center"/>
    </xf>
    <xf numFmtId="0" fontId="28" fillId="9" borderId="15" pivotButton="0" quotePrefix="0" xfId="0"/>
    <xf numFmtId="1" fontId="10" fillId="9" borderId="14" applyAlignment="1" pivotButton="0" quotePrefix="0" xfId="0">
      <alignment horizontal="center" vertical="center"/>
    </xf>
    <xf numFmtId="49" fontId="10" fillId="9" borderId="14" applyAlignment="1" pivotButton="0" quotePrefix="0" xfId="0">
      <alignment horizontal="center" vertical="center"/>
    </xf>
    <xf numFmtId="164" fontId="10" fillId="3" borderId="14" applyAlignment="1" applyProtection="1" pivotButton="0" quotePrefix="0" xfId="0">
      <alignment horizontal="center" vertical="center"/>
      <protection locked="0" hidden="0"/>
    </xf>
    <xf numFmtId="0" fontId="28" fillId="3" borderId="15" applyProtection="1" pivotButton="0" quotePrefix="0" xfId="0">
      <protection locked="0" hidden="0"/>
    </xf>
    <xf numFmtId="0" fontId="11" fillId="0" borderId="0" applyAlignment="1" pivotButton="0" quotePrefix="0" xfId="0">
      <alignment vertical="center" wrapText="1"/>
    </xf>
    <xf numFmtId="0" fontId="4" fillId="2" borderId="11" applyAlignment="1" pivotButton="0" quotePrefix="0" xfId="0">
      <alignment horizontal="center" vertical="center" wrapText="1"/>
    </xf>
    <xf numFmtId="0" fontId="28" fillId="0" borderId="11" pivotButton="0" quotePrefix="0" xfId="0"/>
    <xf numFmtId="1" fontId="28" fillId="4" borderId="11" pivotButton="0" quotePrefix="0" xfId="0"/>
    <xf numFmtId="9" fontId="28" fillId="4" borderId="11" pivotButton="0" quotePrefix="0" xfId="0"/>
    <xf numFmtId="0" fontId="3" fillId="0" borderId="3" applyAlignment="1" pivotButton="0" quotePrefix="0" xfId="0">
      <alignment horizontal="center" vertical="center" wrapText="1"/>
    </xf>
    <xf numFmtId="0" fontId="28" fillId="0" borderId="4" pivotButton="0" quotePrefix="0" xfId="0"/>
    <xf numFmtId="0" fontId="28" fillId="4" borderId="11" applyAlignment="1" pivotButton="0" quotePrefix="0" xfId="0">
      <alignment horizontal="center"/>
    </xf>
    <xf numFmtId="164" fontId="28" fillId="3" borderId="11" applyProtection="1" pivotButton="0" quotePrefix="0" xfId="0">
      <protection locked="0" hidden="0"/>
    </xf>
    <xf numFmtId="9" fontId="28" fillId="3" borderId="11" applyProtection="1" pivotButton="0" quotePrefix="0" xfId="0">
      <protection locked="0" hidden="0"/>
    </xf>
    <xf numFmtId="165" fontId="28" fillId="3" borderId="11" applyProtection="1" pivotButton="0" quotePrefix="0" xfId="0"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/>
    </xf>
    <xf numFmtId="0" fontId="8" fillId="5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/>
    </xf>
    <xf numFmtId="0" fontId="28" fillId="3" borderId="11" applyAlignment="1" applyProtection="1" pivotButton="0" quotePrefix="0" xfId="0">
      <alignment vertical="top" wrapText="1"/>
      <protection locked="0" hidden="0"/>
    </xf>
    <xf numFmtId="166" fontId="28" fillId="3" borderId="11" applyProtection="1" pivotButton="0" quotePrefix="0" xfId="0">
      <protection locked="0" hidden="0"/>
    </xf>
    <xf numFmtId="166" fontId="28" fillId="4" borderId="11" pivotButton="0" quotePrefix="0" xfId="0"/>
    <xf numFmtId="0" fontId="5" fillId="0" borderId="0" pivotButton="0" quotePrefix="0" xfId="0"/>
    <xf numFmtId="0" fontId="24" fillId="2" borderId="0" applyAlignment="1" pivotButton="0" quotePrefix="0" xfId="0">
      <alignment vertical="center"/>
    </xf>
    <xf numFmtId="0" fontId="25" fillId="2" borderId="0" pivotButton="0" quotePrefix="0" xfId="0"/>
    <xf numFmtId="0" fontId="18" fillId="0" borderId="18" applyAlignment="1" pivotButton="0" quotePrefix="0" xfId="0">
      <alignment vertical="top" wrapText="1"/>
    </xf>
    <xf numFmtId="0" fontId="19" fillId="0" borderId="18" applyAlignment="1" pivotButton="0" quotePrefix="0" xfId="0">
      <alignment vertical="top" wrapText="1"/>
    </xf>
    <xf numFmtId="0" fontId="26" fillId="0" borderId="18" pivotButton="0" quotePrefix="0" xfId="0"/>
    <xf numFmtId="0" fontId="19" fillId="0" borderId="18" applyAlignment="1" pivotButton="0" quotePrefix="0" xfId="0">
      <alignment vertical="center" wrapText="1"/>
    </xf>
    <xf numFmtId="0" fontId="27" fillId="3" borderId="11" applyAlignment="1" applyProtection="1" pivotButton="0" quotePrefix="0" xfId="0">
      <alignment horizontal="center"/>
      <protection locked="0" hidden="0"/>
    </xf>
    <xf numFmtId="0" fontId="19" fillId="0" borderId="0" pivotButton="0" quotePrefix="0" xfId="0"/>
    <xf numFmtId="0" fontId="3" fillId="0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5" pivotButton="0" quotePrefix="0" xfId="0"/>
    <xf numFmtId="0" fontId="2" fillId="0" borderId="3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9" fillId="8" borderId="19" applyAlignment="1" pivotButton="0" quotePrefix="0" xfId="0">
      <alignment horizontal="center" vertical="center"/>
    </xf>
    <xf numFmtId="0" fontId="0" fillId="0" borderId="21" pivotButton="0" quotePrefix="0" xfId="0"/>
    <xf numFmtId="9" fontId="10" fillId="9" borderId="30" applyAlignment="1" pivotButton="0" quotePrefix="0" xfId="0">
      <alignment horizontal="center" vertical="center"/>
    </xf>
    <xf numFmtId="0" fontId="0" fillId="0" borderId="32" pivotButton="0" quotePrefix="0" xfId="0"/>
    <xf numFmtId="1" fontId="10" fillId="9" borderId="30" applyAlignment="1" pivotButton="0" quotePrefix="0" xfId="0">
      <alignment horizontal="center" vertical="center"/>
    </xf>
    <xf numFmtId="49" fontId="10" fillId="9" borderId="30" applyAlignment="1" pivotButton="0" quotePrefix="0" xfId="0">
      <alignment horizontal="center" vertical="center"/>
    </xf>
    <xf numFmtId="164" fontId="10" fillId="3" borderId="30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5" pivotButton="0" quotePrefix="0" xfId="0"/>
  </cellXfs>
  <cellStyles count="1">
    <cellStyle name="Normal" xfId="0" builtinId="0" hidden="0"/>
  </cellStyles>
  <dxfs count="3">
    <dxf>
      <font>
        <name val="Abadi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badi"/>
        <b val="1"/>
        <color rgb="007F5F00"/>
      </font>
      <fill>
        <patternFill patternType="solid">
          <fgColor rgb="00FFEB9C"/>
          <bgColor rgb="00FFEB9C"/>
        </patternFill>
      </fill>
    </dxf>
    <dxf>
      <font>
        <name val="Abadi"/>
        <b val="1"/>
        <color rgb="00B3261E"/>
      </font>
      <fill>
        <patternFill patternType="solid">
          <fgColor rgb="00FFD6D0"/>
          <bgColor rgb="00FFD6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Actividades por estatus</a:t>
            </a:r>
          </a:p>
        </rich>
      </tx>
    </title>
    <plotArea>
      <pieChart>
        <varyColors val="1"/>
        <ser>
          <idx val="0"/>
          <order val="0"/>
          <tx>
            <strRef>
              <f>'TABLERO'!C46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A97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E7C8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3BE7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8604C"/>
              </a:solidFill>
              <a:ln xmlns:a="http://schemas.openxmlformats.org/drawingml/2006/main">
                <a:prstDash val="solid"/>
              </a:ln>
            </spPr>
          </dPt>
          <cat>
            <numRef>
              <f>'TABLERO'!$B$47:$B$50</f>
            </numRef>
          </cat>
          <val>
            <numRef>
              <f>'TABLERO'!$C$47:$C$50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Riesgos por clasificación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'TABLERO'!F46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prstDash val="solid"/>
            </a:ln>
          </spPr>
          <cat>
            <numRef>
              <f>'TABLERO'!$E$47:$E$49</f>
            </numRef>
          </cat>
          <val>
            <numRef>
              <f>'TABLERO'!$F$47:$F$49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Actividades por responsable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'TABLERO'!C53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'TABLERO'!$B$54:$B$61</f>
            </numRef>
          </cat>
          <val>
            <numRef>
              <f>'TABLERO'!$C$54:$C$61</f>
            </numRef>
          </val>
        </ser>
        <ser>
          <idx val="1"/>
          <order val="1"/>
          <tx>
            <strRef>
              <f>'TABLERO'!D53</f>
            </strRef>
          </tx>
          <spPr>
            <a:solidFill xmlns:a="http://schemas.openxmlformats.org/drawingml/2006/main">
              <a:srgbClr val="0E7C8B"/>
            </a:solidFill>
            <a:ln xmlns:a="http://schemas.openxmlformats.org/drawingml/2006/main">
              <a:solidFill>
                <a:srgbClr val="0E7C8B"/>
              </a:solidFill>
              <a:prstDash val="solid"/>
            </a:ln>
          </spPr>
          <cat>
            <numRef>
              <f>'TABLERO'!$B$54:$B$61</f>
            </numRef>
          </cat>
          <val>
            <numRef>
              <f>'TABLERO'!$D$54:$D$61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Proyectos: avance planeado vs. real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'TABLERO'!G53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solidFill>
                <a:srgbClr val="C9A227"/>
              </a:solidFill>
              <a:prstDash val="solid"/>
            </a:ln>
          </spPr>
          <cat>
            <numRef>
              <f>'TABLERO'!$F$54:$F$61</f>
            </numRef>
          </cat>
          <val>
            <numRef>
              <f>'TABLERO'!$G$54:$G$61</f>
            </numRef>
          </val>
        </ser>
        <ser>
          <idx val="1"/>
          <order val="1"/>
          <tx>
            <strRef>
              <f>'TABLERO'!H53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'TABLERO'!$F$54:$F$61</f>
            </numRef>
          </cat>
          <val>
            <numRef>
              <f>'TABLERO'!$H$54:$H$61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1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41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27</row>
      <rowOff>0</rowOff>
    </from>
    <ext cx="41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27</row>
      <rowOff>0</rowOff>
    </from>
    <ext cx="414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CONTROL OPERATIVO SEMANAL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TABLERO</t>
        </is>
      </c>
      <c r="D16" s="13" t="inlineStr">
        <is>
          <t>Tablero ejecutivo: semáforo general, indicadores clave, gráficas y texto automático para el reporte semanal.</t>
        </is>
      </c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ACTIVIDADES</t>
        </is>
      </c>
      <c r="D17" s="13" t="inlineStr">
        <is>
          <t>Registro semanal de actividades con responsable, fecha compromiso, avance y semáforo automático.</t>
        </is>
      </c>
      <c r="G17" s="4" t="n"/>
    </row>
    <row r="18" ht="36" customHeight="1">
      <c r="A18" s="4" t="n"/>
      <c r="B18" s="11" t="inlineStr">
        <is>
          <t>▸</t>
        </is>
      </c>
      <c r="C18" s="12" t="inlineStr">
        <is>
          <t>PROYECTOS</t>
        </is>
      </c>
      <c r="D18" s="13" t="inlineStr">
        <is>
          <t>Seguimiento de proyectos: avance planeado vs. real, presupuesto ejercido y semáforo.</t>
        </is>
      </c>
      <c r="G18" s="4" t="n"/>
    </row>
    <row r="19" ht="21" customHeight="1">
      <c r="A19" s="4" t="n"/>
      <c r="B19" s="11" t="inlineStr">
        <is>
          <t>▸</t>
        </is>
      </c>
      <c r="C19" s="12" t="inlineStr">
        <is>
          <t>PENDIENTES</t>
        </is>
      </c>
      <c r="D19" s="13" t="inlineStr">
        <is>
          <t>Lista de pendientes con origen, responsable, antigüedad y semáforo.</t>
        </is>
      </c>
      <c r="G19" s="4" t="n"/>
    </row>
    <row r="20" ht="36" customHeight="1">
      <c r="A20" s="4" t="n"/>
      <c r="B20" s="11" t="inlineStr">
        <is>
          <t>▸</t>
        </is>
      </c>
      <c r="C20" s="12" t="inlineStr">
        <is>
          <t>RIESGOS</t>
        </is>
      </c>
      <c r="D20" s="13" t="inlineStr">
        <is>
          <t>Registro de riesgos con probabilidad, impacto, clasificación automática y matriz de calor.</t>
        </is>
      </c>
      <c r="G20" s="4" t="n"/>
    </row>
    <row r="21" ht="36" customHeight="1">
      <c r="A21" s="4" t="n"/>
      <c r="B21" s="11" t="inlineStr">
        <is>
          <t>▸</t>
        </is>
      </c>
      <c r="C21" s="12" t="inlineStr">
        <is>
          <t>DECISIONES</t>
        </is>
      </c>
      <c r="D21" s="13" t="inlineStr">
        <is>
          <t>Decisiones que requiere la dirección: contexto, opciones, recomendación y fecha requerida.</t>
        </is>
      </c>
      <c r="G21" s="4" t="n"/>
    </row>
    <row r="22" ht="36" customHeight="1">
      <c r="A22" s="4" t="n"/>
      <c r="B22" s="11" t="inlineStr">
        <is>
          <t>▸</t>
        </is>
      </c>
      <c r="C22" s="12" t="inlineStr">
        <is>
          <t>INDICADORES</t>
        </is>
      </c>
      <c r="D22" s="13" t="inlineStr">
        <is>
          <t>Indicadores con meta y 12 semanas de historia; cumplimiento y semáforo automáticos.</t>
        </is>
      </c>
      <c r="G22" s="4" t="n"/>
    </row>
    <row r="23" ht="36" customHeight="1">
      <c r="A23" s="4" t="n"/>
      <c r="B23" s="11" t="inlineStr">
        <is>
          <t>▸</t>
        </is>
      </c>
      <c r="C23" s="12" t="inlineStr">
        <is>
          <t>CATÁLOGOS</t>
        </is>
      </c>
      <c r="D23" s="13" t="inlineStr">
        <is>
          <t>Listas editables (categorías, métodos, unidades) que alimentan los menús desplegables.</t>
        </is>
      </c>
      <c r="G23" s="4" t="n"/>
    </row>
    <row r="24" ht="21" customHeight="1">
      <c r="A24" s="4" t="n"/>
      <c r="B24" s="11" t="inlineStr">
        <is>
          <t>▸</t>
        </is>
      </c>
      <c r="C24" s="14" t="inlineStr">
        <is>
          <t>AYUDA</t>
        </is>
      </c>
      <c r="D24" s="13" t="inlineStr">
        <is>
          <t>Preguntas frecuentes, glosario y lista de verificación para cerrar tu periodo.</t>
        </is>
      </c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 ht="24" customHeight="1">
      <c r="A26" s="4" t="n"/>
      <c r="B26" s="9" t="inlineStr">
        <is>
          <t>CÓMO USARLO</t>
        </is>
      </c>
      <c r="C26" s="10" t="n"/>
      <c r="D26" s="10" t="n"/>
      <c r="E26" s="10" t="n"/>
      <c r="F26" s="10" t="n"/>
      <c r="G26" s="4" t="n"/>
    </row>
    <row r="27" ht="21" customHeight="1">
      <c r="A27" s="4" t="n"/>
      <c r="B27" s="15" t="n">
        <v>1</v>
      </c>
      <c r="C27" s="13" t="inlineStr">
        <is>
          <t>Define tus responsables, estatus y prioridades en la hoja CATÁLOGOS (todo el libro usa esas listas).</t>
        </is>
      </c>
      <c r="G27" s="4" t="n"/>
    </row>
    <row r="28" ht="36" customHeight="1">
      <c r="A28" s="4" t="n"/>
      <c r="B28" s="15" t="n">
        <v>2</v>
      </c>
      <c r="C28" s="13" t="inlineStr">
        <is>
          <t>Captura cada semana tus ACTIVIDADES, PROYECTOS, PENDIENTES, RIESGOS, DECISIONES e INDICADORES; los semáforos se calculan solos.</t>
        </is>
      </c>
      <c r="G28" s="4" t="n"/>
    </row>
    <row r="29" ht="21" customHeight="1">
      <c r="A29" s="4" t="n"/>
      <c r="B29" s="15" t="n">
        <v>3</v>
      </c>
      <c r="C29" s="13" t="inlineStr">
        <is>
          <t>La FECHA DE CORTE del TABLERO se actualiza con HOY; puedes escribir una fecha fija para cerrar una semana.</t>
        </is>
      </c>
      <c r="G29" s="4" t="n"/>
    </row>
    <row r="30" ht="36" customHeight="1">
      <c r="A30" s="4" t="n"/>
      <c r="B30" s="15" t="n">
        <v>4</v>
      </c>
      <c r="C30" s="13" t="inlineStr">
        <is>
          <t>Lee el TABLERO: semáforo general, indicadores clave y gráficas. El texto de la celda B10 sirve de resumen para tu reporte semanal.</t>
        </is>
      </c>
      <c r="G30" s="4" t="n"/>
    </row>
    <row r="31" ht="36" customHeight="1">
      <c r="A31" s="4" t="n"/>
      <c r="B31" s="15" t="n">
        <v>5</v>
      </c>
      <c r="C31" s="13" t="inlineStr">
        <is>
          <t>Envía a dirección el reporte semanal (formato Word incluido en el paquete) con los pendientes, riesgos y decisiones en rojo o ámbar.</t>
        </is>
      </c>
      <c r="G31" s="4" t="n"/>
    </row>
    <row r="32" ht="36" customHeight="1">
      <c r="A32" s="4" t="n"/>
      <c r="B32" s="15" t="n">
        <v>6</v>
      </c>
      <c r="C32" s="13" t="inlineStr">
        <is>
          <t>Personaliza: inserta tu logotipo en el recuadro punteado de la esquina superior derecha (Insertar &gt; Imágenes) y captura los datos de tu empresa en las celdas de captura.</t>
        </is>
      </c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 ht="24" customHeight="1">
      <c r="A34" s="4" t="n"/>
      <c r="B34" s="9" t="inlineStr">
        <is>
          <t>RECOMENDACIONES DE USO</t>
        </is>
      </c>
      <c r="C34" s="10" t="n"/>
      <c r="D34" s="10" t="n"/>
      <c r="E34" s="10" t="n"/>
      <c r="F34" s="10" t="n"/>
      <c r="G34" s="4" t="n"/>
    </row>
    <row r="35" ht="21" customHeight="1">
      <c r="A35" s="4" t="n"/>
      <c r="B35" s="16" t="inlineStr">
        <is>
          <t>✓</t>
        </is>
      </c>
      <c r="C35" s="13" t="inlineStr">
        <is>
          <t>Actualiza el libro una vez por semana (por ejemplo, los viernes) antes de enviar el reporte a dirección.</t>
        </is>
      </c>
      <c r="G35" s="4" t="n"/>
    </row>
    <row r="36" ht="36" customHeight="1">
      <c r="A36" s="4" t="n"/>
      <c r="B36" s="16" t="inlineStr">
        <is>
          <t>✓</t>
        </is>
      </c>
      <c r="C36" s="13" t="inlineStr">
        <is>
          <t>Cambia la FECHA DE CORTE del TABLERO (o déjala en HOY) y revisa los semáforos: todo lo rojo requiere acción o decisión.</t>
        </is>
      </c>
      <c r="G36" s="4" t="n"/>
    </row>
    <row r="37" ht="21" customHeight="1">
      <c r="A37" s="4" t="n"/>
      <c r="B37" s="16" t="inlineStr">
        <is>
          <t>✓</t>
        </is>
      </c>
      <c r="C37" s="13" t="inlineStr">
        <is>
          <t>Un pendiente sin responsable y sin fecha no es un pendiente: asigna ambos antes de guardarlo.</t>
        </is>
      </c>
      <c r="G37" s="4" t="n"/>
    </row>
    <row r="38" ht="36" customHeight="1">
      <c r="A38" s="4" t="n"/>
      <c r="B38" s="16" t="inlineStr">
        <is>
          <t>✓</t>
        </is>
      </c>
      <c r="C38" s="13" t="inlineStr">
        <is>
          <t>Registra riesgos antes de que ocurran; califica probabilidad e impacto de 1 a 5 y atiende primero los de nivel ALTO.</t>
        </is>
      </c>
      <c r="G38" s="4" t="n"/>
    </row>
    <row r="39" ht="21" customHeight="1">
      <c r="A39" s="4" t="n"/>
      <c r="B39" s="16" t="inlineStr">
        <is>
          <t>✓</t>
        </is>
      </c>
      <c r="C39" s="13" t="inlineStr">
        <is>
          <t>Las decisiones requeridas deben llegar a la junta con contexto, opciones y una recomendación.</t>
        </is>
      </c>
      <c r="G39" s="4" t="n"/>
    </row>
    <row r="40" ht="21" customHeight="1">
      <c r="A40" s="4" t="n"/>
      <c r="B40" s="16" t="inlineStr">
        <is>
          <t>✓</t>
        </is>
      </c>
      <c r="C40" s="13" t="inlineStr">
        <is>
          <t>Guarda una copia del archivo cada semana (Archivo &gt; Guardar como) para conservar el historial.</t>
        </is>
      </c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 ht="24" customHeight="1">
      <c r="A42" s="4" t="n"/>
      <c r="B42" s="9" t="inlineStr">
        <is>
          <t>LEYENDA DE COLORES</t>
        </is>
      </c>
      <c r="C42" s="10" t="n"/>
      <c r="D42" s="10" t="n"/>
      <c r="E42" s="10" t="n"/>
      <c r="F42" s="10" t="n"/>
      <c r="G42" s="4" t="n"/>
    </row>
    <row r="43">
      <c r="A43" s="4" t="n"/>
      <c r="B43" s="17" t="inlineStr"/>
      <c r="C43" s="18" t="inlineStr">
        <is>
          <t>CELDA DE CAPTURA: escribe aquí.</t>
        </is>
      </c>
      <c r="D43" s="4" t="n"/>
      <c r="E43" s="4" t="n"/>
      <c r="F43" s="4" t="n"/>
      <c r="G43" s="4" t="n"/>
    </row>
    <row r="44">
      <c r="A44" s="4" t="n"/>
      <c r="B44" s="19" t="inlineStr"/>
      <c r="C44" s="18" t="inlineStr">
        <is>
          <t>CÁLCULO AUTOMÁTICO: no la modifiques.</t>
        </is>
      </c>
      <c r="D44" s="4" t="n"/>
      <c r="E44" s="4" t="n"/>
      <c r="F44" s="4" t="n"/>
      <c r="G44" s="4" t="n"/>
    </row>
    <row r="45">
      <c r="A45" s="4" t="n"/>
      <c r="B45" s="20" t="inlineStr"/>
      <c r="C45" s="18" t="inlineStr">
        <is>
          <t>ENCABEZADOS Y TÍTULOS.</t>
        </is>
      </c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 ht="26" customHeight="1">
      <c r="A47" s="1" t="n"/>
      <c r="B47" s="21" t="inlineStr">
        <is>
          <t>Formatos administrativos  ·  Para uso interno de tu empresa</t>
        </is>
      </c>
      <c r="G4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5">
    <mergeCell ref="C39:F39"/>
    <mergeCell ref="B47:F47"/>
    <mergeCell ref="C38:F38"/>
    <mergeCell ref="D17:F17"/>
    <mergeCell ref="C32:F32"/>
    <mergeCell ref="C37:F37"/>
    <mergeCell ref="D16:F16"/>
    <mergeCell ref="C28:F28"/>
    <mergeCell ref="D21:F21"/>
    <mergeCell ref="D18:F18"/>
    <mergeCell ref="C30:F30"/>
    <mergeCell ref="B4:F5"/>
    <mergeCell ref="D24:F24"/>
    <mergeCell ref="D23:F23"/>
    <mergeCell ref="C35:F35"/>
    <mergeCell ref="E2:F2"/>
    <mergeCell ref="C29:F29"/>
    <mergeCell ref="D20:F20"/>
    <mergeCell ref="C40:F40"/>
    <mergeCell ref="D19:F19"/>
    <mergeCell ref="C31:F31"/>
    <mergeCell ref="B6:F6"/>
    <mergeCell ref="D22:F22"/>
    <mergeCell ref="C27:F27"/>
    <mergeCell ref="C36:F36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TABLERO EJECUTIVO SEMANAL</t>
        </is>
      </c>
      <c r="H1" s="68" t="inlineStr">
        <is>
          <t>INSERTE SU LOGO
(clic derecho &gt; Insertar imagen)</t>
        </is>
      </c>
      <c r="I1" s="69" t="n"/>
      <c r="J1" s="70" t="n"/>
    </row>
    <row r="2" ht="26" customHeight="1">
      <c r="A2" s="71" t="inlineStr">
        <is>
          <t>Lectura rápida para dirección: avances, pendientes, riesgos y decisiones</t>
        </is>
      </c>
      <c r="B2" s="72" t="n"/>
      <c r="C2" s="72" t="n"/>
      <c r="D2" s="72" t="n"/>
      <c r="E2" s="72" t="n"/>
      <c r="F2" s="72" t="n"/>
      <c r="G2" s="72" t="n"/>
      <c r="H2" s="73" t="n"/>
      <c r="I2" s="74" t="n"/>
      <c r="J2" s="7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76" t="inlineStr">
        <is>
          <t>ACTIVIDADES CUMPLIDAS</t>
        </is>
      </c>
      <c r="C4" s="77" t="n"/>
      <c r="D4" s="76" t="inlineStr">
        <is>
          <t>ACTIVIDADES VENCIDAS</t>
        </is>
      </c>
      <c r="E4" s="77" t="n"/>
      <c r="F4" s="76" t="inlineStr">
        <is>
          <t>PENDIENTES ABIERTOS</t>
        </is>
      </c>
      <c r="G4" s="77" t="n"/>
      <c r="H4" s="76" t="inlineStr">
        <is>
          <t>RIESGOS ALTOS</t>
        </is>
      </c>
      <c r="I4" s="77" t="n"/>
      <c r="J4" s="4" t="n"/>
    </row>
    <row r="5" ht="36" customHeight="1">
      <c r="A5" s="4" t="n"/>
      <c r="B5" s="78">
        <f>IFERROR(COUNTIF(ACTIVIDADES!$I$5:$I$204,"TERMINADO")/COUNTA(ACTIVIDADES!$C$5:$C$204),0)</f>
        <v/>
      </c>
      <c r="C5" s="79" t="n"/>
      <c r="D5" s="80">
        <f>COUNTIF(ACTIVIDADES!$L$5:$L$204,"VENCIDO")</f>
        <v/>
      </c>
      <c r="E5" s="79" t="n"/>
      <c r="F5" s="80">
        <f>COUNTIFS(PENDIENTES!$H$5:$H$154,"&lt;&gt;TERMINADO",PENDIENTES!$B$5:$B$154,"&lt;&gt;")</f>
        <v/>
      </c>
      <c r="G5" s="79" t="n"/>
      <c r="H5" s="80">
        <f>COUNTIF(RIESGOS!$G$5:$G$64,"ALTO")</f>
        <v/>
      </c>
      <c r="I5" s="79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4" t="n"/>
      <c r="B7" s="76" t="inlineStr">
        <is>
          <t>DECISIONES PENDIENTES</t>
        </is>
      </c>
      <c r="C7" s="77" t="n"/>
      <c r="D7" s="76" t="inlineStr">
        <is>
          <t>PROYECTOS EN ROJO</t>
        </is>
      </c>
      <c r="E7" s="77" t="n"/>
      <c r="F7" s="76" t="inlineStr">
        <is>
          <t>SEMÁFORO GENERAL</t>
        </is>
      </c>
      <c r="G7" s="77" t="n"/>
      <c r="H7" s="76" t="inlineStr">
        <is>
          <t>FECHA DE CORTE</t>
        </is>
      </c>
      <c r="I7" s="77" t="n"/>
      <c r="J7" s="4" t="n"/>
    </row>
    <row r="8" ht="36" customHeight="1">
      <c r="A8" s="4" t="n"/>
      <c r="B8" s="80">
        <f>COUNTIFS(DECISIONES!$H$5:$H$64,"PENDIENTE",DECISIONES!$B$5:$B$64,"&lt;&gt;")</f>
        <v/>
      </c>
      <c r="C8" s="79" t="n"/>
      <c r="D8" s="80">
        <f>COUNTIF(PROYECTOS!$M$5:$M$44,"ROJO")</f>
        <v/>
      </c>
      <c r="E8" s="79" t="n"/>
      <c r="F8" s="81">
        <f>IF(OR(D5&gt;5,H5&gt;2,D8&gt;0),"ROJO",IF(OR(D5&gt;0,H5&gt;0,B8&gt;0,F5&gt;5),"ÁMBAR","VERDE"))</f>
        <v/>
      </c>
      <c r="G8" s="79" t="n"/>
      <c r="H8" s="82" t="n">
        <v>46302</v>
      </c>
      <c r="I8" s="83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34" customHeight="1">
      <c r="A10" s="4" t="n"/>
      <c r="B10" s="39">
        <f>"SEMANA AL "&amp;TEXT(H8,"DD/MM/YYYY")&amp;": "&amp;TEXT(B5,"0%")&amp;" DE LAS ACTIVIDADES CUMPLIDAS, "&amp;D5&amp;" VENCIDAS, "&amp;F5&amp;" PENDIENTES ABIERTOS, "&amp;H5&amp;" RIESGOS ALTOS, "&amp;B8&amp;" DECISIONES POR TOMAR Y "&amp;D8&amp;" PROYECTOS EN ROJO. SEMÁFORO GENERAL: "&amp;F8&amp;"."</f>
        <v/>
      </c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32" customHeight="1">
      <c r="A46" s="4" t="n"/>
      <c r="B46" s="40" t="inlineStr">
        <is>
          <t>ESTATUS DE ACTIVIDADES</t>
        </is>
      </c>
      <c r="C46" s="40" t="inlineStr">
        <is>
          <t>ACTIVIDADES</t>
        </is>
      </c>
      <c r="D46" s="4" t="n"/>
      <c r="E46" s="40" t="inlineStr">
        <is>
          <t>CLASIFICACIÓN DE RIESGOS</t>
        </is>
      </c>
      <c r="F46" s="40" t="inlineStr">
        <is>
          <t>RIESGOS</t>
        </is>
      </c>
      <c r="G46" s="4" t="n"/>
      <c r="H46" s="4" t="n"/>
      <c r="I46" s="4" t="n"/>
      <c r="J46" s="4" t="n"/>
    </row>
    <row r="47">
      <c r="A47" s="4" t="n"/>
      <c r="B47" s="41" t="inlineStr">
        <is>
          <t>PENDIENTE</t>
        </is>
      </c>
      <c r="C47" s="42">
        <f>COUNTIF(ACTIVIDADES!$I$5:$I$204,B47)</f>
        <v/>
      </c>
      <c r="D47" s="4" t="n"/>
      <c r="E47" s="41" t="inlineStr">
        <is>
          <t>ALTO</t>
        </is>
      </c>
      <c r="F47" s="42">
        <f>COUNTIF(RIESGOS!$G$5:$G$64,E47)</f>
        <v/>
      </c>
      <c r="G47" s="4" t="n"/>
      <c r="H47" s="4" t="n"/>
      <c r="I47" s="4" t="n"/>
      <c r="J47" s="4" t="n"/>
    </row>
    <row r="48">
      <c r="A48" s="4" t="n"/>
      <c r="B48" s="41" t="inlineStr">
        <is>
          <t>EN PROCESO</t>
        </is>
      </c>
      <c r="C48" s="42">
        <f>COUNTIF(ACTIVIDADES!$I$5:$I$204,B48)</f>
        <v/>
      </c>
      <c r="D48" s="4" t="n"/>
      <c r="E48" s="41" t="inlineStr">
        <is>
          <t>MEDIO</t>
        </is>
      </c>
      <c r="F48" s="42">
        <f>COUNTIF(RIESGOS!$G$5:$G$64,E48)</f>
        <v/>
      </c>
      <c r="G48" s="4" t="n"/>
      <c r="H48" s="4" t="n"/>
      <c r="I48" s="4" t="n"/>
      <c r="J48" s="4" t="n"/>
    </row>
    <row r="49">
      <c r="A49" s="4" t="n"/>
      <c r="B49" s="41" t="inlineStr">
        <is>
          <t>TERMINADO</t>
        </is>
      </c>
      <c r="C49" s="42">
        <f>COUNTIF(ACTIVIDADES!$I$5:$I$204,B49)</f>
        <v/>
      </c>
      <c r="D49" s="4" t="n"/>
      <c r="E49" s="41" t="inlineStr">
        <is>
          <t>BAJO</t>
        </is>
      </c>
      <c r="F49" s="42">
        <f>COUNTIF(RIESGOS!$G$5:$G$64,E49)</f>
        <v/>
      </c>
      <c r="G49" s="4" t="n"/>
      <c r="H49" s="4" t="n"/>
      <c r="I49" s="4" t="n"/>
      <c r="J49" s="4" t="n"/>
    </row>
    <row r="50">
      <c r="A50" s="4" t="n"/>
      <c r="B50" s="41" t="inlineStr">
        <is>
          <t>BLOQUEADO</t>
        </is>
      </c>
      <c r="C50" s="42">
        <f>COUNTIF(ACTIVIDADES!$I$5:$I$204,B50)</f>
        <v/>
      </c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32" customHeight="1">
      <c r="A53" s="4" t="n"/>
      <c r="B53" s="40" t="inlineStr">
        <is>
          <t>RESPONSABLE</t>
        </is>
      </c>
      <c r="C53" s="40" t="inlineStr">
        <is>
          <t>ASIGNADAS</t>
        </is>
      </c>
      <c r="D53" s="40" t="inlineStr">
        <is>
          <t>TERMINADAS</t>
        </is>
      </c>
      <c r="E53" s="4" t="n"/>
      <c r="F53" s="40" t="inlineStr">
        <is>
          <t>PROYECTO</t>
        </is>
      </c>
      <c r="G53" s="40" t="inlineStr">
        <is>
          <t>AVANCE PLANEADO</t>
        </is>
      </c>
      <c r="H53" s="40" t="inlineStr">
        <is>
          <t>AVANCE REAL</t>
        </is>
      </c>
      <c r="I53" s="4" t="n"/>
      <c r="J53" s="4" t="n"/>
    </row>
    <row r="54">
      <c r="A54" s="4" t="n"/>
      <c r="B54" s="41">
        <f>IF('CATÁLOGOS'!B5="","",'CATÁLOGOS'!B5)</f>
        <v/>
      </c>
      <c r="C54" s="42">
        <f>IF(B54="",0,COUNTIF(ACTIVIDADES!$E$5:$E$204,B54))</f>
        <v/>
      </c>
      <c r="D54" s="42">
        <f>IF(B54="",0,COUNTIFS(ACTIVIDADES!$E$5:$E$204,B54,ACTIVIDADES!$I$5:$I$204,"TERMINADO"))</f>
        <v/>
      </c>
      <c r="E54" s="4" t="n"/>
      <c r="F54" s="41">
        <f>IF(PROYECTOS!B5="","",LEFT(PROYECTOS!B5,26))</f>
        <v/>
      </c>
      <c r="G54" s="43">
        <f>IF(PROYECTOS!G5="",0,PROYECTOS!G5)</f>
        <v/>
      </c>
      <c r="H54" s="43">
        <f>IF(PROYECTOS!H5="",0,PROYECTOS!H5)</f>
        <v/>
      </c>
      <c r="I54" s="4" t="n"/>
      <c r="J54" s="4" t="n"/>
    </row>
    <row r="55">
      <c r="A55" s="4" t="n"/>
      <c r="B55" s="41">
        <f>IF('CATÁLOGOS'!B6="","",'CATÁLOGOS'!B6)</f>
        <v/>
      </c>
      <c r="C55" s="42">
        <f>IF(B55="",0,COUNTIF(ACTIVIDADES!$E$5:$E$204,B55))</f>
        <v/>
      </c>
      <c r="D55" s="42">
        <f>IF(B55="",0,COUNTIFS(ACTIVIDADES!$E$5:$E$204,B55,ACTIVIDADES!$I$5:$I$204,"TERMINADO"))</f>
        <v/>
      </c>
      <c r="E55" s="4" t="n"/>
      <c r="F55" s="41">
        <f>IF(PROYECTOS!B6="","",LEFT(PROYECTOS!B6,26))</f>
        <v/>
      </c>
      <c r="G55" s="43">
        <f>IF(PROYECTOS!G6="",0,PROYECTOS!G6)</f>
        <v/>
      </c>
      <c r="H55" s="43">
        <f>IF(PROYECTOS!H6="",0,PROYECTOS!H6)</f>
        <v/>
      </c>
      <c r="I55" s="4" t="n"/>
      <c r="J55" s="4" t="n"/>
    </row>
    <row r="56">
      <c r="A56" s="4" t="n"/>
      <c r="B56" s="41">
        <f>IF('CATÁLOGOS'!B7="","",'CATÁLOGOS'!B7)</f>
        <v/>
      </c>
      <c r="C56" s="42">
        <f>IF(B56="",0,COUNTIF(ACTIVIDADES!$E$5:$E$204,B56))</f>
        <v/>
      </c>
      <c r="D56" s="42">
        <f>IF(B56="",0,COUNTIFS(ACTIVIDADES!$E$5:$E$204,B56,ACTIVIDADES!$I$5:$I$204,"TERMINADO"))</f>
        <v/>
      </c>
      <c r="E56" s="4" t="n"/>
      <c r="F56" s="41">
        <f>IF(PROYECTOS!B7="","",LEFT(PROYECTOS!B7,26))</f>
        <v/>
      </c>
      <c r="G56" s="43">
        <f>IF(PROYECTOS!G7="",0,PROYECTOS!G7)</f>
        <v/>
      </c>
      <c r="H56" s="43">
        <f>IF(PROYECTOS!H7="",0,PROYECTOS!H7)</f>
        <v/>
      </c>
      <c r="I56" s="4" t="n"/>
      <c r="J56" s="4" t="n"/>
    </row>
    <row r="57">
      <c r="A57" s="4" t="n"/>
      <c r="B57" s="41">
        <f>IF('CATÁLOGOS'!B8="","",'CATÁLOGOS'!B8)</f>
        <v/>
      </c>
      <c r="C57" s="42">
        <f>IF(B57="",0,COUNTIF(ACTIVIDADES!$E$5:$E$204,B57))</f>
        <v/>
      </c>
      <c r="D57" s="42">
        <f>IF(B57="",0,COUNTIFS(ACTIVIDADES!$E$5:$E$204,B57,ACTIVIDADES!$I$5:$I$204,"TERMINADO"))</f>
        <v/>
      </c>
      <c r="E57" s="4" t="n"/>
      <c r="F57" s="41">
        <f>IF(PROYECTOS!B8="","",LEFT(PROYECTOS!B8,26))</f>
        <v/>
      </c>
      <c r="G57" s="43">
        <f>IF(PROYECTOS!G8="",0,PROYECTOS!G8)</f>
        <v/>
      </c>
      <c r="H57" s="43">
        <f>IF(PROYECTOS!H8="",0,PROYECTOS!H8)</f>
        <v/>
      </c>
      <c r="I57" s="4" t="n"/>
      <c r="J57" s="4" t="n"/>
    </row>
    <row r="58">
      <c r="A58" s="4" t="n"/>
      <c r="B58" s="41">
        <f>IF('CATÁLOGOS'!B9="","",'CATÁLOGOS'!B9)</f>
        <v/>
      </c>
      <c r="C58" s="42">
        <f>IF(B58="",0,COUNTIF(ACTIVIDADES!$E$5:$E$204,B58))</f>
        <v/>
      </c>
      <c r="D58" s="42">
        <f>IF(B58="",0,COUNTIFS(ACTIVIDADES!$E$5:$E$204,B58,ACTIVIDADES!$I$5:$I$204,"TERMINADO"))</f>
        <v/>
      </c>
      <c r="E58" s="4" t="n"/>
      <c r="F58" s="41">
        <f>IF(PROYECTOS!B9="","",LEFT(PROYECTOS!B9,26))</f>
        <v/>
      </c>
      <c r="G58" s="43">
        <f>IF(PROYECTOS!G9="",0,PROYECTOS!G9)</f>
        <v/>
      </c>
      <c r="H58" s="43">
        <f>IF(PROYECTOS!H9="",0,PROYECTOS!H9)</f>
        <v/>
      </c>
      <c r="I58" s="4" t="n"/>
      <c r="J58" s="4" t="n"/>
    </row>
    <row r="59">
      <c r="A59" s="4" t="n"/>
      <c r="B59" s="41">
        <f>IF('CATÁLOGOS'!B10="","",'CATÁLOGOS'!B10)</f>
        <v/>
      </c>
      <c r="C59" s="42">
        <f>IF(B59="",0,COUNTIF(ACTIVIDADES!$E$5:$E$204,B59))</f>
        <v/>
      </c>
      <c r="D59" s="42">
        <f>IF(B59="",0,COUNTIFS(ACTIVIDADES!$E$5:$E$204,B59,ACTIVIDADES!$I$5:$I$204,"TERMINADO"))</f>
        <v/>
      </c>
      <c r="E59" s="4" t="n"/>
      <c r="F59" s="41">
        <f>IF(PROYECTOS!B10="","",LEFT(PROYECTOS!B10,26))</f>
        <v/>
      </c>
      <c r="G59" s="43">
        <f>IF(PROYECTOS!G10="",0,PROYECTOS!G10)</f>
        <v/>
      </c>
      <c r="H59" s="43">
        <f>IF(PROYECTOS!H10="",0,PROYECTOS!H10)</f>
        <v/>
      </c>
      <c r="I59" s="4" t="n"/>
      <c r="J59" s="4" t="n"/>
    </row>
    <row r="60">
      <c r="A60" s="4" t="n"/>
      <c r="B60" s="41">
        <f>IF('CATÁLOGOS'!B11="","",'CATÁLOGOS'!B11)</f>
        <v/>
      </c>
      <c r="C60" s="42">
        <f>IF(B60="",0,COUNTIF(ACTIVIDADES!$E$5:$E$204,B60))</f>
        <v/>
      </c>
      <c r="D60" s="42">
        <f>IF(B60="",0,COUNTIFS(ACTIVIDADES!$E$5:$E$204,B60,ACTIVIDADES!$I$5:$I$204,"TERMINADO"))</f>
        <v/>
      </c>
      <c r="E60" s="4" t="n"/>
      <c r="F60" s="41">
        <f>IF(PROYECTOS!B11="","",LEFT(PROYECTOS!B11,26))</f>
        <v/>
      </c>
      <c r="G60" s="43">
        <f>IF(PROYECTOS!G11="",0,PROYECTOS!G11)</f>
        <v/>
      </c>
      <c r="H60" s="43">
        <f>IF(PROYECTOS!H11="",0,PROYECTOS!H11)</f>
        <v/>
      </c>
      <c r="I60" s="4" t="n"/>
      <c r="J60" s="4" t="n"/>
    </row>
    <row r="61">
      <c r="A61" s="4" t="n"/>
      <c r="B61" s="41">
        <f>IF('CATÁLOGOS'!B12="","",'CATÁLOGOS'!B12)</f>
        <v/>
      </c>
      <c r="C61" s="42">
        <f>IF(B61="",0,COUNTIF(ACTIVIDADES!$E$5:$E$204,B61))</f>
        <v/>
      </c>
      <c r="D61" s="42">
        <f>IF(B61="",0,COUNTIFS(ACTIVIDADES!$E$5:$E$204,B61,ACTIVIDADES!$I$5:$I$204,"TERMINADO"))</f>
        <v/>
      </c>
      <c r="E61" s="4" t="n"/>
      <c r="F61" s="41">
        <f>IF(PROYECTOS!B12="","",LEFT(PROYECTOS!B12,26))</f>
        <v/>
      </c>
      <c r="G61" s="43">
        <f>IF(PROYECTOS!G12="",0,PROYECTOS!G12)</f>
        <v/>
      </c>
      <c r="H61" s="43">
        <f>IF(PROYECTOS!H12="",0,PROYECTOS!H12)</f>
        <v/>
      </c>
      <c r="I61" s="4" t="n"/>
      <c r="J61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0">
    <mergeCell ref="F4:G4"/>
    <mergeCell ref="B7:C7"/>
    <mergeCell ref="H4:I4"/>
    <mergeCell ref="F7:G7"/>
    <mergeCell ref="H1:J2"/>
    <mergeCell ref="F5:G5"/>
    <mergeCell ref="B8:C8"/>
    <mergeCell ref="F8:G8"/>
    <mergeCell ref="A1:G1"/>
    <mergeCell ref="D7:E7"/>
    <mergeCell ref="H7:I7"/>
    <mergeCell ref="B10:I10"/>
    <mergeCell ref="D4:E4"/>
    <mergeCell ref="D8:E8"/>
    <mergeCell ref="B5:C5"/>
    <mergeCell ref="D5:E5"/>
    <mergeCell ref="A2:G2"/>
    <mergeCell ref="H5:I5"/>
    <mergeCell ref="H8:I8"/>
    <mergeCell ref="B4:C4"/>
  </mergeCells>
  <conditionalFormatting sqref="F8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56" customWidth="1" min="3" max="3"/>
    <col width="32" customWidth="1" min="4" max="4"/>
    <col width="22" customWidth="1" min="5" max="5"/>
    <col width="12" customWidth="1" min="6" max="6"/>
    <col width="14" customWidth="1" min="7" max="7"/>
    <col width="14" customWidth="1" min="8" max="8"/>
    <col width="15" customWidth="1" min="9" max="9"/>
    <col width="10" customWidth="1" min="10" max="10"/>
    <col width="10" customWidth="1" min="11" max="11"/>
    <col width="15" customWidth="1" min="12" max="12"/>
    <col width="34" customWidth="1" min="13" max="13"/>
  </cols>
  <sheetData>
    <row r="1" ht="44" customHeight="1">
      <c r="A1" s="22" t="inlineStr">
        <is>
          <t>ACTIVIDADES DE LA SEMANA</t>
        </is>
      </c>
      <c r="M1" s="68" t="inlineStr">
        <is>
          <t>INSERTE SU LOGO
(clic derecho &gt; Insertar imagen)</t>
        </is>
      </c>
    </row>
    <row r="2" ht="26" customHeight="1">
      <c r="A2" s="71" t="inlineStr">
        <is>
          <t>Registro semanal de actividades con semáforo automático</t>
        </is>
      </c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2" t="n"/>
      <c r="L2" s="72" t="n"/>
      <c r="M2" s="8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32" customHeight="1">
      <c r="A4" s="40" t="inlineStr">
        <is>
          <t>NO.</t>
        </is>
      </c>
      <c r="B4" s="40" t="inlineStr">
        <is>
          <t>SEMANA (LUNES)</t>
        </is>
      </c>
      <c r="C4" s="40" t="inlineStr">
        <is>
          <t>ACTIVIDAD</t>
        </is>
      </c>
      <c r="D4" s="40" t="inlineStr">
        <is>
          <t>PROYECTO / ÁREA</t>
        </is>
      </c>
      <c r="E4" s="40" t="inlineStr">
        <is>
          <t>RESPONSABLE</t>
        </is>
      </c>
      <c r="F4" s="40" t="inlineStr">
        <is>
          <t>PRIORIDAD</t>
        </is>
      </c>
      <c r="G4" s="40" t="inlineStr">
        <is>
          <t>FECHA COMPROMISO</t>
        </is>
      </c>
      <c r="H4" s="40" t="inlineStr">
        <is>
          <t>FECHA REAL</t>
        </is>
      </c>
      <c r="I4" s="40" t="inlineStr">
        <is>
          <t>ESTATUS</t>
        </is>
      </c>
      <c r="J4" s="40" t="inlineStr">
        <is>
          <t>AVANCE</t>
        </is>
      </c>
      <c r="K4" s="40" t="inlineStr">
        <is>
          <t>DÍAS DE ATRASO</t>
        </is>
      </c>
      <c r="L4" s="40" t="inlineStr">
        <is>
          <t>SEMÁFORO</t>
        </is>
      </c>
      <c r="M4" s="40" t="inlineStr">
        <is>
          <t>EVIDENCIA / ENTREGABLE</t>
        </is>
      </c>
    </row>
    <row r="5">
      <c r="A5" s="46" t="n">
        <v>1</v>
      </c>
      <c r="B5" s="47" t="n">
        <v>46300</v>
      </c>
      <c r="C5" s="17" t="inlineStr">
        <is>
          <t>CONCILIAR FACTURAS DE PROVEEDORES DE SEPTIEMBRE</t>
        </is>
      </c>
      <c r="D5" s="17" t="inlineStr">
        <is>
          <t>ADMINISTRACIÓN</t>
        </is>
      </c>
      <c r="E5" s="17" t="inlineStr">
        <is>
          <t>FINANZAS</t>
        </is>
      </c>
      <c r="F5" s="17" t="inlineStr">
        <is>
          <t>ALTA</t>
        </is>
      </c>
      <c r="G5" s="47" t="n">
        <v>46301</v>
      </c>
      <c r="H5" s="47" t="n">
        <v>46301</v>
      </c>
      <c r="I5" s="17" t="inlineStr">
        <is>
          <t>TERMINADO</t>
        </is>
      </c>
      <c r="J5" s="48" t="n">
        <v>1</v>
      </c>
      <c r="K5" s="42">
        <f>IF(OR(C5="",G5="",I5="TERMINADO"),"",MAX(0,FECHA_CORTE-G5))</f>
        <v/>
      </c>
      <c r="L5" s="19">
        <f>IF(C5="","",IF(I5="TERMINADO","CUMPLIDO",IF(G5="","SIN FECHA",IF(G5&lt;FECHA_CORTE,"VENCIDO",IF(G5-FECHA_CORTE&lt;=2,"POR VENCER","EN TIEMPO")))))</f>
        <v/>
      </c>
      <c r="M5" s="17" t="inlineStr">
        <is>
          <t>REPORTE DE CONCILIACIÓN</t>
        </is>
      </c>
    </row>
    <row r="6">
      <c r="A6" s="46" t="n">
        <v>2</v>
      </c>
      <c r="B6" s="47" t="n">
        <v>46300</v>
      </c>
      <c r="C6" s="17" t="inlineStr">
        <is>
          <t>INTEGRAR EXPEDIENTE DE COMPRAS DE LA NAVE TOLUCA</t>
        </is>
      </c>
      <c r="D6" s="17" t="inlineStr">
        <is>
          <t>NAVE TOLUCA FASE 2</t>
        </is>
      </c>
      <c r="E6" s="17" t="inlineStr">
        <is>
          <t>COMPRAS</t>
        </is>
      </c>
      <c r="F6" s="17" t="inlineStr">
        <is>
          <t>ALTA</t>
        </is>
      </c>
      <c r="G6" s="47" t="n">
        <v>46302</v>
      </c>
      <c r="H6" s="47" t="n"/>
      <c r="I6" s="17" t="inlineStr">
        <is>
          <t>EN PROCESO</t>
        </is>
      </c>
      <c r="J6" s="48" t="n">
        <v>0.7</v>
      </c>
      <c r="K6" s="42">
        <f>IF(OR(C6="",G6="",I6="TERMINADO"),"",MAX(0,FECHA_CORTE-G6))</f>
        <v/>
      </c>
      <c r="L6" s="19">
        <f>IF(C6="","",IF(I6="TERMINADO","CUMPLIDO",IF(G6="","SIN FECHA",IF(G6&lt;FECHA_CORTE,"VENCIDO",IF(G6-FECHA_CORTE&lt;=2,"POR VENCER","EN TIEMPO")))))</f>
        <v/>
      </c>
      <c r="M6" s="17" t="inlineStr">
        <is>
          <t>EXPEDIENTE DIGITAL</t>
        </is>
      </c>
    </row>
    <row r="7">
      <c r="A7" s="46" t="n">
        <v>3</v>
      </c>
      <c r="B7" s="47" t="n">
        <v>46300</v>
      </c>
      <c r="C7" s="17" t="inlineStr">
        <is>
          <t>PRESENTAR PROPUESTA DE CIERRE A CONSTRUCTORA ALTAMIRA</t>
        </is>
      </c>
      <c r="D7" s="17" t="inlineStr">
        <is>
          <t>REMODELACIÓN OFICINAS</t>
        </is>
      </c>
      <c r="E7" s="17" t="inlineStr">
        <is>
          <t>PROYECTOS</t>
        </is>
      </c>
      <c r="F7" s="17" t="inlineStr">
        <is>
          <t>ALTA</t>
        </is>
      </c>
      <c r="G7" s="47" t="n">
        <v>46304</v>
      </c>
      <c r="H7" s="47" t="n"/>
      <c r="I7" s="17" t="inlineStr">
        <is>
          <t>EN PROCESO</t>
        </is>
      </c>
      <c r="J7" s="48" t="n">
        <v>0.5</v>
      </c>
      <c r="K7" s="42">
        <f>IF(OR(C7="",G7="",I7="TERMINADO"),"",MAX(0,FECHA_CORTE-G7))</f>
        <v/>
      </c>
      <c r="L7" s="19">
        <f>IF(C7="","",IF(I7="TERMINADO","CUMPLIDO",IF(G7="","SIN FECHA",IF(G7&lt;FECHA_CORTE,"VENCIDO",IF(G7-FECHA_CORTE&lt;=2,"POR VENCER","EN TIEMPO")))))</f>
        <v/>
      </c>
      <c r="M7" s="17" t="inlineStr">
        <is>
          <t>PRESENTACIÓN</t>
        </is>
      </c>
    </row>
    <row r="8">
      <c r="A8" s="46" t="n">
        <v>4</v>
      </c>
      <c r="B8" s="47" t="n">
        <v>46300</v>
      </c>
      <c r="C8" s="17" t="inlineStr">
        <is>
          <t>CALCULAR NÓMINA DE LA SEGUNDA QUINCENA DE SEPTIEMBRE</t>
        </is>
      </c>
      <c r="D8" s="17" t="inlineStr">
        <is>
          <t>NÓMINA</t>
        </is>
      </c>
      <c r="E8" s="17" t="inlineStr">
        <is>
          <t>RECURSOS HUMANOS</t>
        </is>
      </c>
      <c r="F8" s="17" t="inlineStr">
        <is>
          <t>ALTA</t>
        </is>
      </c>
      <c r="G8" s="47" t="n">
        <v>46296</v>
      </c>
      <c r="H8" s="47" t="n">
        <v>46296</v>
      </c>
      <c r="I8" s="17" t="inlineStr">
        <is>
          <t>TERMINADO</t>
        </is>
      </c>
      <c r="J8" s="48" t="n">
        <v>1</v>
      </c>
      <c r="K8" s="42">
        <f>IF(OR(C8="",G8="",I8="TERMINADO"),"",MAX(0,FECHA_CORTE-G8))</f>
        <v/>
      </c>
      <c r="L8" s="19">
        <f>IF(C8="","",IF(I8="TERMINADO","CUMPLIDO",IF(G8="","SIN FECHA",IF(G8&lt;FECHA_CORTE,"VENCIDO",IF(G8-FECHA_CORTE&lt;=2,"POR VENCER","EN TIEMPO")))))</f>
        <v/>
      </c>
      <c r="M8" s="17" t="inlineStr">
        <is>
          <t>LAYOUT DE DISPERSIÓN</t>
        </is>
      </c>
    </row>
    <row r="9">
      <c r="A9" s="46" t="n">
        <v>5</v>
      </c>
      <c r="B9" s="47" t="n">
        <v>46300</v>
      </c>
      <c r="C9" s="17" t="inlineStr">
        <is>
          <t>PRESENTAR DECLARACIÓN MENSUAL DE IVA</t>
        </is>
      </c>
      <c r="D9" s="17" t="inlineStr">
        <is>
          <t>CUMPLIMIENTO FISCAL</t>
        </is>
      </c>
      <c r="E9" s="17" t="inlineStr">
        <is>
          <t>FINANZAS</t>
        </is>
      </c>
      <c r="F9" s="17" t="inlineStr">
        <is>
          <t>ALTA</t>
        </is>
      </c>
      <c r="G9" s="47" t="n">
        <v>46300</v>
      </c>
      <c r="H9" s="47" t="n">
        <v>46300</v>
      </c>
      <c r="I9" s="17" t="inlineStr">
        <is>
          <t>TERMINADO</t>
        </is>
      </c>
      <c r="J9" s="48" t="n">
        <v>1</v>
      </c>
      <c r="K9" s="42">
        <f>IF(OR(C9="",G9="",I9="TERMINADO"),"",MAX(0,FECHA_CORTE-G9))</f>
        <v/>
      </c>
      <c r="L9" s="19">
        <f>IF(C9="","",IF(I9="TERMINADO","CUMPLIDO",IF(G9="","SIN FECHA",IF(G9&lt;FECHA_CORTE,"VENCIDO",IF(G9-FECHA_CORTE&lt;=2,"POR VENCER","EN TIEMPO")))))</f>
        <v/>
      </c>
      <c r="M9" s="17" t="inlineStr">
        <is>
          <t>ACUSE SAT</t>
        </is>
      </c>
    </row>
    <row r="10">
      <c r="A10" s="46" t="n">
        <v>6</v>
      </c>
      <c r="B10" s="47" t="n">
        <v>46300</v>
      </c>
      <c r="C10" s="17" t="inlineStr">
        <is>
          <t>ENVIAR FACTURAS PENDIENTES DE TIMBRAR</t>
        </is>
      </c>
      <c r="D10" s="17" t="inlineStr">
        <is>
          <t>FACTURACIÓN</t>
        </is>
      </c>
      <c r="E10" s="17" t="inlineStr">
        <is>
          <t>ADMINISTRACIÓN</t>
        </is>
      </c>
      <c r="F10" s="17" t="inlineStr">
        <is>
          <t>MEDIA</t>
        </is>
      </c>
      <c r="G10" s="47" t="n">
        <v>46297</v>
      </c>
      <c r="H10" s="47" t="n"/>
      <c r="I10" s="17" t="inlineStr">
        <is>
          <t>PENDIENTE</t>
        </is>
      </c>
      <c r="J10" s="48" t="n">
        <v>0</v>
      </c>
      <c r="K10" s="42">
        <f>IF(OR(C10="",G10="",I10="TERMINADO"),"",MAX(0,FECHA_CORTE-G10))</f>
        <v/>
      </c>
      <c r="L10" s="19">
        <f>IF(C10="","",IF(I10="TERMINADO","CUMPLIDO",IF(G10="","SIN FECHA",IF(G10&lt;FECHA_CORTE,"VENCIDO",IF(G10-FECHA_CORTE&lt;=2,"POR VENCER","EN TIEMPO")))))</f>
        <v/>
      </c>
      <c r="M10" s="17" t="inlineStr"/>
    </row>
    <row r="11">
      <c r="A11" s="46" t="n">
        <v>7</v>
      </c>
      <c r="B11" s="47" t="n">
        <v>46300</v>
      </c>
      <c r="C11" s="17" t="inlineStr">
        <is>
          <t>DAR SEGUIMIENTO A COBRANZA MAYOR A 60 DÍAS</t>
        </is>
      </c>
      <c r="D11" s="17" t="inlineStr">
        <is>
          <t>COBRANZA</t>
        </is>
      </c>
      <c r="E11" s="17" t="inlineStr">
        <is>
          <t>FINANZAS</t>
        </is>
      </c>
      <c r="F11" s="17" t="inlineStr">
        <is>
          <t>ALTA</t>
        </is>
      </c>
      <c r="G11" s="47" t="n">
        <v>46301</v>
      </c>
      <c r="H11" s="47" t="n"/>
      <c r="I11" s="17" t="inlineStr">
        <is>
          <t>EN PROCESO</t>
        </is>
      </c>
      <c r="J11" s="48" t="n">
        <v>0.4</v>
      </c>
      <c r="K11" s="42">
        <f>IF(OR(C11="",G11="",I11="TERMINADO"),"",MAX(0,FECHA_CORTE-G11))</f>
        <v/>
      </c>
      <c r="L11" s="19">
        <f>IF(C11="","",IF(I11="TERMINADO","CUMPLIDO",IF(G11="","SIN FECHA",IF(G11&lt;FECHA_CORTE,"VENCIDO",IF(G11-FECHA_CORTE&lt;=2,"POR VENCER","EN TIEMPO")))))</f>
        <v/>
      </c>
      <c r="M11" s="17" t="inlineStr">
        <is>
          <t>BITÁCORA DE LLAMADAS</t>
        </is>
      </c>
    </row>
    <row r="12">
      <c r="A12" s="46" t="n">
        <v>8</v>
      </c>
      <c r="B12" s="47" t="n">
        <v>46300</v>
      </c>
      <c r="C12" s="17" t="inlineStr">
        <is>
          <t>VALIDAR ALTAS Y BAJAS DE IMSS DEL MES</t>
        </is>
      </c>
      <c r="D12" s="17" t="inlineStr">
        <is>
          <t>CUMPLIMIENTO IMSS</t>
        </is>
      </c>
      <c r="E12" s="17" t="inlineStr">
        <is>
          <t>RECURSOS HUMANOS</t>
        </is>
      </c>
      <c r="F12" s="17" t="inlineStr">
        <is>
          <t>MEDIA</t>
        </is>
      </c>
      <c r="G12" s="47" t="n">
        <v>46303</v>
      </c>
      <c r="H12" s="47" t="n"/>
      <c r="I12" s="17" t="inlineStr">
        <is>
          <t>EN PROCESO</t>
        </is>
      </c>
      <c r="J12" s="48" t="n">
        <v>0.6</v>
      </c>
      <c r="K12" s="42">
        <f>IF(OR(C12="",G12="",I12="TERMINADO"),"",MAX(0,FECHA_CORTE-G12))</f>
        <v/>
      </c>
      <c r="L12" s="19">
        <f>IF(C12="","",IF(I12="TERMINADO","CUMPLIDO",IF(G12="","SIN FECHA",IF(G12&lt;FECHA_CORTE,"VENCIDO",IF(G12-FECHA_CORTE&lt;=2,"POR VENCER","EN TIEMPO")))))</f>
        <v/>
      </c>
      <c r="M12" s="17" t="inlineStr">
        <is>
          <t>CÉDULA IDSE</t>
        </is>
      </c>
    </row>
    <row r="13">
      <c r="A13" s="46" t="n">
        <v>9</v>
      </c>
      <c r="B13" s="47" t="n">
        <v>46300</v>
      </c>
      <c r="C13" s="17" t="inlineStr">
        <is>
          <t>ACTUALIZAR PROGRAMA DE OBRA PLANTA QUERÉTARO</t>
        </is>
      </c>
      <c r="D13" s="17" t="inlineStr">
        <is>
          <t>CIERRE DE OBRA QUERÉTARO</t>
        </is>
      </c>
      <c r="E13" s="17" t="inlineStr">
        <is>
          <t>PROYECTOS</t>
        </is>
      </c>
      <c r="F13" s="17" t="inlineStr">
        <is>
          <t>ALTA</t>
        </is>
      </c>
      <c r="G13" s="47" t="n">
        <v>46302</v>
      </c>
      <c r="H13" s="47" t="n"/>
      <c r="I13" s="17" t="inlineStr">
        <is>
          <t>BLOQUEADO</t>
        </is>
      </c>
      <c r="J13" s="48" t="n">
        <v>0.3</v>
      </c>
      <c r="K13" s="42">
        <f>IF(OR(C13="",G13="",I13="TERMINADO"),"",MAX(0,FECHA_CORTE-G13))</f>
        <v/>
      </c>
      <c r="L13" s="19">
        <f>IF(C13="","",IF(I13="TERMINADO","CUMPLIDO",IF(G13="","SIN FECHA",IF(G13&lt;FECHA_CORTE,"VENCIDO",IF(G13-FECHA_CORTE&lt;=2,"POR VENCER","EN TIEMPO")))))</f>
        <v/>
      </c>
      <c r="M13" s="17" t="inlineStr">
        <is>
          <t>PROGRAMA ACTUALIZADO</t>
        </is>
      </c>
    </row>
    <row r="14">
      <c r="A14" s="46" t="n">
        <v>10</v>
      </c>
      <c r="B14" s="47" t="n">
        <v>46300</v>
      </c>
      <c r="C14" s="17" t="inlineStr">
        <is>
          <t>SOLICITAR COTIZACIONES DE ACERO ESTRUCTURAL</t>
        </is>
      </c>
      <c r="D14" s="17" t="inlineStr">
        <is>
          <t>NAVE TOLUCA FASE 2</t>
        </is>
      </c>
      <c r="E14" s="17" t="inlineStr">
        <is>
          <t>COMPRAS</t>
        </is>
      </c>
      <c r="F14" s="17" t="inlineStr">
        <is>
          <t>MEDIA</t>
        </is>
      </c>
      <c r="G14" s="47" t="n">
        <v>46304</v>
      </c>
      <c r="H14" s="47" t="n"/>
      <c r="I14" s="17" t="inlineStr">
        <is>
          <t>PENDIENTE</t>
        </is>
      </c>
      <c r="J14" s="48" t="n">
        <v>0</v>
      </c>
      <c r="K14" s="42">
        <f>IF(OR(C14="",G14="",I14="TERMINADO"),"",MAX(0,FECHA_CORTE-G14))</f>
        <v/>
      </c>
      <c r="L14" s="19">
        <f>IF(C14="","",IF(I14="TERMINADO","CUMPLIDO",IF(G14="","SIN FECHA",IF(G14&lt;FECHA_CORTE,"VENCIDO",IF(G14-FECHA_CORTE&lt;=2,"POR VENCER","EN TIEMPO")))))</f>
        <v/>
      </c>
      <c r="M14" s="17" t="inlineStr"/>
    </row>
    <row r="15">
      <c r="A15" s="46" t="n">
        <v>11</v>
      </c>
      <c r="B15" s="47" t="n">
        <v>46300</v>
      </c>
      <c r="C15" s="17" t="inlineStr">
        <is>
          <t>ELABORAR REPORTE SEMANAL PARA DIRECCIÓN</t>
        </is>
      </c>
      <c r="D15" s="17" t="inlineStr">
        <is>
          <t>REPORTES</t>
        </is>
      </c>
      <c r="E15" s="17" t="inlineStr">
        <is>
          <t>ADMINISTRACIÓN</t>
        </is>
      </c>
      <c r="F15" s="17" t="inlineStr">
        <is>
          <t>ALTA</t>
        </is>
      </c>
      <c r="G15" s="47" t="n">
        <v>46304</v>
      </c>
      <c r="H15" s="47" t="n"/>
      <c r="I15" s="17" t="inlineStr">
        <is>
          <t>PENDIENTE</t>
        </is>
      </c>
      <c r="J15" s="48" t="n">
        <v>0.2</v>
      </c>
      <c r="K15" s="42">
        <f>IF(OR(C15="",G15="",I15="TERMINADO"),"",MAX(0,FECHA_CORTE-G15))</f>
        <v/>
      </c>
      <c r="L15" s="19">
        <f>IF(C15="","",IF(I15="TERMINADO","CUMPLIDO",IF(G15="","SIN FECHA",IF(G15&lt;FECHA_CORTE,"VENCIDO",IF(G15-FECHA_CORTE&lt;=2,"POR VENCER","EN TIEMPO")))))</f>
        <v/>
      </c>
      <c r="M15" s="17" t="inlineStr">
        <is>
          <t>REPORTE SEMANAL</t>
        </is>
      </c>
    </row>
    <row r="16">
      <c r="A16" s="46" t="n">
        <v>12</v>
      </c>
      <c r="B16" s="47" t="n">
        <v>46300</v>
      </c>
      <c r="C16" s="17" t="inlineStr">
        <is>
          <t>DOCUMENTAR EL PROCESO DE ALTA DE PROVEEDORES</t>
        </is>
      </c>
      <c r="D16" s="17" t="inlineStr">
        <is>
          <t>ERP ADMINISTRATIVO</t>
        </is>
      </c>
      <c r="E16" s="17" t="inlineStr">
        <is>
          <t>ADMINISTRACIÓN</t>
        </is>
      </c>
      <c r="F16" s="17" t="inlineStr">
        <is>
          <t>BAJA</t>
        </is>
      </c>
      <c r="G16" s="47" t="n">
        <v>46309</v>
      </c>
      <c r="H16" s="47" t="n"/>
      <c r="I16" s="17" t="inlineStr">
        <is>
          <t>EN PROCESO</t>
        </is>
      </c>
      <c r="J16" s="48" t="n">
        <v>0.35</v>
      </c>
      <c r="K16" s="42">
        <f>IF(OR(C16="",G16="",I16="TERMINADO"),"",MAX(0,FECHA_CORTE-G16))</f>
        <v/>
      </c>
      <c r="L16" s="19">
        <f>IF(C16="","",IF(I16="TERMINADO","CUMPLIDO",IF(G16="","SIN FECHA",IF(G16&lt;FECHA_CORTE,"VENCIDO",IF(G16-FECHA_CORTE&lt;=2,"POR VENCER","EN TIEMPO")))))</f>
        <v/>
      </c>
      <c r="M16" s="17" t="inlineStr">
        <is>
          <t>PROCEDIMIENTO</t>
        </is>
      </c>
    </row>
    <row r="17">
      <c r="A17" s="46" t="n">
        <v>13</v>
      </c>
      <c r="B17" s="47" t="n">
        <v>46300</v>
      </c>
      <c r="C17" s="17" t="inlineStr">
        <is>
          <t>CONCILIAR CAJA CHICA Y VIÁTICOS</t>
        </is>
      </c>
      <c r="D17" s="17" t="inlineStr">
        <is>
          <t>CONTROL FINANCIERO</t>
        </is>
      </c>
      <c r="E17" s="17" t="inlineStr">
        <is>
          <t>FINANZAS</t>
        </is>
      </c>
      <c r="F17" s="17" t="inlineStr">
        <is>
          <t>MEDIA</t>
        </is>
      </c>
      <c r="G17" s="47" t="n">
        <v>46300</v>
      </c>
      <c r="H17" s="47" t="n">
        <v>46301</v>
      </c>
      <c r="I17" s="17" t="inlineStr">
        <is>
          <t>TERMINADO</t>
        </is>
      </c>
      <c r="J17" s="48" t="n">
        <v>1</v>
      </c>
      <c r="K17" s="42">
        <f>IF(OR(C17="",G17="",I17="TERMINADO"),"",MAX(0,FECHA_CORTE-G17))</f>
        <v/>
      </c>
      <c r="L17" s="19">
        <f>IF(C17="","",IF(I17="TERMINADO","CUMPLIDO",IF(G17="","SIN FECHA",IF(G17&lt;FECHA_CORTE,"VENCIDO",IF(G17-FECHA_CORTE&lt;=2,"POR VENCER","EN TIEMPO")))))</f>
        <v/>
      </c>
      <c r="M17" s="17" t="inlineStr">
        <is>
          <t>ARQUEO FIRMADO</t>
        </is>
      </c>
    </row>
    <row r="18">
      <c r="A18" s="46" t="n">
        <v>14</v>
      </c>
      <c r="B18" s="47" t="n">
        <v>46300</v>
      </c>
      <c r="C18" s="17" t="inlineStr">
        <is>
          <t>CAPACITAR A USUARIOS EN EL NUEVO MÓDULO DE COMPRAS</t>
        </is>
      </c>
      <c r="D18" s="17" t="inlineStr">
        <is>
          <t>ERP ADMINISTRATIVO</t>
        </is>
      </c>
      <c r="E18" s="17" t="inlineStr">
        <is>
          <t>OPERACIONES</t>
        </is>
      </c>
      <c r="F18" s="17" t="inlineStr">
        <is>
          <t>MEDIA</t>
        </is>
      </c>
      <c r="G18" s="47" t="n">
        <v>46307</v>
      </c>
      <c r="H18" s="47" t="n"/>
      <c r="I18" s="17" t="inlineStr">
        <is>
          <t>PENDIENTE</t>
        </is>
      </c>
      <c r="J18" s="48" t="n">
        <v>0</v>
      </c>
      <c r="K18" s="42">
        <f>IF(OR(C18="",G18="",I18="TERMINADO"),"",MAX(0,FECHA_CORTE-G18))</f>
        <v/>
      </c>
      <c r="L18" s="19">
        <f>IF(C18="","",IF(I18="TERMINADO","CUMPLIDO",IF(G18="","SIN FECHA",IF(G18&lt;FECHA_CORTE,"VENCIDO",IF(G18-FECHA_CORTE&lt;=2,"POR VENCER","EN TIEMPO")))))</f>
        <v/>
      </c>
      <c r="M18" s="17" t="inlineStr"/>
    </row>
    <row r="19">
      <c r="A19" s="46" t="n">
        <v>15</v>
      </c>
      <c r="B19" s="47" t="n">
        <v>46300</v>
      </c>
      <c r="C19" s="17" t="inlineStr">
        <is>
          <t>CERRAR EXPEDIENTE FOTOGRÁFICO DE LA OBRA</t>
        </is>
      </c>
      <c r="D19" s="17" t="inlineStr">
        <is>
          <t>CIERRE DE OBRA QUERÉTARO</t>
        </is>
      </c>
      <c r="E19" s="17" t="inlineStr">
        <is>
          <t>OPERACIONES</t>
        </is>
      </c>
      <c r="F19" s="17" t="inlineStr">
        <is>
          <t>ALTA</t>
        </is>
      </c>
      <c r="G19" s="47" t="n">
        <v>46298</v>
      </c>
      <c r="H19" s="47" t="n"/>
      <c r="I19" s="17" t="inlineStr">
        <is>
          <t>EN PROCESO</t>
        </is>
      </c>
      <c r="J19" s="48" t="n">
        <v>0.8</v>
      </c>
      <c r="K19" s="42">
        <f>IF(OR(C19="",G19="",I19="TERMINADO"),"",MAX(0,FECHA_CORTE-G19))</f>
        <v/>
      </c>
      <c r="L19" s="19">
        <f>IF(C19="","",IF(I19="TERMINADO","CUMPLIDO",IF(G19="","SIN FECHA",IF(G19&lt;FECHA_CORTE,"VENCIDO",IF(G19-FECHA_CORTE&lt;=2,"POR VENCER","EN TIEMPO")))))</f>
        <v/>
      </c>
      <c r="M19" s="17" t="inlineStr">
        <is>
          <t>ÁLBUM DE EVIDENCIAS</t>
        </is>
      </c>
    </row>
    <row r="20">
      <c r="A20" s="46" t="n">
        <v>16</v>
      </c>
      <c r="B20" s="47" t="n">
        <v>46300</v>
      </c>
      <c r="C20" s="17" t="inlineStr">
        <is>
          <t>REVISAR CONTRATOS DE SUBCONTRATISTAS</t>
        </is>
      </c>
      <c r="D20" s="17" t="inlineStr">
        <is>
          <t>NAVE TOLUCA FASE 2</t>
        </is>
      </c>
      <c r="E20" s="17" t="inlineStr">
        <is>
          <t>DIRECCIÓN</t>
        </is>
      </c>
      <c r="F20" s="17" t="inlineStr">
        <is>
          <t>MEDIA</t>
        </is>
      </c>
      <c r="G20" s="47" t="n">
        <v>46303</v>
      </c>
      <c r="H20" s="47" t="n"/>
      <c r="I20" s="17" t="inlineStr">
        <is>
          <t>EN PROCESO</t>
        </is>
      </c>
      <c r="J20" s="48" t="n">
        <v>0.5</v>
      </c>
      <c r="K20" s="42">
        <f>IF(OR(C20="",G20="",I20="TERMINADO"),"",MAX(0,FECHA_CORTE-G20))</f>
        <v/>
      </c>
      <c r="L20" s="19">
        <f>IF(C20="","",IF(I20="TERMINADO","CUMPLIDO",IF(G20="","SIN FECHA",IF(G20&lt;FECHA_CORTE,"VENCIDO",IF(G20-FECHA_CORTE&lt;=2,"POR VENCER","EN TIEMPO")))))</f>
        <v/>
      </c>
      <c r="M20" s="17" t="inlineStr">
        <is>
          <t>MATRIZ DE CONTRATOS</t>
        </is>
      </c>
    </row>
    <row r="21">
      <c r="A21" s="46" t="n">
        <v>17</v>
      </c>
      <c r="B21" s="47" t="n">
        <v>46300</v>
      </c>
      <c r="C21" s="17" t="inlineStr">
        <is>
          <t>AUTORIZAR COMPRAS MAYORES A $50,000</t>
        </is>
      </c>
      <c r="D21" s="17" t="inlineStr">
        <is>
          <t>COMPRAS</t>
        </is>
      </c>
      <c r="E21" s="17" t="inlineStr">
        <is>
          <t>DIRECCIÓN</t>
        </is>
      </c>
      <c r="F21" s="17" t="inlineStr">
        <is>
          <t>ALTA</t>
        </is>
      </c>
      <c r="G21" s="47" t="n">
        <v>46302</v>
      </c>
      <c r="H21" s="47" t="n">
        <v>46302</v>
      </c>
      <c r="I21" s="17" t="inlineStr">
        <is>
          <t>TERMINADO</t>
        </is>
      </c>
      <c r="J21" s="48" t="n">
        <v>1</v>
      </c>
      <c r="K21" s="42">
        <f>IF(OR(C21="",G21="",I21="TERMINADO"),"",MAX(0,FECHA_CORTE-G21))</f>
        <v/>
      </c>
      <c r="L21" s="19">
        <f>IF(C21="","",IF(I21="TERMINADO","CUMPLIDO",IF(G21="","SIN FECHA",IF(G21&lt;FECHA_CORTE,"VENCIDO",IF(G21-FECHA_CORTE&lt;=2,"POR VENCER","EN TIEMPO")))))</f>
        <v/>
      </c>
      <c r="M21" s="17" t="inlineStr">
        <is>
          <t>AUTORIZACIONES FIRMADAS</t>
        </is>
      </c>
    </row>
    <row r="22">
      <c r="A22" s="46" t="n">
        <v>18</v>
      </c>
      <c r="B22" s="47" t="n">
        <v>46300</v>
      </c>
      <c r="C22" s="17" t="inlineStr">
        <is>
          <t>ACTUALIZAR INDICADORES SEMANALES</t>
        </is>
      </c>
      <c r="D22" s="17" t="inlineStr">
        <is>
          <t>TABLERO</t>
        </is>
      </c>
      <c r="E22" s="17" t="inlineStr">
        <is>
          <t>ADMINISTRACIÓN</t>
        </is>
      </c>
      <c r="F22" s="17" t="inlineStr">
        <is>
          <t>MEDIA</t>
        </is>
      </c>
      <c r="G22" s="47" t="n">
        <v>46304</v>
      </c>
      <c r="H22" s="47" t="n"/>
      <c r="I22" s="17" t="inlineStr">
        <is>
          <t>PENDIENTE</t>
        </is>
      </c>
      <c r="J22" s="48" t="n">
        <v>0</v>
      </c>
      <c r="K22" s="42">
        <f>IF(OR(C22="",G22="",I22="TERMINADO"),"",MAX(0,FECHA_CORTE-G22))</f>
        <v/>
      </c>
      <c r="L22" s="19">
        <f>IF(C22="","",IF(I22="TERMINADO","CUMPLIDO",IF(G22="","SIN FECHA",IF(G22&lt;FECHA_CORTE,"VENCIDO",IF(G22-FECHA_CORTE&lt;=2,"POR VENCER","EN TIEMPO")))))</f>
        <v/>
      </c>
      <c r="M22" s="17" t="inlineStr"/>
    </row>
    <row r="23">
      <c r="A23" s="46" t="n">
        <v>19</v>
      </c>
      <c r="B23" s="47" t="n"/>
      <c r="C23" s="17" t="n"/>
      <c r="D23" s="17" t="n"/>
      <c r="E23" s="17" t="n"/>
      <c r="F23" s="17" t="n"/>
      <c r="G23" s="47" t="n"/>
      <c r="H23" s="47" t="n"/>
      <c r="I23" s="17" t="n"/>
      <c r="J23" s="48" t="n"/>
      <c r="K23" s="42">
        <f>IF(OR(C23="",G23="",I23="TERMINADO"),"",MAX(0,FECHA_CORTE-G23))</f>
        <v/>
      </c>
      <c r="L23" s="19">
        <f>IF(C23="","",IF(I23="TERMINADO","CUMPLIDO",IF(G23="","SIN FECHA",IF(G23&lt;FECHA_CORTE,"VENCIDO",IF(G23-FECHA_CORTE&lt;=2,"POR VENCER","EN TIEMPO")))))</f>
        <v/>
      </c>
      <c r="M23" s="17" t="n"/>
    </row>
    <row r="24">
      <c r="A24" s="46" t="n">
        <v>20</v>
      </c>
      <c r="B24" s="47" t="n"/>
      <c r="C24" s="17" t="n"/>
      <c r="D24" s="17" t="n"/>
      <c r="E24" s="17" t="n"/>
      <c r="F24" s="17" t="n"/>
      <c r="G24" s="47" t="n"/>
      <c r="H24" s="47" t="n"/>
      <c r="I24" s="17" t="n"/>
      <c r="J24" s="48" t="n"/>
      <c r="K24" s="42">
        <f>IF(OR(C24="",G24="",I24="TERMINADO"),"",MAX(0,FECHA_CORTE-G24))</f>
        <v/>
      </c>
      <c r="L24" s="19">
        <f>IF(C24="","",IF(I24="TERMINADO","CUMPLIDO",IF(G24="","SIN FECHA",IF(G24&lt;FECHA_CORTE,"VENCIDO",IF(G24-FECHA_CORTE&lt;=2,"POR VENCER","EN TIEMPO")))))</f>
        <v/>
      </c>
      <c r="M24" s="17" t="n"/>
    </row>
    <row r="25">
      <c r="A25" s="46" t="n">
        <v>21</v>
      </c>
      <c r="B25" s="47" t="n"/>
      <c r="C25" s="17" t="n"/>
      <c r="D25" s="17" t="n"/>
      <c r="E25" s="17" t="n"/>
      <c r="F25" s="17" t="n"/>
      <c r="G25" s="47" t="n"/>
      <c r="H25" s="47" t="n"/>
      <c r="I25" s="17" t="n"/>
      <c r="J25" s="48" t="n"/>
      <c r="K25" s="42">
        <f>IF(OR(C25="",G25="",I25="TERMINADO"),"",MAX(0,FECHA_CORTE-G25))</f>
        <v/>
      </c>
      <c r="L25" s="19">
        <f>IF(C25="","",IF(I25="TERMINADO","CUMPLIDO",IF(G25="","SIN FECHA",IF(G25&lt;FECHA_CORTE,"VENCIDO",IF(G25-FECHA_CORTE&lt;=2,"POR VENCER","EN TIEMPO")))))</f>
        <v/>
      </c>
      <c r="M25" s="17" t="n"/>
    </row>
    <row r="26">
      <c r="A26" s="46" t="n">
        <v>22</v>
      </c>
      <c r="B26" s="47" t="n"/>
      <c r="C26" s="17" t="n"/>
      <c r="D26" s="17" t="n"/>
      <c r="E26" s="17" t="n"/>
      <c r="F26" s="17" t="n"/>
      <c r="G26" s="47" t="n"/>
      <c r="H26" s="47" t="n"/>
      <c r="I26" s="17" t="n"/>
      <c r="J26" s="48" t="n"/>
      <c r="K26" s="42">
        <f>IF(OR(C26="",G26="",I26="TERMINADO"),"",MAX(0,FECHA_CORTE-G26))</f>
        <v/>
      </c>
      <c r="L26" s="19">
        <f>IF(C26="","",IF(I26="TERMINADO","CUMPLIDO",IF(G26="","SIN FECHA",IF(G26&lt;FECHA_CORTE,"VENCIDO",IF(G26-FECHA_CORTE&lt;=2,"POR VENCER","EN TIEMPO")))))</f>
        <v/>
      </c>
      <c r="M26" s="17" t="n"/>
    </row>
    <row r="27">
      <c r="A27" s="46" t="n">
        <v>23</v>
      </c>
      <c r="B27" s="47" t="n"/>
      <c r="C27" s="17" t="n"/>
      <c r="D27" s="17" t="n"/>
      <c r="E27" s="17" t="n"/>
      <c r="F27" s="17" t="n"/>
      <c r="G27" s="47" t="n"/>
      <c r="H27" s="47" t="n"/>
      <c r="I27" s="17" t="n"/>
      <c r="J27" s="48" t="n"/>
      <c r="K27" s="42">
        <f>IF(OR(C27="",G27="",I27="TERMINADO"),"",MAX(0,FECHA_CORTE-G27))</f>
        <v/>
      </c>
      <c r="L27" s="19">
        <f>IF(C27="","",IF(I27="TERMINADO","CUMPLIDO",IF(G27="","SIN FECHA",IF(G27&lt;FECHA_CORTE,"VENCIDO",IF(G27-FECHA_CORTE&lt;=2,"POR VENCER","EN TIEMPO")))))</f>
        <v/>
      </c>
      <c r="M27" s="17" t="n"/>
    </row>
    <row r="28">
      <c r="A28" s="46" t="n">
        <v>24</v>
      </c>
      <c r="B28" s="47" t="n"/>
      <c r="C28" s="17" t="n"/>
      <c r="D28" s="17" t="n"/>
      <c r="E28" s="17" t="n"/>
      <c r="F28" s="17" t="n"/>
      <c r="G28" s="47" t="n"/>
      <c r="H28" s="47" t="n"/>
      <c r="I28" s="17" t="n"/>
      <c r="J28" s="48" t="n"/>
      <c r="K28" s="42">
        <f>IF(OR(C28="",G28="",I28="TERMINADO"),"",MAX(0,FECHA_CORTE-G28))</f>
        <v/>
      </c>
      <c r="L28" s="19">
        <f>IF(C28="","",IF(I28="TERMINADO","CUMPLIDO",IF(G28="","SIN FECHA",IF(G28&lt;FECHA_CORTE,"VENCIDO",IF(G28-FECHA_CORTE&lt;=2,"POR VENCER","EN TIEMPO")))))</f>
        <v/>
      </c>
      <c r="M28" s="17" t="n"/>
    </row>
    <row r="29">
      <c r="A29" s="46" t="n">
        <v>25</v>
      </c>
      <c r="B29" s="47" t="n"/>
      <c r="C29" s="17" t="n"/>
      <c r="D29" s="17" t="n"/>
      <c r="E29" s="17" t="n"/>
      <c r="F29" s="17" t="n"/>
      <c r="G29" s="47" t="n"/>
      <c r="H29" s="47" t="n"/>
      <c r="I29" s="17" t="n"/>
      <c r="J29" s="48" t="n"/>
      <c r="K29" s="42">
        <f>IF(OR(C29="",G29="",I29="TERMINADO"),"",MAX(0,FECHA_CORTE-G29))</f>
        <v/>
      </c>
      <c r="L29" s="19">
        <f>IF(C29="","",IF(I29="TERMINADO","CUMPLIDO",IF(G29="","SIN FECHA",IF(G29&lt;FECHA_CORTE,"VENCIDO",IF(G29-FECHA_CORTE&lt;=2,"POR VENCER","EN TIEMPO")))))</f>
        <v/>
      </c>
      <c r="M29" s="17" t="n"/>
    </row>
    <row r="30">
      <c r="A30" s="46" t="n">
        <v>26</v>
      </c>
      <c r="B30" s="47" t="n"/>
      <c r="C30" s="17" t="n"/>
      <c r="D30" s="17" t="n"/>
      <c r="E30" s="17" t="n"/>
      <c r="F30" s="17" t="n"/>
      <c r="G30" s="47" t="n"/>
      <c r="H30" s="47" t="n"/>
      <c r="I30" s="17" t="n"/>
      <c r="J30" s="48" t="n"/>
      <c r="K30" s="42">
        <f>IF(OR(C30="",G30="",I30="TERMINADO"),"",MAX(0,FECHA_CORTE-G30))</f>
        <v/>
      </c>
      <c r="L30" s="19">
        <f>IF(C30="","",IF(I30="TERMINADO","CUMPLIDO",IF(G30="","SIN FECHA",IF(G30&lt;FECHA_CORTE,"VENCIDO",IF(G30-FECHA_CORTE&lt;=2,"POR VENCER","EN TIEMPO")))))</f>
        <v/>
      </c>
      <c r="M30" s="17" t="n"/>
    </row>
    <row r="31">
      <c r="A31" s="46" t="n">
        <v>27</v>
      </c>
      <c r="B31" s="47" t="n"/>
      <c r="C31" s="17" t="n"/>
      <c r="D31" s="17" t="n"/>
      <c r="E31" s="17" t="n"/>
      <c r="F31" s="17" t="n"/>
      <c r="G31" s="47" t="n"/>
      <c r="H31" s="47" t="n"/>
      <c r="I31" s="17" t="n"/>
      <c r="J31" s="48" t="n"/>
      <c r="K31" s="42">
        <f>IF(OR(C31="",G31="",I31="TERMINADO"),"",MAX(0,FECHA_CORTE-G31))</f>
        <v/>
      </c>
      <c r="L31" s="19">
        <f>IF(C31="","",IF(I31="TERMINADO","CUMPLIDO",IF(G31="","SIN FECHA",IF(G31&lt;FECHA_CORTE,"VENCIDO",IF(G31-FECHA_CORTE&lt;=2,"POR VENCER","EN TIEMPO")))))</f>
        <v/>
      </c>
      <c r="M31" s="17" t="n"/>
    </row>
    <row r="32">
      <c r="A32" s="46" t="n">
        <v>28</v>
      </c>
      <c r="B32" s="47" t="n"/>
      <c r="C32" s="17" t="n"/>
      <c r="D32" s="17" t="n"/>
      <c r="E32" s="17" t="n"/>
      <c r="F32" s="17" t="n"/>
      <c r="G32" s="47" t="n"/>
      <c r="H32" s="47" t="n"/>
      <c r="I32" s="17" t="n"/>
      <c r="J32" s="48" t="n"/>
      <c r="K32" s="42">
        <f>IF(OR(C32="",G32="",I32="TERMINADO"),"",MAX(0,FECHA_CORTE-G32))</f>
        <v/>
      </c>
      <c r="L32" s="19">
        <f>IF(C32="","",IF(I32="TERMINADO","CUMPLIDO",IF(G32="","SIN FECHA",IF(G32&lt;FECHA_CORTE,"VENCIDO",IF(G32-FECHA_CORTE&lt;=2,"POR VENCER","EN TIEMPO")))))</f>
        <v/>
      </c>
      <c r="M32" s="17" t="n"/>
    </row>
    <row r="33">
      <c r="A33" s="46" t="n">
        <v>29</v>
      </c>
      <c r="B33" s="47" t="n"/>
      <c r="C33" s="17" t="n"/>
      <c r="D33" s="17" t="n"/>
      <c r="E33" s="17" t="n"/>
      <c r="F33" s="17" t="n"/>
      <c r="G33" s="47" t="n"/>
      <c r="H33" s="47" t="n"/>
      <c r="I33" s="17" t="n"/>
      <c r="J33" s="48" t="n"/>
      <c r="K33" s="42">
        <f>IF(OR(C33="",G33="",I33="TERMINADO"),"",MAX(0,FECHA_CORTE-G33))</f>
        <v/>
      </c>
      <c r="L33" s="19">
        <f>IF(C33="","",IF(I33="TERMINADO","CUMPLIDO",IF(G33="","SIN FECHA",IF(G33&lt;FECHA_CORTE,"VENCIDO",IF(G33-FECHA_CORTE&lt;=2,"POR VENCER","EN TIEMPO")))))</f>
        <v/>
      </c>
      <c r="M33" s="17" t="n"/>
    </row>
    <row r="34">
      <c r="A34" s="46" t="n">
        <v>30</v>
      </c>
      <c r="B34" s="47" t="n"/>
      <c r="C34" s="17" t="n"/>
      <c r="D34" s="17" t="n"/>
      <c r="E34" s="17" t="n"/>
      <c r="F34" s="17" t="n"/>
      <c r="G34" s="47" t="n"/>
      <c r="H34" s="47" t="n"/>
      <c r="I34" s="17" t="n"/>
      <c r="J34" s="48" t="n"/>
      <c r="K34" s="42">
        <f>IF(OR(C34="",G34="",I34="TERMINADO"),"",MAX(0,FECHA_CORTE-G34))</f>
        <v/>
      </c>
      <c r="L34" s="19">
        <f>IF(C34="","",IF(I34="TERMINADO","CUMPLIDO",IF(G34="","SIN FECHA",IF(G34&lt;FECHA_CORTE,"VENCIDO",IF(G34-FECHA_CORTE&lt;=2,"POR VENCER","EN TIEMPO")))))</f>
        <v/>
      </c>
      <c r="M34" s="17" t="n"/>
    </row>
    <row r="35">
      <c r="A35" s="46" t="n">
        <v>31</v>
      </c>
      <c r="B35" s="47" t="n"/>
      <c r="C35" s="17" t="n"/>
      <c r="D35" s="17" t="n"/>
      <c r="E35" s="17" t="n"/>
      <c r="F35" s="17" t="n"/>
      <c r="G35" s="47" t="n"/>
      <c r="H35" s="47" t="n"/>
      <c r="I35" s="17" t="n"/>
      <c r="J35" s="48" t="n"/>
      <c r="K35" s="42">
        <f>IF(OR(C35="",G35="",I35="TERMINADO"),"",MAX(0,FECHA_CORTE-G35))</f>
        <v/>
      </c>
      <c r="L35" s="19">
        <f>IF(C35="","",IF(I35="TERMINADO","CUMPLIDO",IF(G35="","SIN FECHA",IF(G35&lt;FECHA_CORTE,"VENCIDO",IF(G35-FECHA_CORTE&lt;=2,"POR VENCER","EN TIEMPO")))))</f>
        <v/>
      </c>
      <c r="M35" s="17" t="n"/>
    </row>
    <row r="36">
      <c r="A36" s="46" t="n">
        <v>32</v>
      </c>
      <c r="B36" s="47" t="n"/>
      <c r="C36" s="17" t="n"/>
      <c r="D36" s="17" t="n"/>
      <c r="E36" s="17" t="n"/>
      <c r="F36" s="17" t="n"/>
      <c r="G36" s="47" t="n"/>
      <c r="H36" s="47" t="n"/>
      <c r="I36" s="17" t="n"/>
      <c r="J36" s="48" t="n"/>
      <c r="K36" s="42">
        <f>IF(OR(C36="",G36="",I36="TERMINADO"),"",MAX(0,FECHA_CORTE-G36))</f>
        <v/>
      </c>
      <c r="L36" s="19">
        <f>IF(C36="","",IF(I36="TERMINADO","CUMPLIDO",IF(G36="","SIN FECHA",IF(G36&lt;FECHA_CORTE,"VENCIDO",IF(G36-FECHA_CORTE&lt;=2,"POR VENCER","EN TIEMPO")))))</f>
        <v/>
      </c>
      <c r="M36" s="17" t="n"/>
    </row>
    <row r="37">
      <c r="A37" s="46" t="n">
        <v>33</v>
      </c>
      <c r="B37" s="47" t="n"/>
      <c r="C37" s="17" t="n"/>
      <c r="D37" s="17" t="n"/>
      <c r="E37" s="17" t="n"/>
      <c r="F37" s="17" t="n"/>
      <c r="G37" s="47" t="n"/>
      <c r="H37" s="47" t="n"/>
      <c r="I37" s="17" t="n"/>
      <c r="J37" s="48" t="n"/>
      <c r="K37" s="42">
        <f>IF(OR(C37="",G37="",I37="TERMINADO"),"",MAX(0,FECHA_CORTE-G37))</f>
        <v/>
      </c>
      <c r="L37" s="19">
        <f>IF(C37="","",IF(I37="TERMINADO","CUMPLIDO",IF(G37="","SIN FECHA",IF(G37&lt;FECHA_CORTE,"VENCIDO",IF(G37-FECHA_CORTE&lt;=2,"POR VENCER","EN TIEMPO")))))</f>
        <v/>
      </c>
      <c r="M37" s="17" t="n"/>
    </row>
    <row r="38">
      <c r="A38" s="46" t="n">
        <v>34</v>
      </c>
      <c r="B38" s="47" t="n"/>
      <c r="C38" s="17" t="n"/>
      <c r="D38" s="17" t="n"/>
      <c r="E38" s="17" t="n"/>
      <c r="F38" s="17" t="n"/>
      <c r="G38" s="47" t="n"/>
      <c r="H38" s="47" t="n"/>
      <c r="I38" s="17" t="n"/>
      <c r="J38" s="48" t="n"/>
      <c r="K38" s="42">
        <f>IF(OR(C38="",G38="",I38="TERMINADO"),"",MAX(0,FECHA_CORTE-G38))</f>
        <v/>
      </c>
      <c r="L38" s="19">
        <f>IF(C38="","",IF(I38="TERMINADO","CUMPLIDO",IF(G38="","SIN FECHA",IF(G38&lt;FECHA_CORTE,"VENCIDO",IF(G38-FECHA_CORTE&lt;=2,"POR VENCER","EN TIEMPO")))))</f>
        <v/>
      </c>
      <c r="M38" s="17" t="n"/>
    </row>
    <row r="39">
      <c r="A39" s="46" t="n">
        <v>35</v>
      </c>
      <c r="B39" s="47" t="n"/>
      <c r="C39" s="17" t="n"/>
      <c r="D39" s="17" t="n"/>
      <c r="E39" s="17" t="n"/>
      <c r="F39" s="17" t="n"/>
      <c r="G39" s="47" t="n"/>
      <c r="H39" s="47" t="n"/>
      <c r="I39" s="17" t="n"/>
      <c r="J39" s="48" t="n"/>
      <c r="K39" s="42">
        <f>IF(OR(C39="",G39="",I39="TERMINADO"),"",MAX(0,FECHA_CORTE-G39))</f>
        <v/>
      </c>
      <c r="L39" s="19">
        <f>IF(C39="","",IF(I39="TERMINADO","CUMPLIDO",IF(G39="","SIN FECHA",IF(G39&lt;FECHA_CORTE,"VENCIDO",IF(G39-FECHA_CORTE&lt;=2,"POR VENCER","EN TIEMPO")))))</f>
        <v/>
      </c>
      <c r="M39" s="17" t="n"/>
    </row>
    <row r="40">
      <c r="A40" s="46" t="n">
        <v>36</v>
      </c>
      <c r="B40" s="47" t="n"/>
      <c r="C40" s="17" t="n"/>
      <c r="D40" s="17" t="n"/>
      <c r="E40" s="17" t="n"/>
      <c r="F40" s="17" t="n"/>
      <c r="G40" s="47" t="n"/>
      <c r="H40" s="47" t="n"/>
      <c r="I40" s="17" t="n"/>
      <c r="J40" s="48" t="n"/>
      <c r="K40" s="42">
        <f>IF(OR(C40="",G40="",I40="TERMINADO"),"",MAX(0,FECHA_CORTE-G40))</f>
        <v/>
      </c>
      <c r="L40" s="19">
        <f>IF(C40="","",IF(I40="TERMINADO","CUMPLIDO",IF(G40="","SIN FECHA",IF(G40&lt;FECHA_CORTE,"VENCIDO",IF(G40-FECHA_CORTE&lt;=2,"POR VENCER","EN TIEMPO")))))</f>
        <v/>
      </c>
      <c r="M40" s="17" t="n"/>
    </row>
    <row r="41">
      <c r="A41" s="46" t="n">
        <v>37</v>
      </c>
      <c r="B41" s="47" t="n"/>
      <c r="C41" s="17" t="n"/>
      <c r="D41" s="17" t="n"/>
      <c r="E41" s="17" t="n"/>
      <c r="F41" s="17" t="n"/>
      <c r="G41" s="47" t="n"/>
      <c r="H41" s="47" t="n"/>
      <c r="I41" s="17" t="n"/>
      <c r="J41" s="48" t="n"/>
      <c r="K41" s="42">
        <f>IF(OR(C41="",G41="",I41="TERMINADO"),"",MAX(0,FECHA_CORTE-G41))</f>
        <v/>
      </c>
      <c r="L41" s="19">
        <f>IF(C41="","",IF(I41="TERMINADO","CUMPLIDO",IF(G41="","SIN FECHA",IF(G41&lt;FECHA_CORTE,"VENCIDO",IF(G41-FECHA_CORTE&lt;=2,"POR VENCER","EN TIEMPO")))))</f>
        <v/>
      </c>
      <c r="M41" s="17" t="n"/>
    </row>
    <row r="42">
      <c r="A42" s="46" t="n">
        <v>38</v>
      </c>
      <c r="B42" s="47" t="n"/>
      <c r="C42" s="17" t="n"/>
      <c r="D42" s="17" t="n"/>
      <c r="E42" s="17" t="n"/>
      <c r="F42" s="17" t="n"/>
      <c r="G42" s="47" t="n"/>
      <c r="H42" s="47" t="n"/>
      <c r="I42" s="17" t="n"/>
      <c r="J42" s="48" t="n"/>
      <c r="K42" s="42">
        <f>IF(OR(C42="",G42="",I42="TERMINADO"),"",MAX(0,FECHA_CORTE-G42))</f>
        <v/>
      </c>
      <c r="L42" s="19">
        <f>IF(C42="","",IF(I42="TERMINADO","CUMPLIDO",IF(G42="","SIN FECHA",IF(G42&lt;FECHA_CORTE,"VENCIDO",IF(G42-FECHA_CORTE&lt;=2,"POR VENCER","EN TIEMPO")))))</f>
        <v/>
      </c>
      <c r="M42" s="17" t="n"/>
    </row>
    <row r="43">
      <c r="A43" s="46" t="n">
        <v>39</v>
      </c>
      <c r="B43" s="47" t="n"/>
      <c r="C43" s="17" t="n"/>
      <c r="D43" s="17" t="n"/>
      <c r="E43" s="17" t="n"/>
      <c r="F43" s="17" t="n"/>
      <c r="G43" s="47" t="n"/>
      <c r="H43" s="47" t="n"/>
      <c r="I43" s="17" t="n"/>
      <c r="J43" s="48" t="n"/>
      <c r="K43" s="42">
        <f>IF(OR(C43="",G43="",I43="TERMINADO"),"",MAX(0,FECHA_CORTE-G43))</f>
        <v/>
      </c>
      <c r="L43" s="19">
        <f>IF(C43="","",IF(I43="TERMINADO","CUMPLIDO",IF(G43="","SIN FECHA",IF(G43&lt;FECHA_CORTE,"VENCIDO",IF(G43-FECHA_CORTE&lt;=2,"POR VENCER","EN TIEMPO")))))</f>
        <v/>
      </c>
      <c r="M43" s="17" t="n"/>
    </row>
    <row r="44">
      <c r="A44" s="46" t="n">
        <v>40</v>
      </c>
      <c r="B44" s="47" t="n"/>
      <c r="C44" s="17" t="n"/>
      <c r="D44" s="17" t="n"/>
      <c r="E44" s="17" t="n"/>
      <c r="F44" s="17" t="n"/>
      <c r="G44" s="47" t="n"/>
      <c r="H44" s="47" t="n"/>
      <c r="I44" s="17" t="n"/>
      <c r="J44" s="48" t="n"/>
      <c r="K44" s="42">
        <f>IF(OR(C44="",G44="",I44="TERMINADO"),"",MAX(0,FECHA_CORTE-G44))</f>
        <v/>
      </c>
      <c r="L44" s="19">
        <f>IF(C44="","",IF(I44="TERMINADO","CUMPLIDO",IF(G44="","SIN FECHA",IF(G44&lt;FECHA_CORTE,"VENCIDO",IF(G44-FECHA_CORTE&lt;=2,"POR VENCER","EN TIEMPO")))))</f>
        <v/>
      </c>
      <c r="M44" s="17" t="n"/>
    </row>
    <row r="45">
      <c r="A45" s="46" t="n">
        <v>41</v>
      </c>
      <c r="B45" s="47" t="n"/>
      <c r="C45" s="17" t="n"/>
      <c r="D45" s="17" t="n"/>
      <c r="E45" s="17" t="n"/>
      <c r="F45" s="17" t="n"/>
      <c r="G45" s="47" t="n"/>
      <c r="H45" s="47" t="n"/>
      <c r="I45" s="17" t="n"/>
      <c r="J45" s="48" t="n"/>
      <c r="K45" s="42">
        <f>IF(OR(C45="",G45="",I45="TERMINADO"),"",MAX(0,FECHA_CORTE-G45))</f>
        <v/>
      </c>
      <c r="L45" s="19">
        <f>IF(C45="","",IF(I45="TERMINADO","CUMPLIDO",IF(G45="","SIN FECHA",IF(G45&lt;FECHA_CORTE,"VENCIDO",IF(G45-FECHA_CORTE&lt;=2,"POR VENCER","EN TIEMPO")))))</f>
        <v/>
      </c>
      <c r="M45" s="17" t="n"/>
    </row>
    <row r="46">
      <c r="A46" s="46" t="n">
        <v>42</v>
      </c>
      <c r="B46" s="47" t="n"/>
      <c r="C46" s="17" t="n"/>
      <c r="D46" s="17" t="n"/>
      <c r="E46" s="17" t="n"/>
      <c r="F46" s="17" t="n"/>
      <c r="G46" s="47" t="n"/>
      <c r="H46" s="47" t="n"/>
      <c r="I46" s="17" t="n"/>
      <c r="J46" s="48" t="n"/>
      <c r="K46" s="42">
        <f>IF(OR(C46="",G46="",I46="TERMINADO"),"",MAX(0,FECHA_CORTE-G46))</f>
        <v/>
      </c>
      <c r="L46" s="19">
        <f>IF(C46="","",IF(I46="TERMINADO","CUMPLIDO",IF(G46="","SIN FECHA",IF(G46&lt;FECHA_CORTE,"VENCIDO",IF(G46-FECHA_CORTE&lt;=2,"POR VENCER","EN TIEMPO")))))</f>
        <v/>
      </c>
      <c r="M46" s="17" t="n"/>
    </row>
    <row r="47">
      <c r="A47" s="46" t="n">
        <v>43</v>
      </c>
      <c r="B47" s="47" t="n"/>
      <c r="C47" s="17" t="n"/>
      <c r="D47" s="17" t="n"/>
      <c r="E47" s="17" t="n"/>
      <c r="F47" s="17" t="n"/>
      <c r="G47" s="47" t="n"/>
      <c r="H47" s="47" t="n"/>
      <c r="I47" s="17" t="n"/>
      <c r="J47" s="48" t="n"/>
      <c r="K47" s="42">
        <f>IF(OR(C47="",G47="",I47="TERMINADO"),"",MAX(0,FECHA_CORTE-G47))</f>
        <v/>
      </c>
      <c r="L47" s="19">
        <f>IF(C47="","",IF(I47="TERMINADO","CUMPLIDO",IF(G47="","SIN FECHA",IF(G47&lt;FECHA_CORTE,"VENCIDO",IF(G47-FECHA_CORTE&lt;=2,"POR VENCER","EN TIEMPO")))))</f>
        <v/>
      </c>
      <c r="M47" s="17" t="n"/>
    </row>
    <row r="48">
      <c r="A48" s="46" t="n">
        <v>44</v>
      </c>
      <c r="B48" s="47" t="n"/>
      <c r="C48" s="17" t="n"/>
      <c r="D48" s="17" t="n"/>
      <c r="E48" s="17" t="n"/>
      <c r="F48" s="17" t="n"/>
      <c r="G48" s="47" t="n"/>
      <c r="H48" s="47" t="n"/>
      <c r="I48" s="17" t="n"/>
      <c r="J48" s="48" t="n"/>
      <c r="K48" s="42">
        <f>IF(OR(C48="",G48="",I48="TERMINADO"),"",MAX(0,FECHA_CORTE-G48))</f>
        <v/>
      </c>
      <c r="L48" s="19">
        <f>IF(C48="","",IF(I48="TERMINADO","CUMPLIDO",IF(G48="","SIN FECHA",IF(G48&lt;FECHA_CORTE,"VENCIDO",IF(G48-FECHA_CORTE&lt;=2,"POR VENCER","EN TIEMPO")))))</f>
        <v/>
      </c>
      <c r="M48" s="17" t="n"/>
    </row>
    <row r="49">
      <c r="A49" s="46" t="n">
        <v>45</v>
      </c>
      <c r="B49" s="47" t="n"/>
      <c r="C49" s="17" t="n"/>
      <c r="D49" s="17" t="n"/>
      <c r="E49" s="17" t="n"/>
      <c r="F49" s="17" t="n"/>
      <c r="G49" s="47" t="n"/>
      <c r="H49" s="47" t="n"/>
      <c r="I49" s="17" t="n"/>
      <c r="J49" s="48" t="n"/>
      <c r="K49" s="42">
        <f>IF(OR(C49="",G49="",I49="TERMINADO"),"",MAX(0,FECHA_CORTE-G49))</f>
        <v/>
      </c>
      <c r="L49" s="19">
        <f>IF(C49="","",IF(I49="TERMINADO","CUMPLIDO",IF(G49="","SIN FECHA",IF(G49&lt;FECHA_CORTE,"VENCIDO",IF(G49-FECHA_CORTE&lt;=2,"POR VENCER","EN TIEMPO")))))</f>
        <v/>
      </c>
      <c r="M49" s="17" t="n"/>
    </row>
    <row r="50">
      <c r="A50" s="46" t="n">
        <v>46</v>
      </c>
      <c r="B50" s="47" t="n"/>
      <c r="C50" s="17" t="n"/>
      <c r="D50" s="17" t="n"/>
      <c r="E50" s="17" t="n"/>
      <c r="F50" s="17" t="n"/>
      <c r="G50" s="47" t="n"/>
      <c r="H50" s="47" t="n"/>
      <c r="I50" s="17" t="n"/>
      <c r="J50" s="48" t="n"/>
      <c r="K50" s="42">
        <f>IF(OR(C50="",G50="",I50="TERMINADO"),"",MAX(0,FECHA_CORTE-G50))</f>
        <v/>
      </c>
      <c r="L50" s="19">
        <f>IF(C50="","",IF(I50="TERMINADO","CUMPLIDO",IF(G50="","SIN FECHA",IF(G50&lt;FECHA_CORTE,"VENCIDO",IF(G50-FECHA_CORTE&lt;=2,"POR VENCER","EN TIEMPO")))))</f>
        <v/>
      </c>
      <c r="M50" s="17" t="n"/>
    </row>
    <row r="51">
      <c r="A51" s="46" t="n">
        <v>47</v>
      </c>
      <c r="B51" s="47" t="n"/>
      <c r="C51" s="17" t="n"/>
      <c r="D51" s="17" t="n"/>
      <c r="E51" s="17" t="n"/>
      <c r="F51" s="17" t="n"/>
      <c r="G51" s="47" t="n"/>
      <c r="H51" s="47" t="n"/>
      <c r="I51" s="17" t="n"/>
      <c r="J51" s="48" t="n"/>
      <c r="K51" s="42">
        <f>IF(OR(C51="",G51="",I51="TERMINADO"),"",MAX(0,FECHA_CORTE-G51))</f>
        <v/>
      </c>
      <c r="L51" s="19">
        <f>IF(C51="","",IF(I51="TERMINADO","CUMPLIDO",IF(G51="","SIN FECHA",IF(G51&lt;FECHA_CORTE,"VENCIDO",IF(G51-FECHA_CORTE&lt;=2,"POR VENCER","EN TIEMPO")))))</f>
        <v/>
      </c>
      <c r="M51" s="17" t="n"/>
    </row>
    <row r="52">
      <c r="A52" s="46" t="n">
        <v>48</v>
      </c>
      <c r="B52" s="47" t="n"/>
      <c r="C52" s="17" t="n"/>
      <c r="D52" s="17" t="n"/>
      <c r="E52" s="17" t="n"/>
      <c r="F52" s="17" t="n"/>
      <c r="G52" s="47" t="n"/>
      <c r="H52" s="47" t="n"/>
      <c r="I52" s="17" t="n"/>
      <c r="J52" s="48" t="n"/>
      <c r="K52" s="42">
        <f>IF(OR(C52="",G52="",I52="TERMINADO"),"",MAX(0,FECHA_CORTE-G52))</f>
        <v/>
      </c>
      <c r="L52" s="19">
        <f>IF(C52="","",IF(I52="TERMINADO","CUMPLIDO",IF(G52="","SIN FECHA",IF(G52&lt;FECHA_CORTE,"VENCIDO",IF(G52-FECHA_CORTE&lt;=2,"POR VENCER","EN TIEMPO")))))</f>
        <v/>
      </c>
      <c r="M52" s="17" t="n"/>
    </row>
    <row r="53">
      <c r="A53" s="46" t="n">
        <v>49</v>
      </c>
      <c r="B53" s="47" t="n"/>
      <c r="C53" s="17" t="n"/>
      <c r="D53" s="17" t="n"/>
      <c r="E53" s="17" t="n"/>
      <c r="F53" s="17" t="n"/>
      <c r="G53" s="47" t="n"/>
      <c r="H53" s="47" t="n"/>
      <c r="I53" s="17" t="n"/>
      <c r="J53" s="48" t="n"/>
      <c r="K53" s="42">
        <f>IF(OR(C53="",G53="",I53="TERMINADO"),"",MAX(0,FECHA_CORTE-G53))</f>
        <v/>
      </c>
      <c r="L53" s="19">
        <f>IF(C53="","",IF(I53="TERMINADO","CUMPLIDO",IF(G53="","SIN FECHA",IF(G53&lt;FECHA_CORTE,"VENCIDO",IF(G53-FECHA_CORTE&lt;=2,"POR VENCER","EN TIEMPO")))))</f>
        <v/>
      </c>
      <c r="M53" s="17" t="n"/>
    </row>
    <row r="54">
      <c r="A54" s="46" t="n">
        <v>50</v>
      </c>
      <c r="B54" s="47" t="n"/>
      <c r="C54" s="17" t="n"/>
      <c r="D54" s="17" t="n"/>
      <c r="E54" s="17" t="n"/>
      <c r="F54" s="17" t="n"/>
      <c r="G54" s="47" t="n"/>
      <c r="H54" s="47" t="n"/>
      <c r="I54" s="17" t="n"/>
      <c r="J54" s="48" t="n"/>
      <c r="K54" s="42">
        <f>IF(OR(C54="",G54="",I54="TERMINADO"),"",MAX(0,FECHA_CORTE-G54))</f>
        <v/>
      </c>
      <c r="L54" s="19">
        <f>IF(C54="","",IF(I54="TERMINADO","CUMPLIDO",IF(G54="","SIN FECHA",IF(G54&lt;FECHA_CORTE,"VENCIDO",IF(G54-FECHA_CORTE&lt;=2,"POR VENCER","EN TIEMPO")))))</f>
        <v/>
      </c>
      <c r="M54" s="17" t="n"/>
    </row>
    <row r="55">
      <c r="A55" s="46" t="n">
        <v>51</v>
      </c>
      <c r="B55" s="47" t="n"/>
      <c r="C55" s="17" t="n"/>
      <c r="D55" s="17" t="n"/>
      <c r="E55" s="17" t="n"/>
      <c r="F55" s="17" t="n"/>
      <c r="G55" s="47" t="n"/>
      <c r="H55" s="47" t="n"/>
      <c r="I55" s="17" t="n"/>
      <c r="J55" s="48" t="n"/>
      <c r="K55" s="42">
        <f>IF(OR(C55="",G55="",I55="TERMINADO"),"",MAX(0,FECHA_CORTE-G55))</f>
        <v/>
      </c>
      <c r="L55" s="19">
        <f>IF(C55="","",IF(I55="TERMINADO","CUMPLIDO",IF(G55="","SIN FECHA",IF(G55&lt;FECHA_CORTE,"VENCIDO",IF(G55-FECHA_CORTE&lt;=2,"POR VENCER","EN TIEMPO")))))</f>
        <v/>
      </c>
      <c r="M55" s="17" t="n"/>
    </row>
    <row r="56">
      <c r="A56" s="46" t="n">
        <v>52</v>
      </c>
      <c r="B56" s="47" t="n"/>
      <c r="C56" s="17" t="n"/>
      <c r="D56" s="17" t="n"/>
      <c r="E56" s="17" t="n"/>
      <c r="F56" s="17" t="n"/>
      <c r="G56" s="47" t="n"/>
      <c r="H56" s="47" t="n"/>
      <c r="I56" s="17" t="n"/>
      <c r="J56" s="48" t="n"/>
      <c r="K56" s="42">
        <f>IF(OR(C56="",G56="",I56="TERMINADO"),"",MAX(0,FECHA_CORTE-G56))</f>
        <v/>
      </c>
      <c r="L56" s="19">
        <f>IF(C56="","",IF(I56="TERMINADO","CUMPLIDO",IF(G56="","SIN FECHA",IF(G56&lt;FECHA_CORTE,"VENCIDO",IF(G56-FECHA_CORTE&lt;=2,"POR VENCER","EN TIEMPO")))))</f>
        <v/>
      </c>
      <c r="M56" s="17" t="n"/>
    </row>
    <row r="57">
      <c r="A57" s="46" t="n">
        <v>53</v>
      </c>
      <c r="B57" s="47" t="n"/>
      <c r="C57" s="17" t="n"/>
      <c r="D57" s="17" t="n"/>
      <c r="E57" s="17" t="n"/>
      <c r="F57" s="17" t="n"/>
      <c r="G57" s="47" t="n"/>
      <c r="H57" s="47" t="n"/>
      <c r="I57" s="17" t="n"/>
      <c r="J57" s="48" t="n"/>
      <c r="K57" s="42">
        <f>IF(OR(C57="",G57="",I57="TERMINADO"),"",MAX(0,FECHA_CORTE-G57))</f>
        <v/>
      </c>
      <c r="L57" s="19">
        <f>IF(C57="","",IF(I57="TERMINADO","CUMPLIDO",IF(G57="","SIN FECHA",IF(G57&lt;FECHA_CORTE,"VENCIDO",IF(G57-FECHA_CORTE&lt;=2,"POR VENCER","EN TIEMPO")))))</f>
        <v/>
      </c>
      <c r="M57" s="17" t="n"/>
    </row>
    <row r="58">
      <c r="A58" s="46" t="n">
        <v>54</v>
      </c>
      <c r="B58" s="47" t="n"/>
      <c r="C58" s="17" t="n"/>
      <c r="D58" s="17" t="n"/>
      <c r="E58" s="17" t="n"/>
      <c r="F58" s="17" t="n"/>
      <c r="G58" s="47" t="n"/>
      <c r="H58" s="47" t="n"/>
      <c r="I58" s="17" t="n"/>
      <c r="J58" s="48" t="n"/>
      <c r="K58" s="42">
        <f>IF(OR(C58="",G58="",I58="TERMINADO"),"",MAX(0,FECHA_CORTE-G58))</f>
        <v/>
      </c>
      <c r="L58" s="19">
        <f>IF(C58="","",IF(I58="TERMINADO","CUMPLIDO",IF(G58="","SIN FECHA",IF(G58&lt;FECHA_CORTE,"VENCIDO",IF(G58-FECHA_CORTE&lt;=2,"POR VENCER","EN TIEMPO")))))</f>
        <v/>
      </c>
      <c r="M58" s="17" t="n"/>
    </row>
    <row r="59">
      <c r="A59" s="46" t="n">
        <v>55</v>
      </c>
      <c r="B59" s="47" t="n"/>
      <c r="C59" s="17" t="n"/>
      <c r="D59" s="17" t="n"/>
      <c r="E59" s="17" t="n"/>
      <c r="F59" s="17" t="n"/>
      <c r="G59" s="47" t="n"/>
      <c r="H59" s="47" t="n"/>
      <c r="I59" s="17" t="n"/>
      <c r="J59" s="48" t="n"/>
      <c r="K59" s="42">
        <f>IF(OR(C59="",G59="",I59="TERMINADO"),"",MAX(0,FECHA_CORTE-G59))</f>
        <v/>
      </c>
      <c r="L59" s="19">
        <f>IF(C59="","",IF(I59="TERMINADO","CUMPLIDO",IF(G59="","SIN FECHA",IF(G59&lt;FECHA_CORTE,"VENCIDO",IF(G59-FECHA_CORTE&lt;=2,"POR VENCER","EN TIEMPO")))))</f>
        <v/>
      </c>
      <c r="M59" s="17" t="n"/>
    </row>
    <row r="60">
      <c r="A60" s="46" t="n">
        <v>56</v>
      </c>
      <c r="B60" s="47" t="n"/>
      <c r="C60" s="17" t="n"/>
      <c r="D60" s="17" t="n"/>
      <c r="E60" s="17" t="n"/>
      <c r="F60" s="17" t="n"/>
      <c r="G60" s="47" t="n"/>
      <c r="H60" s="47" t="n"/>
      <c r="I60" s="17" t="n"/>
      <c r="J60" s="48" t="n"/>
      <c r="K60" s="42">
        <f>IF(OR(C60="",G60="",I60="TERMINADO"),"",MAX(0,FECHA_CORTE-G60))</f>
        <v/>
      </c>
      <c r="L60" s="19">
        <f>IF(C60="","",IF(I60="TERMINADO","CUMPLIDO",IF(G60="","SIN FECHA",IF(G60&lt;FECHA_CORTE,"VENCIDO",IF(G60-FECHA_CORTE&lt;=2,"POR VENCER","EN TIEMPO")))))</f>
        <v/>
      </c>
      <c r="M60" s="17" t="n"/>
    </row>
    <row r="61">
      <c r="A61" s="46" t="n">
        <v>57</v>
      </c>
      <c r="B61" s="47" t="n"/>
      <c r="C61" s="17" t="n"/>
      <c r="D61" s="17" t="n"/>
      <c r="E61" s="17" t="n"/>
      <c r="F61" s="17" t="n"/>
      <c r="G61" s="47" t="n"/>
      <c r="H61" s="47" t="n"/>
      <c r="I61" s="17" t="n"/>
      <c r="J61" s="48" t="n"/>
      <c r="K61" s="42">
        <f>IF(OR(C61="",G61="",I61="TERMINADO"),"",MAX(0,FECHA_CORTE-G61))</f>
        <v/>
      </c>
      <c r="L61" s="19">
        <f>IF(C61="","",IF(I61="TERMINADO","CUMPLIDO",IF(G61="","SIN FECHA",IF(G61&lt;FECHA_CORTE,"VENCIDO",IF(G61-FECHA_CORTE&lt;=2,"POR VENCER","EN TIEMPO")))))</f>
        <v/>
      </c>
      <c r="M61" s="17" t="n"/>
    </row>
    <row r="62">
      <c r="A62" s="46" t="n">
        <v>58</v>
      </c>
      <c r="B62" s="47" t="n"/>
      <c r="C62" s="17" t="n"/>
      <c r="D62" s="17" t="n"/>
      <c r="E62" s="17" t="n"/>
      <c r="F62" s="17" t="n"/>
      <c r="G62" s="47" t="n"/>
      <c r="H62" s="47" t="n"/>
      <c r="I62" s="17" t="n"/>
      <c r="J62" s="48" t="n"/>
      <c r="K62" s="42">
        <f>IF(OR(C62="",G62="",I62="TERMINADO"),"",MAX(0,FECHA_CORTE-G62))</f>
        <v/>
      </c>
      <c r="L62" s="19">
        <f>IF(C62="","",IF(I62="TERMINADO","CUMPLIDO",IF(G62="","SIN FECHA",IF(G62&lt;FECHA_CORTE,"VENCIDO",IF(G62-FECHA_CORTE&lt;=2,"POR VENCER","EN TIEMPO")))))</f>
        <v/>
      </c>
      <c r="M62" s="17" t="n"/>
    </row>
    <row r="63">
      <c r="A63" s="46" t="n">
        <v>59</v>
      </c>
      <c r="B63" s="47" t="n"/>
      <c r="C63" s="17" t="n"/>
      <c r="D63" s="17" t="n"/>
      <c r="E63" s="17" t="n"/>
      <c r="F63" s="17" t="n"/>
      <c r="G63" s="47" t="n"/>
      <c r="H63" s="47" t="n"/>
      <c r="I63" s="17" t="n"/>
      <c r="J63" s="48" t="n"/>
      <c r="K63" s="42">
        <f>IF(OR(C63="",G63="",I63="TERMINADO"),"",MAX(0,FECHA_CORTE-G63))</f>
        <v/>
      </c>
      <c r="L63" s="19">
        <f>IF(C63="","",IF(I63="TERMINADO","CUMPLIDO",IF(G63="","SIN FECHA",IF(G63&lt;FECHA_CORTE,"VENCIDO",IF(G63-FECHA_CORTE&lt;=2,"POR VENCER","EN TIEMPO")))))</f>
        <v/>
      </c>
      <c r="M63" s="17" t="n"/>
    </row>
    <row r="64">
      <c r="A64" s="46" t="n">
        <v>60</v>
      </c>
      <c r="B64" s="47" t="n"/>
      <c r="C64" s="17" t="n"/>
      <c r="D64" s="17" t="n"/>
      <c r="E64" s="17" t="n"/>
      <c r="F64" s="17" t="n"/>
      <c r="G64" s="47" t="n"/>
      <c r="H64" s="47" t="n"/>
      <c r="I64" s="17" t="n"/>
      <c r="J64" s="48" t="n"/>
      <c r="K64" s="42">
        <f>IF(OR(C64="",G64="",I64="TERMINADO"),"",MAX(0,FECHA_CORTE-G64))</f>
        <v/>
      </c>
      <c r="L64" s="19">
        <f>IF(C64="","",IF(I64="TERMINADO","CUMPLIDO",IF(G64="","SIN FECHA",IF(G64&lt;FECHA_CORTE,"VENCIDO",IF(G64-FECHA_CORTE&lt;=2,"POR VENCER","EN TIEMPO")))))</f>
        <v/>
      </c>
      <c r="M64" s="17" t="n"/>
    </row>
    <row r="65">
      <c r="A65" s="46" t="n">
        <v>61</v>
      </c>
      <c r="B65" s="47" t="n"/>
      <c r="C65" s="17" t="n"/>
      <c r="D65" s="17" t="n"/>
      <c r="E65" s="17" t="n"/>
      <c r="F65" s="17" t="n"/>
      <c r="G65" s="47" t="n"/>
      <c r="H65" s="47" t="n"/>
      <c r="I65" s="17" t="n"/>
      <c r="J65" s="48" t="n"/>
      <c r="K65" s="42">
        <f>IF(OR(C65="",G65="",I65="TERMINADO"),"",MAX(0,FECHA_CORTE-G65))</f>
        <v/>
      </c>
      <c r="L65" s="19">
        <f>IF(C65="","",IF(I65="TERMINADO","CUMPLIDO",IF(G65="","SIN FECHA",IF(G65&lt;FECHA_CORTE,"VENCIDO",IF(G65-FECHA_CORTE&lt;=2,"POR VENCER","EN TIEMPO")))))</f>
        <v/>
      </c>
      <c r="M65" s="17" t="n"/>
    </row>
    <row r="66">
      <c r="A66" s="46" t="n">
        <v>62</v>
      </c>
      <c r="B66" s="47" t="n"/>
      <c r="C66" s="17" t="n"/>
      <c r="D66" s="17" t="n"/>
      <c r="E66" s="17" t="n"/>
      <c r="F66" s="17" t="n"/>
      <c r="G66" s="47" t="n"/>
      <c r="H66" s="47" t="n"/>
      <c r="I66" s="17" t="n"/>
      <c r="J66" s="48" t="n"/>
      <c r="K66" s="42">
        <f>IF(OR(C66="",G66="",I66="TERMINADO"),"",MAX(0,FECHA_CORTE-G66))</f>
        <v/>
      </c>
      <c r="L66" s="19">
        <f>IF(C66="","",IF(I66="TERMINADO","CUMPLIDO",IF(G66="","SIN FECHA",IF(G66&lt;FECHA_CORTE,"VENCIDO",IF(G66-FECHA_CORTE&lt;=2,"POR VENCER","EN TIEMPO")))))</f>
        <v/>
      </c>
      <c r="M66" s="17" t="n"/>
    </row>
    <row r="67">
      <c r="A67" s="46" t="n">
        <v>63</v>
      </c>
      <c r="B67" s="47" t="n"/>
      <c r="C67" s="17" t="n"/>
      <c r="D67" s="17" t="n"/>
      <c r="E67" s="17" t="n"/>
      <c r="F67" s="17" t="n"/>
      <c r="G67" s="47" t="n"/>
      <c r="H67" s="47" t="n"/>
      <c r="I67" s="17" t="n"/>
      <c r="J67" s="48" t="n"/>
      <c r="K67" s="42">
        <f>IF(OR(C67="",G67="",I67="TERMINADO"),"",MAX(0,FECHA_CORTE-G67))</f>
        <v/>
      </c>
      <c r="L67" s="19">
        <f>IF(C67="","",IF(I67="TERMINADO","CUMPLIDO",IF(G67="","SIN FECHA",IF(G67&lt;FECHA_CORTE,"VENCIDO",IF(G67-FECHA_CORTE&lt;=2,"POR VENCER","EN TIEMPO")))))</f>
        <v/>
      </c>
      <c r="M67" s="17" t="n"/>
    </row>
    <row r="68">
      <c r="A68" s="46" t="n">
        <v>64</v>
      </c>
      <c r="B68" s="47" t="n"/>
      <c r="C68" s="17" t="n"/>
      <c r="D68" s="17" t="n"/>
      <c r="E68" s="17" t="n"/>
      <c r="F68" s="17" t="n"/>
      <c r="G68" s="47" t="n"/>
      <c r="H68" s="47" t="n"/>
      <c r="I68" s="17" t="n"/>
      <c r="J68" s="48" t="n"/>
      <c r="K68" s="42">
        <f>IF(OR(C68="",G68="",I68="TERMINADO"),"",MAX(0,FECHA_CORTE-G68))</f>
        <v/>
      </c>
      <c r="L68" s="19">
        <f>IF(C68="","",IF(I68="TERMINADO","CUMPLIDO",IF(G68="","SIN FECHA",IF(G68&lt;FECHA_CORTE,"VENCIDO",IF(G68-FECHA_CORTE&lt;=2,"POR VENCER","EN TIEMPO")))))</f>
        <v/>
      </c>
      <c r="M68" s="17" t="n"/>
    </row>
    <row r="69">
      <c r="A69" s="46" t="n">
        <v>65</v>
      </c>
      <c r="B69" s="47" t="n"/>
      <c r="C69" s="17" t="n"/>
      <c r="D69" s="17" t="n"/>
      <c r="E69" s="17" t="n"/>
      <c r="F69" s="17" t="n"/>
      <c r="G69" s="47" t="n"/>
      <c r="H69" s="47" t="n"/>
      <c r="I69" s="17" t="n"/>
      <c r="J69" s="48" t="n"/>
      <c r="K69" s="42">
        <f>IF(OR(C69="",G69="",I69="TERMINADO"),"",MAX(0,FECHA_CORTE-G69))</f>
        <v/>
      </c>
      <c r="L69" s="19">
        <f>IF(C69="","",IF(I69="TERMINADO","CUMPLIDO",IF(G69="","SIN FECHA",IF(G69&lt;FECHA_CORTE,"VENCIDO",IF(G69-FECHA_CORTE&lt;=2,"POR VENCER","EN TIEMPO")))))</f>
        <v/>
      </c>
      <c r="M69" s="17" t="n"/>
    </row>
    <row r="70">
      <c r="A70" s="46" t="n">
        <v>66</v>
      </c>
      <c r="B70" s="47" t="n"/>
      <c r="C70" s="17" t="n"/>
      <c r="D70" s="17" t="n"/>
      <c r="E70" s="17" t="n"/>
      <c r="F70" s="17" t="n"/>
      <c r="G70" s="47" t="n"/>
      <c r="H70" s="47" t="n"/>
      <c r="I70" s="17" t="n"/>
      <c r="J70" s="48" t="n"/>
      <c r="K70" s="42">
        <f>IF(OR(C70="",G70="",I70="TERMINADO"),"",MAX(0,FECHA_CORTE-G70))</f>
        <v/>
      </c>
      <c r="L70" s="19">
        <f>IF(C70="","",IF(I70="TERMINADO","CUMPLIDO",IF(G70="","SIN FECHA",IF(G70&lt;FECHA_CORTE,"VENCIDO",IF(G70-FECHA_CORTE&lt;=2,"POR VENCER","EN TIEMPO")))))</f>
        <v/>
      </c>
      <c r="M70" s="17" t="n"/>
    </row>
    <row r="71">
      <c r="A71" s="46" t="n">
        <v>67</v>
      </c>
      <c r="B71" s="47" t="n"/>
      <c r="C71" s="17" t="n"/>
      <c r="D71" s="17" t="n"/>
      <c r="E71" s="17" t="n"/>
      <c r="F71" s="17" t="n"/>
      <c r="G71" s="47" t="n"/>
      <c r="H71" s="47" t="n"/>
      <c r="I71" s="17" t="n"/>
      <c r="J71" s="48" t="n"/>
      <c r="K71" s="42">
        <f>IF(OR(C71="",G71="",I71="TERMINADO"),"",MAX(0,FECHA_CORTE-G71))</f>
        <v/>
      </c>
      <c r="L71" s="19">
        <f>IF(C71="","",IF(I71="TERMINADO","CUMPLIDO",IF(G71="","SIN FECHA",IF(G71&lt;FECHA_CORTE,"VENCIDO",IF(G71-FECHA_CORTE&lt;=2,"POR VENCER","EN TIEMPO")))))</f>
        <v/>
      </c>
      <c r="M71" s="17" t="n"/>
    </row>
    <row r="72">
      <c r="A72" s="46" t="n">
        <v>68</v>
      </c>
      <c r="B72" s="47" t="n"/>
      <c r="C72" s="17" t="n"/>
      <c r="D72" s="17" t="n"/>
      <c r="E72" s="17" t="n"/>
      <c r="F72" s="17" t="n"/>
      <c r="G72" s="47" t="n"/>
      <c r="H72" s="47" t="n"/>
      <c r="I72" s="17" t="n"/>
      <c r="J72" s="48" t="n"/>
      <c r="K72" s="42">
        <f>IF(OR(C72="",G72="",I72="TERMINADO"),"",MAX(0,FECHA_CORTE-G72))</f>
        <v/>
      </c>
      <c r="L72" s="19">
        <f>IF(C72="","",IF(I72="TERMINADO","CUMPLIDO",IF(G72="","SIN FECHA",IF(G72&lt;FECHA_CORTE,"VENCIDO",IF(G72-FECHA_CORTE&lt;=2,"POR VENCER","EN TIEMPO")))))</f>
        <v/>
      </c>
      <c r="M72" s="17" t="n"/>
    </row>
    <row r="73">
      <c r="A73" s="46" t="n">
        <v>69</v>
      </c>
      <c r="B73" s="47" t="n"/>
      <c r="C73" s="17" t="n"/>
      <c r="D73" s="17" t="n"/>
      <c r="E73" s="17" t="n"/>
      <c r="F73" s="17" t="n"/>
      <c r="G73" s="47" t="n"/>
      <c r="H73" s="47" t="n"/>
      <c r="I73" s="17" t="n"/>
      <c r="J73" s="48" t="n"/>
      <c r="K73" s="42">
        <f>IF(OR(C73="",G73="",I73="TERMINADO"),"",MAX(0,FECHA_CORTE-G73))</f>
        <v/>
      </c>
      <c r="L73" s="19">
        <f>IF(C73="","",IF(I73="TERMINADO","CUMPLIDO",IF(G73="","SIN FECHA",IF(G73&lt;FECHA_CORTE,"VENCIDO",IF(G73-FECHA_CORTE&lt;=2,"POR VENCER","EN TIEMPO")))))</f>
        <v/>
      </c>
      <c r="M73" s="17" t="n"/>
    </row>
    <row r="74">
      <c r="A74" s="46" t="n">
        <v>70</v>
      </c>
      <c r="B74" s="47" t="n"/>
      <c r="C74" s="17" t="n"/>
      <c r="D74" s="17" t="n"/>
      <c r="E74" s="17" t="n"/>
      <c r="F74" s="17" t="n"/>
      <c r="G74" s="47" t="n"/>
      <c r="H74" s="47" t="n"/>
      <c r="I74" s="17" t="n"/>
      <c r="J74" s="48" t="n"/>
      <c r="K74" s="42">
        <f>IF(OR(C74="",G74="",I74="TERMINADO"),"",MAX(0,FECHA_CORTE-G74))</f>
        <v/>
      </c>
      <c r="L74" s="19">
        <f>IF(C74="","",IF(I74="TERMINADO","CUMPLIDO",IF(G74="","SIN FECHA",IF(G74&lt;FECHA_CORTE,"VENCIDO",IF(G74-FECHA_CORTE&lt;=2,"POR VENCER","EN TIEMPO")))))</f>
        <v/>
      </c>
      <c r="M74" s="17" t="n"/>
    </row>
    <row r="75">
      <c r="A75" s="46" t="n">
        <v>71</v>
      </c>
      <c r="B75" s="47" t="n"/>
      <c r="C75" s="17" t="n"/>
      <c r="D75" s="17" t="n"/>
      <c r="E75" s="17" t="n"/>
      <c r="F75" s="17" t="n"/>
      <c r="G75" s="47" t="n"/>
      <c r="H75" s="47" t="n"/>
      <c r="I75" s="17" t="n"/>
      <c r="J75" s="48" t="n"/>
      <c r="K75" s="42">
        <f>IF(OR(C75="",G75="",I75="TERMINADO"),"",MAX(0,FECHA_CORTE-G75))</f>
        <v/>
      </c>
      <c r="L75" s="19">
        <f>IF(C75="","",IF(I75="TERMINADO","CUMPLIDO",IF(G75="","SIN FECHA",IF(G75&lt;FECHA_CORTE,"VENCIDO",IF(G75-FECHA_CORTE&lt;=2,"POR VENCER","EN TIEMPO")))))</f>
        <v/>
      </c>
      <c r="M75" s="17" t="n"/>
    </row>
    <row r="76">
      <c r="A76" s="46" t="n">
        <v>72</v>
      </c>
      <c r="B76" s="47" t="n"/>
      <c r="C76" s="17" t="n"/>
      <c r="D76" s="17" t="n"/>
      <c r="E76" s="17" t="n"/>
      <c r="F76" s="17" t="n"/>
      <c r="G76" s="47" t="n"/>
      <c r="H76" s="47" t="n"/>
      <c r="I76" s="17" t="n"/>
      <c r="J76" s="48" t="n"/>
      <c r="K76" s="42">
        <f>IF(OR(C76="",G76="",I76="TERMINADO"),"",MAX(0,FECHA_CORTE-G76))</f>
        <v/>
      </c>
      <c r="L76" s="19">
        <f>IF(C76="","",IF(I76="TERMINADO","CUMPLIDO",IF(G76="","SIN FECHA",IF(G76&lt;FECHA_CORTE,"VENCIDO",IF(G76-FECHA_CORTE&lt;=2,"POR VENCER","EN TIEMPO")))))</f>
        <v/>
      </c>
      <c r="M76" s="17" t="n"/>
    </row>
    <row r="77">
      <c r="A77" s="46" t="n">
        <v>73</v>
      </c>
      <c r="B77" s="47" t="n"/>
      <c r="C77" s="17" t="n"/>
      <c r="D77" s="17" t="n"/>
      <c r="E77" s="17" t="n"/>
      <c r="F77" s="17" t="n"/>
      <c r="G77" s="47" t="n"/>
      <c r="H77" s="47" t="n"/>
      <c r="I77" s="17" t="n"/>
      <c r="J77" s="48" t="n"/>
      <c r="K77" s="42">
        <f>IF(OR(C77="",G77="",I77="TERMINADO"),"",MAX(0,FECHA_CORTE-G77))</f>
        <v/>
      </c>
      <c r="L77" s="19">
        <f>IF(C77="","",IF(I77="TERMINADO","CUMPLIDO",IF(G77="","SIN FECHA",IF(G77&lt;FECHA_CORTE,"VENCIDO",IF(G77-FECHA_CORTE&lt;=2,"POR VENCER","EN TIEMPO")))))</f>
        <v/>
      </c>
      <c r="M77" s="17" t="n"/>
    </row>
    <row r="78">
      <c r="A78" s="46" t="n">
        <v>74</v>
      </c>
      <c r="B78" s="47" t="n"/>
      <c r="C78" s="17" t="n"/>
      <c r="D78" s="17" t="n"/>
      <c r="E78" s="17" t="n"/>
      <c r="F78" s="17" t="n"/>
      <c r="G78" s="47" t="n"/>
      <c r="H78" s="47" t="n"/>
      <c r="I78" s="17" t="n"/>
      <c r="J78" s="48" t="n"/>
      <c r="K78" s="42">
        <f>IF(OR(C78="",G78="",I78="TERMINADO"),"",MAX(0,FECHA_CORTE-G78))</f>
        <v/>
      </c>
      <c r="L78" s="19">
        <f>IF(C78="","",IF(I78="TERMINADO","CUMPLIDO",IF(G78="","SIN FECHA",IF(G78&lt;FECHA_CORTE,"VENCIDO",IF(G78-FECHA_CORTE&lt;=2,"POR VENCER","EN TIEMPO")))))</f>
        <v/>
      </c>
      <c r="M78" s="17" t="n"/>
    </row>
    <row r="79">
      <c r="A79" s="46" t="n">
        <v>75</v>
      </c>
      <c r="B79" s="47" t="n"/>
      <c r="C79" s="17" t="n"/>
      <c r="D79" s="17" t="n"/>
      <c r="E79" s="17" t="n"/>
      <c r="F79" s="17" t="n"/>
      <c r="G79" s="47" t="n"/>
      <c r="H79" s="47" t="n"/>
      <c r="I79" s="17" t="n"/>
      <c r="J79" s="48" t="n"/>
      <c r="K79" s="42">
        <f>IF(OR(C79="",G79="",I79="TERMINADO"),"",MAX(0,FECHA_CORTE-G79))</f>
        <v/>
      </c>
      <c r="L79" s="19">
        <f>IF(C79="","",IF(I79="TERMINADO","CUMPLIDO",IF(G79="","SIN FECHA",IF(G79&lt;FECHA_CORTE,"VENCIDO",IF(G79-FECHA_CORTE&lt;=2,"POR VENCER","EN TIEMPO")))))</f>
        <v/>
      </c>
      <c r="M79" s="17" t="n"/>
    </row>
    <row r="80">
      <c r="A80" s="46" t="n">
        <v>76</v>
      </c>
      <c r="B80" s="47" t="n"/>
      <c r="C80" s="17" t="n"/>
      <c r="D80" s="17" t="n"/>
      <c r="E80" s="17" t="n"/>
      <c r="F80" s="17" t="n"/>
      <c r="G80" s="47" t="n"/>
      <c r="H80" s="47" t="n"/>
      <c r="I80" s="17" t="n"/>
      <c r="J80" s="48" t="n"/>
      <c r="K80" s="42">
        <f>IF(OR(C80="",G80="",I80="TERMINADO"),"",MAX(0,FECHA_CORTE-G80))</f>
        <v/>
      </c>
      <c r="L80" s="19">
        <f>IF(C80="","",IF(I80="TERMINADO","CUMPLIDO",IF(G80="","SIN FECHA",IF(G80&lt;FECHA_CORTE,"VENCIDO",IF(G80-FECHA_CORTE&lt;=2,"POR VENCER","EN TIEMPO")))))</f>
        <v/>
      </c>
      <c r="M80" s="17" t="n"/>
    </row>
    <row r="81">
      <c r="A81" s="46" t="n">
        <v>77</v>
      </c>
      <c r="B81" s="47" t="n"/>
      <c r="C81" s="17" t="n"/>
      <c r="D81" s="17" t="n"/>
      <c r="E81" s="17" t="n"/>
      <c r="F81" s="17" t="n"/>
      <c r="G81" s="47" t="n"/>
      <c r="H81" s="47" t="n"/>
      <c r="I81" s="17" t="n"/>
      <c r="J81" s="48" t="n"/>
      <c r="K81" s="42">
        <f>IF(OR(C81="",G81="",I81="TERMINADO"),"",MAX(0,FECHA_CORTE-G81))</f>
        <v/>
      </c>
      <c r="L81" s="19">
        <f>IF(C81="","",IF(I81="TERMINADO","CUMPLIDO",IF(G81="","SIN FECHA",IF(G81&lt;FECHA_CORTE,"VENCIDO",IF(G81-FECHA_CORTE&lt;=2,"POR VENCER","EN TIEMPO")))))</f>
        <v/>
      </c>
      <c r="M81" s="17" t="n"/>
    </row>
    <row r="82">
      <c r="A82" s="46" t="n">
        <v>78</v>
      </c>
      <c r="B82" s="47" t="n"/>
      <c r="C82" s="17" t="n"/>
      <c r="D82" s="17" t="n"/>
      <c r="E82" s="17" t="n"/>
      <c r="F82" s="17" t="n"/>
      <c r="G82" s="47" t="n"/>
      <c r="H82" s="47" t="n"/>
      <c r="I82" s="17" t="n"/>
      <c r="J82" s="48" t="n"/>
      <c r="K82" s="42">
        <f>IF(OR(C82="",G82="",I82="TERMINADO"),"",MAX(0,FECHA_CORTE-G82))</f>
        <v/>
      </c>
      <c r="L82" s="19">
        <f>IF(C82="","",IF(I82="TERMINADO","CUMPLIDO",IF(G82="","SIN FECHA",IF(G82&lt;FECHA_CORTE,"VENCIDO",IF(G82-FECHA_CORTE&lt;=2,"POR VENCER","EN TIEMPO")))))</f>
        <v/>
      </c>
      <c r="M82" s="17" t="n"/>
    </row>
    <row r="83">
      <c r="A83" s="46" t="n">
        <v>79</v>
      </c>
      <c r="B83" s="47" t="n"/>
      <c r="C83" s="17" t="n"/>
      <c r="D83" s="17" t="n"/>
      <c r="E83" s="17" t="n"/>
      <c r="F83" s="17" t="n"/>
      <c r="G83" s="47" t="n"/>
      <c r="H83" s="47" t="n"/>
      <c r="I83" s="17" t="n"/>
      <c r="J83" s="48" t="n"/>
      <c r="K83" s="42">
        <f>IF(OR(C83="",G83="",I83="TERMINADO"),"",MAX(0,FECHA_CORTE-G83))</f>
        <v/>
      </c>
      <c r="L83" s="19">
        <f>IF(C83="","",IF(I83="TERMINADO","CUMPLIDO",IF(G83="","SIN FECHA",IF(G83&lt;FECHA_CORTE,"VENCIDO",IF(G83-FECHA_CORTE&lt;=2,"POR VENCER","EN TIEMPO")))))</f>
        <v/>
      </c>
      <c r="M83" s="17" t="n"/>
    </row>
    <row r="84">
      <c r="A84" s="46" t="n">
        <v>80</v>
      </c>
      <c r="B84" s="47" t="n"/>
      <c r="C84" s="17" t="n"/>
      <c r="D84" s="17" t="n"/>
      <c r="E84" s="17" t="n"/>
      <c r="F84" s="17" t="n"/>
      <c r="G84" s="47" t="n"/>
      <c r="H84" s="47" t="n"/>
      <c r="I84" s="17" t="n"/>
      <c r="J84" s="48" t="n"/>
      <c r="K84" s="42">
        <f>IF(OR(C84="",G84="",I84="TERMINADO"),"",MAX(0,FECHA_CORTE-G84))</f>
        <v/>
      </c>
      <c r="L84" s="19">
        <f>IF(C84="","",IF(I84="TERMINADO","CUMPLIDO",IF(G84="","SIN FECHA",IF(G84&lt;FECHA_CORTE,"VENCIDO",IF(G84-FECHA_CORTE&lt;=2,"POR VENCER","EN TIEMPO")))))</f>
        <v/>
      </c>
      <c r="M84" s="17" t="n"/>
    </row>
    <row r="85">
      <c r="A85" s="46" t="n">
        <v>81</v>
      </c>
      <c r="B85" s="47" t="n"/>
      <c r="C85" s="17" t="n"/>
      <c r="D85" s="17" t="n"/>
      <c r="E85" s="17" t="n"/>
      <c r="F85" s="17" t="n"/>
      <c r="G85" s="47" t="n"/>
      <c r="H85" s="47" t="n"/>
      <c r="I85" s="17" t="n"/>
      <c r="J85" s="48" t="n"/>
      <c r="K85" s="42">
        <f>IF(OR(C85="",G85="",I85="TERMINADO"),"",MAX(0,FECHA_CORTE-G85))</f>
        <v/>
      </c>
      <c r="L85" s="19">
        <f>IF(C85="","",IF(I85="TERMINADO","CUMPLIDO",IF(G85="","SIN FECHA",IF(G85&lt;FECHA_CORTE,"VENCIDO",IF(G85-FECHA_CORTE&lt;=2,"POR VENCER","EN TIEMPO")))))</f>
        <v/>
      </c>
      <c r="M85" s="17" t="n"/>
    </row>
    <row r="86">
      <c r="A86" s="46" t="n">
        <v>82</v>
      </c>
      <c r="B86" s="47" t="n"/>
      <c r="C86" s="17" t="n"/>
      <c r="D86" s="17" t="n"/>
      <c r="E86" s="17" t="n"/>
      <c r="F86" s="17" t="n"/>
      <c r="G86" s="47" t="n"/>
      <c r="H86" s="47" t="n"/>
      <c r="I86" s="17" t="n"/>
      <c r="J86" s="48" t="n"/>
      <c r="K86" s="42">
        <f>IF(OR(C86="",G86="",I86="TERMINADO"),"",MAX(0,FECHA_CORTE-G86))</f>
        <v/>
      </c>
      <c r="L86" s="19">
        <f>IF(C86="","",IF(I86="TERMINADO","CUMPLIDO",IF(G86="","SIN FECHA",IF(G86&lt;FECHA_CORTE,"VENCIDO",IF(G86-FECHA_CORTE&lt;=2,"POR VENCER","EN TIEMPO")))))</f>
        <v/>
      </c>
      <c r="M86" s="17" t="n"/>
    </row>
    <row r="87">
      <c r="A87" s="46" t="n">
        <v>83</v>
      </c>
      <c r="B87" s="47" t="n"/>
      <c r="C87" s="17" t="n"/>
      <c r="D87" s="17" t="n"/>
      <c r="E87" s="17" t="n"/>
      <c r="F87" s="17" t="n"/>
      <c r="G87" s="47" t="n"/>
      <c r="H87" s="47" t="n"/>
      <c r="I87" s="17" t="n"/>
      <c r="J87" s="48" t="n"/>
      <c r="K87" s="42">
        <f>IF(OR(C87="",G87="",I87="TERMINADO"),"",MAX(0,FECHA_CORTE-G87))</f>
        <v/>
      </c>
      <c r="L87" s="19">
        <f>IF(C87="","",IF(I87="TERMINADO","CUMPLIDO",IF(G87="","SIN FECHA",IF(G87&lt;FECHA_CORTE,"VENCIDO",IF(G87-FECHA_CORTE&lt;=2,"POR VENCER","EN TIEMPO")))))</f>
        <v/>
      </c>
      <c r="M87" s="17" t="n"/>
    </row>
    <row r="88">
      <c r="A88" s="46" t="n">
        <v>84</v>
      </c>
      <c r="B88" s="47" t="n"/>
      <c r="C88" s="17" t="n"/>
      <c r="D88" s="17" t="n"/>
      <c r="E88" s="17" t="n"/>
      <c r="F88" s="17" t="n"/>
      <c r="G88" s="47" t="n"/>
      <c r="H88" s="47" t="n"/>
      <c r="I88" s="17" t="n"/>
      <c r="J88" s="48" t="n"/>
      <c r="K88" s="42">
        <f>IF(OR(C88="",G88="",I88="TERMINADO"),"",MAX(0,FECHA_CORTE-G88))</f>
        <v/>
      </c>
      <c r="L88" s="19">
        <f>IF(C88="","",IF(I88="TERMINADO","CUMPLIDO",IF(G88="","SIN FECHA",IF(G88&lt;FECHA_CORTE,"VENCIDO",IF(G88-FECHA_CORTE&lt;=2,"POR VENCER","EN TIEMPO")))))</f>
        <v/>
      </c>
      <c r="M88" s="17" t="n"/>
    </row>
    <row r="89">
      <c r="A89" s="46" t="n">
        <v>85</v>
      </c>
      <c r="B89" s="47" t="n"/>
      <c r="C89" s="17" t="n"/>
      <c r="D89" s="17" t="n"/>
      <c r="E89" s="17" t="n"/>
      <c r="F89" s="17" t="n"/>
      <c r="G89" s="47" t="n"/>
      <c r="H89" s="47" t="n"/>
      <c r="I89" s="17" t="n"/>
      <c r="J89" s="48" t="n"/>
      <c r="K89" s="42">
        <f>IF(OR(C89="",G89="",I89="TERMINADO"),"",MAX(0,FECHA_CORTE-G89))</f>
        <v/>
      </c>
      <c r="L89" s="19">
        <f>IF(C89="","",IF(I89="TERMINADO","CUMPLIDO",IF(G89="","SIN FECHA",IF(G89&lt;FECHA_CORTE,"VENCIDO",IF(G89-FECHA_CORTE&lt;=2,"POR VENCER","EN TIEMPO")))))</f>
        <v/>
      </c>
      <c r="M89" s="17" t="n"/>
    </row>
    <row r="90">
      <c r="A90" s="46" t="n">
        <v>86</v>
      </c>
      <c r="B90" s="47" t="n"/>
      <c r="C90" s="17" t="n"/>
      <c r="D90" s="17" t="n"/>
      <c r="E90" s="17" t="n"/>
      <c r="F90" s="17" t="n"/>
      <c r="G90" s="47" t="n"/>
      <c r="H90" s="47" t="n"/>
      <c r="I90" s="17" t="n"/>
      <c r="J90" s="48" t="n"/>
      <c r="K90" s="42">
        <f>IF(OR(C90="",G90="",I90="TERMINADO"),"",MAX(0,FECHA_CORTE-G90))</f>
        <v/>
      </c>
      <c r="L90" s="19">
        <f>IF(C90="","",IF(I90="TERMINADO","CUMPLIDO",IF(G90="","SIN FECHA",IF(G90&lt;FECHA_CORTE,"VENCIDO",IF(G90-FECHA_CORTE&lt;=2,"POR VENCER","EN TIEMPO")))))</f>
        <v/>
      </c>
      <c r="M90" s="17" t="n"/>
    </row>
    <row r="91">
      <c r="A91" s="46" t="n">
        <v>87</v>
      </c>
      <c r="B91" s="47" t="n"/>
      <c r="C91" s="17" t="n"/>
      <c r="D91" s="17" t="n"/>
      <c r="E91" s="17" t="n"/>
      <c r="F91" s="17" t="n"/>
      <c r="G91" s="47" t="n"/>
      <c r="H91" s="47" t="n"/>
      <c r="I91" s="17" t="n"/>
      <c r="J91" s="48" t="n"/>
      <c r="K91" s="42">
        <f>IF(OR(C91="",G91="",I91="TERMINADO"),"",MAX(0,FECHA_CORTE-G91))</f>
        <v/>
      </c>
      <c r="L91" s="19">
        <f>IF(C91="","",IF(I91="TERMINADO","CUMPLIDO",IF(G91="","SIN FECHA",IF(G91&lt;FECHA_CORTE,"VENCIDO",IF(G91-FECHA_CORTE&lt;=2,"POR VENCER","EN TIEMPO")))))</f>
        <v/>
      </c>
      <c r="M91" s="17" t="n"/>
    </row>
    <row r="92">
      <c r="A92" s="46" t="n">
        <v>88</v>
      </c>
      <c r="B92" s="47" t="n"/>
      <c r="C92" s="17" t="n"/>
      <c r="D92" s="17" t="n"/>
      <c r="E92" s="17" t="n"/>
      <c r="F92" s="17" t="n"/>
      <c r="G92" s="47" t="n"/>
      <c r="H92" s="47" t="n"/>
      <c r="I92" s="17" t="n"/>
      <c r="J92" s="48" t="n"/>
      <c r="K92" s="42">
        <f>IF(OR(C92="",G92="",I92="TERMINADO"),"",MAX(0,FECHA_CORTE-G92))</f>
        <v/>
      </c>
      <c r="L92" s="19">
        <f>IF(C92="","",IF(I92="TERMINADO","CUMPLIDO",IF(G92="","SIN FECHA",IF(G92&lt;FECHA_CORTE,"VENCIDO",IF(G92-FECHA_CORTE&lt;=2,"POR VENCER","EN TIEMPO")))))</f>
        <v/>
      </c>
      <c r="M92" s="17" t="n"/>
    </row>
    <row r="93">
      <c r="A93" s="46" t="n">
        <v>89</v>
      </c>
      <c r="B93" s="47" t="n"/>
      <c r="C93" s="17" t="n"/>
      <c r="D93" s="17" t="n"/>
      <c r="E93" s="17" t="n"/>
      <c r="F93" s="17" t="n"/>
      <c r="G93" s="47" t="n"/>
      <c r="H93" s="47" t="n"/>
      <c r="I93" s="17" t="n"/>
      <c r="J93" s="48" t="n"/>
      <c r="K93" s="42">
        <f>IF(OR(C93="",G93="",I93="TERMINADO"),"",MAX(0,FECHA_CORTE-G93))</f>
        <v/>
      </c>
      <c r="L93" s="19">
        <f>IF(C93="","",IF(I93="TERMINADO","CUMPLIDO",IF(G93="","SIN FECHA",IF(G93&lt;FECHA_CORTE,"VENCIDO",IF(G93-FECHA_CORTE&lt;=2,"POR VENCER","EN TIEMPO")))))</f>
        <v/>
      </c>
      <c r="M93" s="17" t="n"/>
    </row>
    <row r="94">
      <c r="A94" s="46" t="n">
        <v>90</v>
      </c>
      <c r="B94" s="47" t="n"/>
      <c r="C94" s="17" t="n"/>
      <c r="D94" s="17" t="n"/>
      <c r="E94" s="17" t="n"/>
      <c r="F94" s="17" t="n"/>
      <c r="G94" s="47" t="n"/>
      <c r="H94" s="47" t="n"/>
      <c r="I94" s="17" t="n"/>
      <c r="J94" s="48" t="n"/>
      <c r="K94" s="42">
        <f>IF(OR(C94="",G94="",I94="TERMINADO"),"",MAX(0,FECHA_CORTE-G94))</f>
        <v/>
      </c>
      <c r="L94" s="19">
        <f>IF(C94="","",IF(I94="TERMINADO","CUMPLIDO",IF(G94="","SIN FECHA",IF(G94&lt;FECHA_CORTE,"VENCIDO",IF(G94-FECHA_CORTE&lt;=2,"POR VENCER","EN TIEMPO")))))</f>
        <v/>
      </c>
      <c r="M94" s="17" t="n"/>
    </row>
    <row r="95">
      <c r="A95" s="46" t="n">
        <v>91</v>
      </c>
      <c r="B95" s="47" t="n"/>
      <c r="C95" s="17" t="n"/>
      <c r="D95" s="17" t="n"/>
      <c r="E95" s="17" t="n"/>
      <c r="F95" s="17" t="n"/>
      <c r="G95" s="47" t="n"/>
      <c r="H95" s="47" t="n"/>
      <c r="I95" s="17" t="n"/>
      <c r="J95" s="48" t="n"/>
      <c r="K95" s="42">
        <f>IF(OR(C95="",G95="",I95="TERMINADO"),"",MAX(0,FECHA_CORTE-G95))</f>
        <v/>
      </c>
      <c r="L95" s="19">
        <f>IF(C95="","",IF(I95="TERMINADO","CUMPLIDO",IF(G95="","SIN FECHA",IF(G95&lt;FECHA_CORTE,"VENCIDO",IF(G95-FECHA_CORTE&lt;=2,"POR VENCER","EN TIEMPO")))))</f>
        <v/>
      </c>
      <c r="M95" s="17" t="n"/>
    </row>
    <row r="96">
      <c r="A96" s="46" t="n">
        <v>92</v>
      </c>
      <c r="B96" s="47" t="n"/>
      <c r="C96" s="17" t="n"/>
      <c r="D96" s="17" t="n"/>
      <c r="E96" s="17" t="n"/>
      <c r="F96" s="17" t="n"/>
      <c r="G96" s="47" t="n"/>
      <c r="H96" s="47" t="n"/>
      <c r="I96" s="17" t="n"/>
      <c r="J96" s="48" t="n"/>
      <c r="K96" s="42">
        <f>IF(OR(C96="",G96="",I96="TERMINADO"),"",MAX(0,FECHA_CORTE-G96))</f>
        <v/>
      </c>
      <c r="L96" s="19">
        <f>IF(C96="","",IF(I96="TERMINADO","CUMPLIDO",IF(G96="","SIN FECHA",IF(G96&lt;FECHA_CORTE,"VENCIDO",IF(G96-FECHA_CORTE&lt;=2,"POR VENCER","EN TIEMPO")))))</f>
        <v/>
      </c>
      <c r="M96" s="17" t="n"/>
    </row>
    <row r="97">
      <c r="A97" s="46" t="n">
        <v>93</v>
      </c>
      <c r="B97" s="47" t="n"/>
      <c r="C97" s="17" t="n"/>
      <c r="D97" s="17" t="n"/>
      <c r="E97" s="17" t="n"/>
      <c r="F97" s="17" t="n"/>
      <c r="G97" s="47" t="n"/>
      <c r="H97" s="47" t="n"/>
      <c r="I97" s="17" t="n"/>
      <c r="J97" s="48" t="n"/>
      <c r="K97" s="42">
        <f>IF(OR(C97="",G97="",I97="TERMINADO"),"",MAX(0,FECHA_CORTE-G97))</f>
        <v/>
      </c>
      <c r="L97" s="19">
        <f>IF(C97="","",IF(I97="TERMINADO","CUMPLIDO",IF(G97="","SIN FECHA",IF(G97&lt;FECHA_CORTE,"VENCIDO",IF(G97-FECHA_CORTE&lt;=2,"POR VENCER","EN TIEMPO")))))</f>
        <v/>
      </c>
      <c r="M97" s="17" t="n"/>
    </row>
    <row r="98">
      <c r="A98" s="46" t="n">
        <v>94</v>
      </c>
      <c r="B98" s="47" t="n"/>
      <c r="C98" s="17" t="n"/>
      <c r="D98" s="17" t="n"/>
      <c r="E98" s="17" t="n"/>
      <c r="F98" s="17" t="n"/>
      <c r="G98" s="47" t="n"/>
      <c r="H98" s="47" t="n"/>
      <c r="I98" s="17" t="n"/>
      <c r="J98" s="48" t="n"/>
      <c r="K98" s="42">
        <f>IF(OR(C98="",G98="",I98="TERMINADO"),"",MAX(0,FECHA_CORTE-G98))</f>
        <v/>
      </c>
      <c r="L98" s="19">
        <f>IF(C98="","",IF(I98="TERMINADO","CUMPLIDO",IF(G98="","SIN FECHA",IF(G98&lt;FECHA_CORTE,"VENCIDO",IF(G98-FECHA_CORTE&lt;=2,"POR VENCER","EN TIEMPO")))))</f>
        <v/>
      </c>
      <c r="M98" s="17" t="n"/>
    </row>
    <row r="99">
      <c r="A99" s="46" t="n">
        <v>95</v>
      </c>
      <c r="B99" s="47" t="n"/>
      <c r="C99" s="17" t="n"/>
      <c r="D99" s="17" t="n"/>
      <c r="E99" s="17" t="n"/>
      <c r="F99" s="17" t="n"/>
      <c r="G99" s="47" t="n"/>
      <c r="H99" s="47" t="n"/>
      <c r="I99" s="17" t="n"/>
      <c r="J99" s="48" t="n"/>
      <c r="K99" s="42">
        <f>IF(OR(C99="",G99="",I99="TERMINADO"),"",MAX(0,FECHA_CORTE-G99))</f>
        <v/>
      </c>
      <c r="L99" s="19">
        <f>IF(C99="","",IF(I99="TERMINADO","CUMPLIDO",IF(G99="","SIN FECHA",IF(G99&lt;FECHA_CORTE,"VENCIDO",IF(G99-FECHA_CORTE&lt;=2,"POR VENCER","EN TIEMPO")))))</f>
        <v/>
      </c>
      <c r="M99" s="17" t="n"/>
    </row>
    <row r="100">
      <c r="A100" s="46" t="n">
        <v>96</v>
      </c>
      <c r="B100" s="47" t="n"/>
      <c r="C100" s="17" t="n"/>
      <c r="D100" s="17" t="n"/>
      <c r="E100" s="17" t="n"/>
      <c r="F100" s="17" t="n"/>
      <c r="G100" s="47" t="n"/>
      <c r="H100" s="47" t="n"/>
      <c r="I100" s="17" t="n"/>
      <c r="J100" s="48" t="n"/>
      <c r="K100" s="42">
        <f>IF(OR(C100="",G100="",I100="TERMINADO"),"",MAX(0,FECHA_CORTE-G100))</f>
        <v/>
      </c>
      <c r="L100" s="19">
        <f>IF(C100="","",IF(I100="TERMINADO","CUMPLIDO",IF(G100="","SIN FECHA",IF(G100&lt;FECHA_CORTE,"VENCIDO",IF(G100-FECHA_CORTE&lt;=2,"POR VENCER","EN TIEMPO")))))</f>
        <v/>
      </c>
      <c r="M100" s="17" t="n"/>
    </row>
    <row r="101">
      <c r="A101" s="46" t="n">
        <v>97</v>
      </c>
      <c r="B101" s="47" t="n"/>
      <c r="C101" s="17" t="n"/>
      <c r="D101" s="17" t="n"/>
      <c r="E101" s="17" t="n"/>
      <c r="F101" s="17" t="n"/>
      <c r="G101" s="47" t="n"/>
      <c r="H101" s="47" t="n"/>
      <c r="I101" s="17" t="n"/>
      <c r="J101" s="48" t="n"/>
      <c r="K101" s="42">
        <f>IF(OR(C101="",G101="",I101="TERMINADO"),"",MAX(0,FECHA_CORTE-G101))</f>
        <v/>
      </c>
      <c r="L101" s="19">
        <f>IF(C101="","",IF(I101="TERMINADO","CUMPLIDO",IF(G101="","SIN FECHA",IF(G101&lt;FECHA_CORTE,"VENCIDO",IF(G101-FECHA_CORTE&lt;=2,"POR VENCER","EN TIEMPO")))))</f>
        <v/>
      </c>
      <c r="M101" s="17" t="n"/>
    </row>
    <row r="102">
      <c r="A102" s="46" t="n">
        <v>98</v>
      </c>
      <c r="B102" s="47" t="n"/>
      <c r="C102" s="17" t="n"/>
      <c r="D102" s="17" t="n"/>
      <c r="E102" s="17" t="n"/>
      <c r="F102" s="17" t="n"/>
      <c r="G102" s="47" t="n"/>
      <c r="H102" s="47" t="n"/>
      <c r="I102" s="17" t="n"/>
      <c r="J102" s="48" t="n"/>
      <c r="K102" s="42">
        <f>IF(OR(C102="",G102="",I102="TERMINADO"),"",MAX(0,FECHA_CORTE-G102))</f>
        <v/>
      </c>
      <c r="L102" s="19">
        <f>IF(C102="","",IF(I102="TERMINADO","CUMPLIDO",IF(G102="","SIN FECHA",IF(G102&lt;FECHA_CORTE,"VENCIDO",IF(G102-FECHA_CORTE&lt;=2,"POR VENCER","EN TIEMPO")))))</f>
        <v/>
      </c>
      <c r="M102" s="17" t="n"/>
    </row>
    <row r="103">
      <c r="A103" s="46" t="n">
        <v>99</v>
      </c>
      <c r="B103" s="47" t="n"/>
      <c r="C103" s="17" t="n"/>
      <c r="D103" s="17" t="n"/>
      <c r="E103" s="17" t="n"/>
      <c r="F103" s="17" t="n"/>
      <c r="G103" s="47" t="n"/>
      <c r="H103" s="47" t="n"/>
      <c r="I103" s="17" t="n"/>
      <c r="J103" s="48" t="n"/>
      <c r="K103" s="42">
        <f>IF(OR(C103="",G103="",I103="TERMINADO"),"",MAX(0,FECHA_CORTE-G103))</f>
        <v/>
      </c>
      <c r="L103" s="19">
        <f>IF(C103="","",IF(I103="TERMINADO","CUMPLIDO",IF(G103="","SIN FECHA",IF(G103&lt;FECHA_CORTE,"VENCIDO",IF(G103-FECHA_CORTE&lt;=2,"POR VENCER","EN TIEMPO")))))</f>
        <v/>
      </c>
      <c r="M103" s="17" t="n"/>
    </row>
    <row r="104">
      <c r="A104" s="46" t="n">
        <v>100</v>
      </c>
      <c r="B104" s="47" t="n"/>
      <c r="C104" s="17" t="n"/>
      <c r="D104" s="17" t="n"/>
      <c r="E104" s="17" t="n"/>
      <c r="F104" s="17" t="n"/>
      <c r="G104" s="47" t="n"/>
      <c r="H104" s="47" t="n"/>
      <c r="I104" s="17" t="n"/>
      <c r="J104" s="48" t="n"/>
      <c r="K104" s="42">
        <f>IF(OR(C104="",G104="",I104="TERMINADO"),"",MAX(0,FECHA_CORTE-G104))</f>
        <v/>
      </c>
      <c r="L104" s="19">
        <f>IF(C104="","",IF(I104="TERMINADO","CUMPLIDO",IF(G104="","SIN FECHA",IF(G104&lt;FECHA_CORTE,"VENCIDO",IF(G104-FECHA_CORTE&lt;=2,"POR VENCER","EN TIEMPO")))))</f>
        <v/>
      </c>
      <c r="M104" s="17" t="n"/>
    </row>
    <row r="105">
      <c r="A105" s="46" t="n">
        <v>101</v>
      </c>
      <c r="B105" s="47" t="n"/>
      <c r="C105" s="17" t="n"/>
      <c r="D105" s="17" t="n"/>
      <c r="E105" s="17" t="n"/>
      <c r="F105" s="17" t="n"/>
      <c r="G105" s="47" t="n"/>
      <c r="H105" s="47" t="n"/>
      <c r="I105" s="17" t="n"/>
      <c r="J105" s="48" t="n"/>
      <c r="K105" s="42">
        <f>IF(OR(C105="",G105="",I105="TERMINADO"),"",MAX(0,FECHA_CORTE-G105))</f>
        <v/>
      </c>
      <c r="L105" s="19">
        <f>IF(C105="","",IF(I105="TERMINADO","CUMPLIDO",IF(G105="","SIN FECHA",IF(G105&lt;FECHA_CORTE,"VENCIDO",IF(G105-FECHA_CORTE&lt;=2,"POR VENCER","EN TIEMPO")))))</f>
        <v/>
      </c>
      <c r="M105" s="17" t="n"/>
    </row>
    <row r="106">
      <c r="A106" s="46" t="n">
        <v>102</v>
      </c>
      <c r="B106" s="47" t="n"/>
      <c r="C106" s="17" t="n"/>
      <c r="D106" s="17" t="n"/>
      <c r="E106" s="17" t="n"/>
      <c r="F106" s="17" t="n"/>
      <c r="G106" s="47" t="n"/>
      <c r="H106" s="47" t="n"/>
      <c r="I106" s="17" t="n"/>
      <c r="J106" s="48" t="n"/>
      <c r="K106" s="42">
        <f>IF(OR(C106="",G106="",I106="TERMINADO"),"",MAX(0,FECHA_CORTE-G106))</f>
        <v/>
      </c>
      <c r="L106" s="19">
        <f>IF(C106="","",IF(I106="TERMINADO","CUMPLIDO",IF(G106="","SIN FECHA",IF(G106&lt;FECHA_CORTE,"VENCIDO",IF(G106-FECHA_CORTE&lt;=2,"POR VENCER","EN TIEMPO")))))</f>
        <v/>
      </c>
      <c r="M106" s="17" t="n"/>
    </row>
    <row r="107">
      <c r="A107" s="46" t="n">
        <v>103</v>
      </c>
      <c r="B107" s="47" t="n"/>
      <c r="C107" s="17" t="n"/>
      <c r="D107" s="17" t="n"/>
      <c r="E107" s="17" t="n"/>
      <c r="F107" s="17" t="n"/>
      <c r="G107" s="47" t="n"/>
      <c r="H107" s="47" t="n"/>
      <c r="I107" s="17" t="n"/>
      <c r="J107" s="48" t="n"/>
      <c r="K107" s="42">
        <f>IF(OR(C107="",G107="",I107="TERMINADO"),"",MAX(0,FECHA_CORTE-G107))</f>
        <v/>
      </c>
      <c r="L107" s="19">
        <f>IF(C107="","",IF(I107="TERMINADO","CUMPLIDO",IF(G107="","SIN FECHA",IF(G107&lt;FECHA_CORTE,"VENCIDO",IF(G107-FECHA_CORTE&lt;=2,"POR VENCER","EN TIEMPO")))))</f>
        <v/>
      </c>
      <c r="M107" s="17" t="n"/>
    </row>
    <row r="108">
      <c r="A108" s="46" t="n">
        <v>104</v>
      </c>
      <c r="B108" s="47" t="n"/>
      <c r="C108" s="17" t="n"/>
      <c r="D108" s="17" t="n"/>
      <c r="E108" s="17" t="n"/>
      <c r="F108" s="17" t="n"/>
      <c r="G108" s="47" t="n"/>
      <c r="H108" s="47" t="n"/>
      <c r="I108" s="17" t="n"/>
      <c r="J108" s="48" t="n"/>
      <c r="K108" s="42">
        <f>IF(OR(C108="",G108="",I108="TERMINADO"),"",MAX(0,FECHA_CORTE-G108))</f>
        <v/>
      </c>
      <c r="L108" s="19">
        <f>IF(C108="","",IF(I108="TERMINADO","CUMPLIDO",IF(G108="","SIN FECHA",IF(G108&lt;FECHA_CORTE,"VENCIDO",IF(G108-FECHA_CORTE&lt;=2,"POR VENCER","EN TIEMPO")))))</f>
        <v/>
      </c>
      <c r="M108" s="17" t="n"/>
    </row>
    <row r="109">
      <c r="A109" s="46" t="n">
        <v>105</v>
      </c>
      <c r="B109" s="47" t="n"/>
      <c r="C109" s="17" t="n"/>
      <c r="D109" s="17" t="n"/>
      <c r="E109" s="17" t="n"/>
      <c r="F109" s="17" t="n"/>
      <c r="G109" s="47" t="n"/>
      <c r="H109" s="47" t="n"/>
      <c r="I109" s="17" t="n"/>
      <c r="J109" s="48" t="n"/>
      <c r="K109" s="42">
        <f>IF(OR(C109="",G109="",I109="TERMINADO"),"",MAX(0,FECHA_CORTE-G109))</f>
        <v/>
      </c>
      <c r="L109" s="19">
        <f>IF(C109="","",IF(I109="TERMINADO","CUMPLIDO",IF(G109="","SIN FECHA",IF(G109&lt;FECHA_CORTE,"VENCIDO",IF(G109-FECHA_CORTE&lt;=2,"POR VENCER","EN TIEMPO")))))</f>
        <v/>
      </c>
      <c r="M109" s="17" t="n"/>
    </row>
    <row r="110">
      <c r="A110" s="46" t="n">
        <v>106</v>
      </c>
      <c r="B110" s="47" t="n"/>
      <c r="C110" s="17" t="n"/>
      <c r="D110" s="17" t="n"/>
      <c r="E110" s="17" t="n"/>
      <c r="F110" s="17" t="n"/>
      <c r="G110" s="47" t="n"/>
      <c r="H110" s="47" t="n"/>
      <c r="I110" s="17" t="n"/>
      <c r="J110" s="48" t="n"/>
      <c r="K110" s="42">
        <f>IF(OR(C110="",G110="",I110="TERMINADO"),"",MAX(0,FECHA_CORTE-G110))</f>
        <v/>
      </c>
      <c r="L110" s="19">
        <f>IF(C110="","",IF(I110="TERMINADO","CUMPLIDO",IF(G110="","SIN FECHA",IF(G110&lt;FECHA_CORTE,"VENCIDO",IF(G110-FECHA_CORTE&lt;=2,"POR VENCER","EN TIEMPO")))))</f>
        <v/>
      </c>
      <c r="M110" s="17" t="n"/>
    </row>
    <row r="111">
      <c r="A111" s="46" t="n">
        <v>107</v>
      </c>
      <c r="B111" s="47" t="n"/>
      <c r="C111" s="17" t="n"/>
      <c r="D111" s="17" t="n"/>
      <c r="E111" s="17" t="n"/>
      <c r="F111" s="17" t="n"/>
      <c r="G111" s="47" t="n"/>
      <c r="H111" s="47" t="n"/>
      <c r="I111" s="17" t="n"/>
      <c r="J111" s="48" t="n"/>
      <c r="K111" s="42">
        <f>IF(OR(C111="",G111="",I111="TERMINADO"),"",MAX(0,FECHA_CORTE-G111))</f>
        <v/>
      </c>
      <c r="L111" s="19">
        <f>IF(C111="","",IF(I111="TERMINADO","CUMPLIDO",IF(G111="","SIN FECHA",IF(G111&lt;FECHA_CORTE,"VENCIDO",IF(G111-FECHA_CORTE&lt;=2,"POR VENCER","EN TIEMPO")))))</f>
        <v/>
      </c>
      <c r="M111" s="17" t="n"/>
    </row>
    <row r="112">
      <c r="A112" s="46" t="n">
        <v>108</v>
      </c>
      <c r="B112" s="47" t="n"/>
      <c r="C112" s="17" t="n"/>
      <c r="D112" s="17" t="n"/>
      <c r="E112" s="17" t="n"/>
      <c r="F112" s="17" t="n"/>
      <c r="G112" s="47" t="n"/>
      <c r="H112" s="47" t="n"/>
      <c r="I112" s="17" t="n"/>
      <c r="J112" s="48" t="n"/>
      <c r="K112" s="42">
        <f>IF(OR(C112="",G112="",I112="TERMINADO"),"",MAX(0,FECHA_CORTE-G112))</f>
        <v/>
      </c>
      <c r="L112" s="19">
        <f>IF(C112="","",IF(I112="TERMINADO","CUMPLIDO",IF(G112="","SIN FECHA",IF(G112&lt;FECHA_CORTE,"VENCIDO",IF(G112-FECHA_CORTE&lt;=2,"POR VENCER","EN TIEMPO")))))</f>
        <v/>
      </c>
      <c r="M112" s="17" t="n"/>
    </row>
    <row r="113">
      <c r="A113" s="46" t="n">
        <v>109</v>
      </c>
      <c r="B113" s="47" t="n"/>
      <c r="C113" s="17" t="n"/>
      <c r="D113" s="17" t="n"/>
      <c r="E113" s="17" t="n"/>
      <c r="F113" s="17" t="n"/>
      <c r="G113" s="47" t="n"/>
      <c r="H113" s="47" t="n"/>
      <c r="I113" s="17" t="n"/>
      <c r="J113" s="48" t="n"/>
      <c r="K113" s="42">
        <f>IF(OR(C113="",G113="",I113="TERMINADO"),"",MAX(0,FECHA_CORTE-G113))</f>
        <v/>
      </c>
      <c r="L113" s="19">
        <f>IF(C113="","",IF(I113="TERMINADO","CUMPLIDO",IF(G113="","SIN FECHA",IF(G113&lt;FECHA_CORTE,"VENCIDO",IF(G113-FECHA_CORTE&lt;=2,"POR VENCER","EN TIEMPO")))))</f>
        <v/>
      </c>
      <c r="M113" s="17" t="n"/>
    </row>
    <row r="114">
      <c r="A114" s="46" t="n">
        <v>110</v>
      </c>
      <c r="B114" s="47" t="n"/>
      <c r="C114" s="17" t="n"/>
      <c r="D114" s="17" t="n"/>
      <c r="E114" s="17" t="n"/>
      <c r="F114" s="17" t="n"/>
      <c r="G114" s="47" t="n"/>
      <c r="H114" s="47" t="n"/>
      <c r="I114" s="17" t="n"/>
      <c r="J114" s="48" t="n"/>
      <c r="K114" s="42">
        <f>IF(OR(C114="",G114="",I114="TERMINADO"),"",MAX(0,FECHA_CORTE-G114))</f>
        <v/>
      </c>
      <c r="L114" s="19">
        <f>IF(C114="","",IF(I114="TERMINADO","CUMPLIDO",IF(G114="","SIN FECHA",IF(G114&lt;FECHA_CORTE,"VENCIDO",IF(G114-FECHA_CORTE&lt;=2,"POR VENCER","EN TIEMPO")))))</f>
        <v/>
      </c>
      <c r="M114" s="17" t="n"/>
    </row>
    <row r="115">
      <c r="A115" s="46" t="n">
        <v>111</v>
      </c>
      <c r="B115" s="47" t="n"/>
      <c r="C115" s="17" t="n"/>
      <c r="D115" s="17" t="n"/>
      <c r="E115" s="17" t="n"/>
      <c r="F115" s="17" t="n"/>
      <c r="G115" s="47" t="n"/>
      <c r="H115" s="47" t="n"/>
      <c r="I115" s="17" t="n"/>
      <c r="J115" s="48" t="n"/>
      <c r="K115" s="42">
        <f>IF(OR(C115="",G115="",I115="TERMINADO"),"",MAX(0,FECHA_CORTE-G115))</f>
        <v/>
      </c>
      <c r="L115" s="19">
        <f>IF(C115="","",IF(I115="TERMINADO","CUMPLIDO",IF(G115="","SIN FECHA",IF(G115&lt;FECHA_CORTE,"VENCIDO",IF(G115-FECHA_CORTE&lt;=2,"POR VENCER","EN TIEMPO")))))</f>
        <v/>
      </c>
      <c r="M115" s="17" t="n"/>
    </row>
    <row r="116">
      <c r="A116" s="46" t="n">
        <v>112</v>
      </c>
      <c r="B116" s="47" t="n"/>
      <c r="C116" s="17" t="n"/>
      <c r="D116" s="17" t="n"/>
      <c r="E116" s="17" t="n"/>
      <c r="F116" s="17" t="n"/>
      <c r="G116" s="47" t="n"/>
      <c r="H116" s="47" t="n"/>
      <c r="I116" s="17" t="n"/>
      <c r="J116" s="48" t="n"/>
      <c r="K116" s="42">
        <f>IF(OR(C116="",G116="",I116="TERMINADO"),"",MAX(0,FECHA_CORTE-G116))</f>
        <v/>
      </c>
      <c r="L116" s="19">
        <f>IF(C116="","",IF(I116="TERMINADO","CUMPLIDO",IF(G116="","SIN FECHA",IF(G116&lt;FECHA_CORTE,"VENCIDO",IF(G116-FECHA_CORTE&lt;=2,"POR VENCER","EN TIEMPO")))))</f>
        <v/>
      </c>
      <c r="M116" s="17" t="n"/>
    </row>
    <row r="117">
      <c r="A117" s="46" t="n">
        <v>113</v>
      </c>
      <c r="B117" s="47" t="n"/>
      <c r="C117" s="17" t="n"/>
      <c r="D117" s="17" t="n"/>
      <c r="E117" s="17" t="n"/>
      <c r="F117" s="17" t="n"/>
      <c r="G117" s="47" t="n"/>
      <c r="H117" s="47" t="n"/>
      <c r="I117" s="17" t="n"/>
      <c r="J117" s="48" t="n"/>
      <c r="K117" s="42">
        <f>IF(OR(C117="",G117="",I117="TERMINADO"),"",MAX(0,FECHA_CORTE-G117))</f>
        <v/>
      </c>
      <c r="L117" s="19">
        <f>IF(C117="","",IF(I117="TERMINADO","CUMPLIDO",IF(G117="","SIN FECHA",IF(G117&lt;FECHA_CORTE,"VENCIDO",IF(G117-FECHA_CORTE&lt;=2,"POR VENCER","EN TIEMPO")))))</f>
        <v/>
      </c>
      <c r="M117" s="17" t="n"/>
    </row>
    <row r="118">
      <c r="A118" s="46" t="n">
        <v>114</v>
      </c>
      <c r="B118" s="47" t="n"/>
      <c r="C118" s="17" t="n"/>
      <c r="D118" s="17" t="n"/>
      <c r="E118" s="17" t="n"/>
      <c r="F118" s="17" t="n"/>
      <c r="G118" s="47" t="n"/>
      <c r="H118" s="47" t="n"/>
      <c r="I118" s="17" t="n"/>
      <c r="J118" s="48" t="n"/>
      <c r="K118" s="42">
        <f>IF(OR(C118="",G118="",I118="TERMINADO"),"",MAX(0,FECHA_CORTE-G118))</f>
        <v/>
      </c>
      <c r="L118" s="19">
        <f>IF(C118="","",IF(I118="TERMINADO","CUMPLIDO",IF(G118="","SIN FECHA",IF(G118&lt;FECHA_CORTE,"VENCIDO",IF(G118-FECHA_CORTE&lt;=2,"POR VENCER","EN TIEMPO")))))</f>
        <v/>
      </c>
      <c r="M118" s="17" t="n"/>
    </row>
    <row r="119">
      <c r="A119" s="46" t="n">
        <v>115</v>
      </c>
      <c r="B119" s="47" t="n"/>
      <c r="C119" s="17" t="n"/>
      <c r="D119" s="17" t="n"/>
      <c r="E119" s="17" t="n"/>
      <c r="F119" s="17" t="n"/>
      <c r="G119" s="47" t="n"/>
      <c r="H119" s="47" t="n"/>
      <c r="I119" s="17" t="n"/>
      <c r="J119" s="48" t="n"/>
      <c r="K119" s="42">
        <f>IF(OR(C119="",G119="",I119="TERMINADO"),"",MAX(0,FECHA_CORTE-G119))</f>
        <v/>
      </c>
      <c r="L119" s="19">
        <f>IF(C119="","",IF(I119="TERMINADO","CUMPLIDO",IF(G119="","SIN FECHA",IF(G119&lt;FECHA_CORTE,"VENCIDO",IF(G119-FECHA_CORTE&lt;=2,"POR VENCER","EN TIEMPO")))))</f>
        <v/>
      </c>
      <c r="M119" s="17" t="n"/>
    </row>
    <row r="120">
      <c r="A120" s="46" t="n">
        <v>116</v>
      </c>
      <c r="B120" s="47" t="n"/>
      <c r="C120" s="17" t="n"/>
      <c r="D120" s="17" t="n"/>
      <c r="E120" s="17" t="n"/>
      <c r="F120" s="17" t="n"/>
      <c r="G120" s="47" t="n"/>
      <c r="H120" s="47" t="n"/>
      <c r="I120" s="17" t="n"/>
      <c r="J120" s="48" t="n"/>
      <c r="K120" s="42">
        <f>IF(OR(C120="",G120="",I120="TERMINADO"),"",MAX(0,FECHA_CORTE-G120))</f>
        <v/>
      </c>
      <c r="L120" s="19">
        <f>IF(C120="","",IF(I120="TERMINADO","CUMPLIDO",IF(G120="","SIN FECHA",IF(G120&lt;FECHA_CORTE,"VENCIDO",IF(G120-FECHA_CORTE&lt;=2,"POR VENCER","EN TIEMPO")))))</f>
        <v/>
      </c>
      <c r="M120" s="17" t="n"/>
    </row>
    <row r="121">
      <c r="A121" s="46" t="n">
        <v>117</v>
      </c>
      <c r="B121" s="47" t="n"/>
      <c r="C121" s="17" t="n"/>
      <c r="D121" s="17" t="n"/>
      <c r="E121" s="17" t="n"/>
      <c r="F121" s="17" t="n"/>
      <c r="G121" s="47" t="n"/>
      <c r="H121" s="47" t="n"/>
      <c r="I121" s="17" t="n"/>
      <c r="J121" s="48" t="n"/>
      <c r="K121" s="42">
        <f>IF(OR(C121="",G121="",I121="TERMINADO"),"",MAX(0,FECHA_CORTE-G121))</f>
        <v/>
      </c>
      <c r="L121" s="19">
        <f>IF(C121="","",IF(I121="TERMINADO","CUMPLIDO",IF(G121="","SIN FECHA",IF(G121&lt;FECHA_CORTE,"VENCIDO",IF(G121-FECHA_CORTE&lt;=2,"POR VENCER","EN TIEMPO")))))</f>
        <v/>
      </c>
      <c r="M121" s="17" t="n"/>
    </row>
    <row r="122">
      <c r="A122" s="46" t="n">
        <v>118</v>
      </c>
      <c r="B122" s="47" t="n"/>
      <c r="C122" s="17" t="n"/>
      <c r="D122" s="17" t="n"/>
      <c r="E122" s="17" t="n"/>
      <c r="F122" s="17" t="n"/>
      <c r="G122" s="47" t="n"/>
      <c r="H122" s="47" t="n"/>
      <c r="I122" s="17" t="n"/>
      <c r="J122" s="48" t="n"/>
      <c r="K122" s="42">
        <f>IF(OR(C122="",G122="",I122="TERMINADO"),"",MAX(0,FECHA_CORTE-G122))</f>
        <v/>
      </c>
      <c r="L122" s="19">
        <f>IF(C122="","",IF(I122="TERMINADO","CUMPLIDO",IF(G122="","SIN FECHA",IF(G122&lt;FECHA_CORTE,"VENCIDO",IF(G122-FECHA_CORTE&lt;=2,"POR VENCER","EN TIEMPO")))))</f>
        <v/>
      </c>
      <c r="M122" s="17" t="n"/>
    </row>
    <row r="123">
      <c r="A123" s="46" t="n">
        <v>119</v>
      </c>
      <c r="B123" s="47" t="n"/>
      <c r="C123" s="17" t="n"/>
      <c r="D123" s="17" t="n"/>
      <c r="E123" s="17" t="n"/>
      <c r="F123" s="17" t="n"/>
      <c r="G123" s="47" t="n"/>
      <c r="H123" s="47" t="n"/>
      <c r="I123" s="17" t="n"/>
      <c r="J123" s="48" t="n"/>
      <c r="K123" s="42">
        <f>IF(OR(C123="",G123="",I123="TERMINADO"),"",MAX(0,FECHA_CORTE-G123))</f>
        <v/>
      </c>
      <c r="L123" s="19">
        <f>IF(C123="","",IF(I123="TERMINADO","CUMPLIDO",IF(G123="","SIN FECHA",IF(G123&lt;FECHA_CORTE,"VENCIDO",IF(G123-FECHA_CORTE&lt;=2,"POR VENCER","EN TIEMPO")))))</f>
        <v/>
      </c>
      <c r="M123" s="17" t="n"/>
    </row>
    <row r="124">
      <c r="A124" s="46" t="n">
        <v>120</v>
      </c>
      <c r="B124" s="47" t="n"/>
      <c r="C124" s="17" t="n"/>
      <c r="D124" s="17" t="n"/>
      <c r="E124" s="17" t="n"/>
      <c r="F124" s="17" t="n"/>
      <c r="G124" s="47" t="n"/>
      <c r="H124" s="47" t="n"/>
      <c r="I124" s="17" t="n"/>
      <c r="J124" s="48" t="n"/>
      <c r="K124" s="42">
        <f>IF(OR(C124="",G124="",I124="TERMINADO"),"",MAX(0,FECHA_CORTE-G124))</f>
        <v/>
      </c>
      <c r="L124" s="19">
        <f>IF(C124="","",IF(I124="TERMINADO","CUMPLIDO",IF(G124="","SIN FECHA",IF(G124&lt;FECHA_CORTE,"VENCIDO",IF(G124-FECHA_CORTE&lt;=2,"POR VENCER","EN TIEMPO")))))</f>
        <v/>
      </c>
      <c r="M124" s="17" t="n"/>
    </row>
    <row r="125">
      <c r="A125" s="46" t="n">
        <v>121</v>
      </c>
      <c r="B125" s="47" t="n"/>
      <c r="C125" s="17" t="n"/>
      <c r="D125" s="17" t="n"/>
      <c r="E125" s="17" t="n"/>
      <c r="F125" s="17" t="n"/>
      <c r="G125" s="47" t="n"/>
      <c r="H125" s="47" t="n"/>
      <c r="I125" s="17" t="n"/>
      <c r="J125" s="48" t="n"/>
      <c r="K125" s="42">
        <f>IF(OR(C125="",G125="",I125="TERMINADO"),"",MAX(0,FECHA_CORTE-G125))</f>
        <v/>
      </c>
      <c r="L125" s="19">
        <f>IF(C125="","",IF(I125="TERMINADO","CUMPLIDO",IF(G125="","SIN FECHA",IF(G125&lt;FECHA_CORTE,"VENCIDO",IF(G125-FECHA_CORTE&lt;=2,"POR VENCER","EN TIEMPO")))))</f>
        <v/>
      </c>
      <c r="M125" s="17" t="n"/>
    </row>
    <row r="126">
      <c r="A126" s="46" t="n">
        <v>122</v>
      </c>
      <c r="B126" s="47" t="n"/>
      <c r="C126" s="17" t="n"/>
      <c r="D126" s="17" t="n"/>
      <c r="E126" s="17" t="n"/>
      <c r="F126" s="17" t="n"/>
      <c r="G126" s="47" t="n"/>
      <c r="H126" s="47" t="n"/>
      <c r="I126" s="17" t="n"/>
      <c r="J126" s="48" t="n"/>
      <c r="K126" s="42">
        <f>IF(OR(C126="",G126="",I126="TERMINADO"),"",MAX(0,FECHA_CORTE-G126))</f>
        <v/>
      </c>
      <c r="L126" s="19">
        <f>IF(C126="","",IF(I126="TERMINADO","CUMPLIDO",IF(G126="","SIN FECHA",IF(G126&lt;FECHA_CORTE,"VENCIDO",IF(G126-FECHA_CORTE&lt;=2,"POR VENCER","EN TIEMPO")))))</f>
        <v/>
      </c>
      <c r="M126" s="17" t="n"/>
    </row>
    <row r="127">
      <c r="A127" s="46" t="n">
        <v>123</v>
      </c>
      <c r="B127" s="47" t="n"/>
      <c r="C127" s="17" t="n"/>
      <c r="D127" s="17" t="n"/>
      <c r="E127" s="17" t="n"/>
      <c r="F127" s="17" t="n"/>
      <c r="G127" s="47" t="n"/>
      <c r="H127" s="47" t="n"/>
      <c r="I127" s="17" t="n"/>
      <c r="J127" s="48" t="n"/>
      <c r="K127" s="42">
        <f>IF(OR(C127="",G127="",I127="TERMINADO"),"",MAX(0,FECHA_CORTE-G127))</f>
        <v/>
      </c>
      <c r="L127" s="19">
        <f>IF(C127="","",IF(I127="TERMINADO","CUMPLIDO",IF(G127="","SIN FECHA",IF(G127&lt;FECHA_CORTE,"VENCIDO",IF(G127-FECHA_CORTE&lt;=2,"POR VENCER","EN TIEMPO")))))</f>
        <v/>
      </c>
      <c r="M127" s="17" t="n"/>
    </row>
    <row r="128">
      <c r="A128" s="46" t="n">
        <v>124</v>
      </c>
      <c r="B128" s="47" t="n"/>
      <c r="C128" s="17" t="n"/>
      <c r="D128" s="17" t="n"/>
      <c r="E128" s="17" t="n"/>
      <c r="F128" s="17" t="n"/>
      <c r="G128" s="47" t="n"/>
      <c r="H128" s="47" t="n"/>
      <c r="I128" s="17" t="n"/>
      <c r="J128" s="48" t="n"/>
      <c r="K128" s="42">
        <f>IF(OR(C128="",G128="",I128="TERMINADO"),"",MAX(0,FECHA_CORTE-G128))</f>
        <v/>
      </c>
      <c r="L128" s="19">
        <f>IF(C128="","",IF(I128="TERMINADO","CUMPLIDO",IF(G128="","SIN FECHA",IF(G128&lt;FECHA_CORTE,"VENCIDO",IF(G128-FECHA_CORTE&lt;=2,"POR VENCER","EN TIEMPO")))))</f>
        <v/>
      </c>
      <c r="M128" s="17" t="n"/>
    </row>
    <row r="129">
      <c r="A129" s="46" t="n">
        <v>125</v>
      </c>
      <c r="B129" s="47" t="n"/>
      <c r="C129" s="17" t="n"/>
      <c r="D129" s="17" t="n"/>
      <c r="E129" s="17" t="n"/>
      <c r="F129" s="17" t="n"/>
      <c r="G129" s="47" t="n"/>
      <c r="H129" s="47" t="n"/>
      <c r="I129" s="17" t="n"/>
      <c r="J129" s="48" t="n"/>
      <c r="K129" s="42">
        <f>IF(OR(C129="",G129="",I129="TERMINADO"),"",MAX(0,FECHA_CORTE-G129))</f>
        <v/>
      </c>
      <c r="L129" s="19">
        <f>IF(C129="","",IF(I129="TERMINADO","CUMPLIDO",IF(G129="","SIN FECHA",IF(G129&lt;FECHA_CORTE,"VENCIDO",IF(G129-FECHA_CORTE&lt;=2,"POR VENCER","EN TIEMPO")))))</f>
        <v/>
      </c>
      <c r="M129" s="17" t="n"/>
    </row>
    <row r="130">
      <c r="A130" s="46" t="n">
        <v>126</v>
      </c>
      <c r="B130" s="47" t="n"/>
      <c r="C130" s="17" t="n"/>
      <c r="D130" s="17" t="n"/>
      <c r="E130" s="17" t="n"/>
      <c r="F130" s="17" t="n"/>
      <c r="G130" s="47" t="n"/>
      <c r="H130" s="47" t="n"/>
      <c r="I130" s="17" t="n"/>
      <c r="J130" s="48" t="n"/>
      <c r="K130" s="42">
        <f>IF(OR(C130="",G130="",I130="TERMINADO"),"",MAX(0,FECHA_CORTE-G130))</f>
        <v/>
      </c>
      <c r="L130" s="19">
        <f>IF(C130="","",IF(I130="TERMINADO","CUMPLIDO",IF(G130="","SIN FECHA",IF(G130&lt;FECHA_CORTE,"VENCIDO",IF(G130-FECHA_CORTE&lt;=2,"POR VENCER","EN TIEMPO")))))</f>
        <v/>
      </c>
      <c r="M130" s="17" t="n"/>
    </row>
    <row r="131">
      <c r="A131" s="46" t="n">
        <v>127</v>
      </c>
      <c r="B131" s="47" t="n"/>
      <c r="C131" s="17" t="n"/>
      <c r="D131" s="17" t="n"/>
      <c r="E131" s="17" t="n"/>
      <c r="F131" s="17" t="n"/>
      <c r="G131" s="47" t="n"/>
      <c r="H131" s="47" t="n"/>
      <c r="I131" s="17" t="n"/>
      <c r="J131" s="48" t="n"/>
      <c r="K131" s="42">
        <f>IF(OR(C131="",G131="",I131="TERMINADO"),"",MAX(0,FECHA_CORTE-G131))</f>
        <v/>
      </c>
      <c r="L131" s="19">
        <f>IF(C131="","",IF(I131="TERMINADO","CUMPLIDO",IF(G131="","SIN FECHA",IF(G131&lt;FECHA_CORTE,"VENCIDO",IF(G131-FECHA_CORTE&lt;=2,"POR VENCER","EN TIEMPO")))))</f>
        <v/>
      </c>
      <c r="M131" s="17" t="n"/>
    </row>
    <row r="132">
      <c r="A132" s="46" t="n">
        <v>128</v>
      </c>
      <c r="B132" s="47" t="n"/>
      <c r="C132" s="17" t="n"/>
      <c r="D132" s="17" t="n"/>
      <c r="E132" s="17" t="n"/>
      <c r="F132" s="17" t="n"/>
      <c r="G132" s="47" t="n"/>
      <c r="H132" s="47" t="n"/>
      <c r="I132" s="17" t="n"/>
      <c r="J132" s="48" t="n"/>
      <c r="K132" s="42">
        <f>IF(OR(C132="",G132="",I132="TERMINADO"),"",MAX(0,FECHA_CORTE-G132))</f>
        <v/>
      </c>
      <c r="L132" s="19">
        <f>IF(C132="","",IF(I132="TERMINADO","CUMPLIDO",IF(G132="","SIN FECHA",IF(G132&lt;FECHA_CORTE,"VENCIDO",IF(G132-FECHA_CORTE&lt;=2,"POR VENCER","EN TIEMPO")))))</f>
        <v/>
      </c>
      <c r="M132" s="17" t="n"/>
    </row>
    <row r="133">
      <c r="A133" s="46" t="n">
        <v>129</v>
      </c>
      <c r="B133" s="47" t="n"/>
      <c r="C133" s="17" t="n"/>
      <c r="D133" s="17" t="n"/>
      <c r="E133" s="17" t="n"/>
      <c r="F133" s="17" t="n"/>
      <c r="G133" s="47" t="n"/>
      <c r="H133" s="47" t="n"/>
      <c r="I133" s="17" t="n"/>
      <c r="J133" s="48" t="n"/>
      <c r="K133" s="42">
        <f>IF(OR(C133="",G133="",I133="TERMINADO"),"",MAX(0,FECHA_CORTE-G133))</f>
        <v/>
      </c>
      <c r="L133" s="19">
        <f>IF(C133="","",IF(I133="TERMINADO","CUMPLIDO",IF(G133="","SIN FECHA",IF(G133&lt;FECHA_CORTE,"VENCIDO",IF(G133-FECHA_CORTE&lt;=2,"POR VENCER","EN TIEMPO")))))</f>
        <v/>
      </c>
      <c r="M133" s="17" t="n"/>
    </row>
    <row r="134">
      <c r="A134" s="46" t="n">
        <v>130</v>
      </c>
      <c r="B134" s="47" t="n"/>
      <c r="C134" s="17" t="n"/>
      <c r="D134" s="17" t="n"/>
      <c r="E134" s="17" t="n"/>
      <c r="F134" s="17" t="n"/>
      <c r="G134" s="47" t="n"/>
      <c r="H134" s="47" t="n"/>
      <c r="I134" s="17" t="n"/>
      <c r="J134" s="48" t="n"/>
      <c r="K134" s="42">
        <f>IF(OR(C134="",G134="",I134="TERMINADO"),"",MAX(0,FECHA_CORTE-G134))</f>
        <v/>
      </c>
      <c r="L134" s="19">
        <f>IF(C134="","",IF(I134="TERMINADO","CUMPLIDO",IF(G134="","SIN FECHA",IF(G134&lt;FECHA_CORTE,"VENCIDO",IF(G134-FECHA_CORTE&lt;=2,"POR VENCER","EN TIEMPO")))))</f>
        <v/>
      </c>
      <c r="M134" s="17" t="n"/>
    </row>
    <row r="135">
      <c r="A135" s="46" t="n">
        <v>131</v>
      </c>
      <c r="B135" s="47" t="n"/>
      <c r="C135" s="17" t="n"/>
      <c r="D135" s="17" t="n"/>
      <c r="E135" s="17" t="n"/>
      <c r="F135" s="17" t="n"/>
      <c r="G135" s="47" t="n"/>
      <c r="H135" s="47" t="n"/>
      <c r="I135" s="17" t="n"/>
      <c r="J135" s="48" t="n"/>
      <c r="K135" s="42">
        <f>IF(OR(C135="",G135="",I135="TERMINADO"),"",MAX(0,FECHA_CORTE-G135))</f>
        <v/>
      </c>
      <c r="L135" s="19">
        <f>IF(C135="","",IF(I135="TERMINADO","CUMPLIDO",IF(G135="","SIN FECHA",IF(G135&lt;FECHA_CORTE,"VENCIDO",IF(G135-FECHA_CORTE&lt;=2,"POR VENCER","EN TIEMPO")))))</f>
        <v/>
      </c>
      <c r="M135" s="17" t="n"/>
    </row>
    <row r="136">
      <c r="A136" s="46" t="n">
        <v>132</v>
      </c>
      <c r="B136" s="47" t="n"/>
      <c r="C136" s="17" t="n"/>
      <c r="D136" s="17" t="n"/>
      <c r="E136" s="17" t="n"/>
      <c r="F136" s="17" t="n"/>
      <c r="G136" s="47" t="n"/>
      <c r="H136" s="47" t="n"/>
      <c r="I136" s="17" t="n"/>
      <c r="J136" s="48" t="n"/>
      <c r="K136" s="42">
        <f>IF(OR(C136="",G136="",I136="TERMINADO"),"",MAX(0,FECHA_CORTE-G136))</f>
        <v/>
      </c>
      <c r="L136" s="19">
        <f>IF(C136="","",IF(I136="TERMINADO","CUMPLIDO",IF(G136="","SIN FECHA",IF(G136&lt;FECHA_CORTE,"VENCIDO",IF(G136-FECHA_CORTE&lt;=2,"POR VENCER","EN TIEMPO")))))</f>
        <v/>
      </c>
      <c r="M136" s="17" t="n"/>
    </row>
    <row r="137">
      <c r="A137" s="46" t="n">
        <v>133</v>
      </c>
      <c r="B137" s="47" t="n"/>
      <c r="C137" s="17" t="n"/>
      <c r="D137" s="17" t="n"/>
      <c r="E137" s="17" t="n"/>
      <c r="F137" s="17" t="n"/>
      <c r="G137" s="47" t="n"/>
      <c r="H137" s="47" t="n"/>
      <c r="I137" s="17" t="n"/>
      <c r="J137" s="48" t="n"/>
      <c r="K137" s="42">
        <f>IF(OR(C137="",G137="",I137="TERMINADO"),"",MAX(0,FECHA_CORTE-G137))</f>
        <v/>
      </c>
      <c r="L137" s="19">
        <f>IF(C137="","",IF(I137="TERMINADO","CUMPLIDO",IF(G137="","SIN FECHA",IF(G137&lt;FECHA_CORTE,"VENCIDO",IF(G137-FECHA_CORTE&lt;=2,"POR VENCER","EN TIEMPO")))))</f>
        <v/>
      </c>
      <c r="M137" s="17" t="n"/>
    </row>
    <row r="138">
      <c r="A138" s="46" t="n">
        <v>134</v>
      </c>
      <c r="B138" s="47" t="n"/>
      <c r="C138" s="17" t="n"/>
      <c r="D138" s="17" t="n"/>
      <c r="E138" s="17" t="n"/>
      <c r="F138" s="17" t="n"/>
      <c r="G138" s="47" t="n"/>
      <c r="H138" s="47" t="n"/>
      <c r="I138" s="17" t="n"/>
      <c r="J138" s="48" t="n"/>
      <c r="K138" s="42">
        <f>IF(OR(C138="",G138="",I138="TERMINADO"),"",MAX(0,FECHA_CORTE-G138))</f>
        <v/>
      </c>
      <c r="L138" s="19">
        <f>IF(C138="","",IF(I138="TERMINADO","CUMPLIDO",IF(G138="","SIN FECHA",IF(G138&lt;FECHA_CORTE,"VENCIDO",IF(G138-FECHA_CORTE&lt;=2,"POR VENCER","EN TIEMPO")))))</f>
        <v/>
      </c>
      <c r="M138" s="17" t="n"/>
    </row>
    <row r="139">
      <c r="A139" s="46" t="n">
        <v>135</v>
      </c>
      <c r="B139" s="47" t="n"/>
      <c r="C139" s="17" t="n"/>
      <c r="D139" s="17" t="n"/>
      <c r="E139" s="17" t="n"/>
      <c r="F139" s="17" t="n"/>
      <c r="G139" s="47" t="n"/>
      <c r="H139" s="47" t="n"/>
      <c r="I139" s="17" t="n"/>
      <c r="J139" s="48" t="n"/>
      <c r="K139" s="42">
        <f>IF(OR(C139="",G139="",I139="TERMINADO"),"",MAX(0,FECHA_CORTE-G139))</f>
        <v/>
      </c>
      <c r="L139" s="19">
        <f>IF(C139="","",IF(I139="TERMINADO","CUMPLIDO",IF(G139="","SIN FECHA",IF(G139&lt;FECHA_CORTE,"VENCIDO",IF(G139-FECHA_CORTE&lt;=2,"POR VENCER","EN TIEMPO")))))</f>
        <v/>
      </c>
      <c r="M139" s="17" t="n"/>
    </row>
    <row r="140">
      <c r="A140" s="46" t="n">
        <v>136</v>
      </c>
      <c r="B140" s="47" t="n"/>
      <c r="C140" s="17" t="n"/>
      <c r="D140" s="17" t="n"/>
      <c r="E140" s="17" t="n"/>
      <c r="F140" s="17" t="n"/>
      <c r="G140" s="47" t="n"/>
      <c r="H140" s="47" t="n"/>
      <c r="I140" s="17" t="n"/>
      <c r="J140" s="48" t="n"/>
      <c r="K140" s="42">
        <f>IF(OR(C140="",G140="",I140="TERMINADO"),"",MAX(0,FECHA_CORTE-G140))</f>
        <v/>
      </c>
      <c r="L140" s="19">
        <f>IF(C140="","",IF(I140="TERMINADO","CUMPLIDO",IF(G140="","SIN FECHA",IF(G140&lt;FECHA_CORTE,"VENCIDO",IF(G140-FECHA_CORTE&lt;=2,"POR VENCER","EN TIEMPO")))))</f>
        <v/>
      </c>
      <c r="M140" s="17" t="n"/>
    </row>
    <row r="141">
      <c r="A141" s="46" t="n">
        <v>137</v>
      </c>
      <c r="B141" s="47" t="n"/>
      <c r="C141" s="17" t="n"/>
      <c r="D141" s="17" t="n"/>
      <c r="E141" s="17" t="n"/>
      <c r="F141" s="17" t="n"/>
      <c r="G141" s="47" t="n"/>
      <c r="H141" s="47" t="n"/>
      <c r="I141" s="17" t="n"/>
      <c r="J141" s="48" t="n"/>
      <c r="K141" s="42">
        <f>IF(OR(C141="",G141="",I141="TERMINADO"),"",MAX(0,FECHA_CORTE-G141))</f>
        <v/>
      </c>
      <c r="L141" s="19">
        <f>IF(C141="","",IF(I141="TERMINADO","CUMPLIDO",IF(G141="","SIN FECHA",IF(G141&lt;FECHA_CORTE,"VENCIDO",IF(G141-FECHA_CORTE&lt;=2,"POR VENCER","EN TIEMPO")))))</f>
        <v/>
      </c>
      <c r="M141" s="17" t="n"/>
    </row>
    <row r="142">
      <c r="A142" s="46" t="n">
        <v>138</v>
      </c>
      <c r="B142" s="47" t="n"/>
      <c r="C142" s="17" t="n"/>
      <c r="D142" s="17" t="n"/>
      <c r="E142" s="17" t="n"/>
      <c r="F142" s="17" t="n"/>
      <c r="G142" s="47" t="n"/>
      <c r="H142" s="47" t="n"/>
      <c r="I142" s="17" t="n"/>
      <c r="J142" s="48" t="n"/>
      <c r="K142" s="42">
        <f>IF(OR(C142="",G142="",I142="TERMINADO"),"",MAX(0,FECHA_CORTE-G142))</f>
        <v/>
      </c>
      <c r="L142" s="19">
        <f>IF(C142="","",IF(I142="TERMINADO","CUMPLIDO",IF(G142="","SIN FECHA",IF(G142&lt;FECHA_CORTE,"VENCIDO",IF(G142-FECHA_CORTE&lt;=2,"POR VENCER","EN TIEMPO")))))</f>
        <v/>
      </c>
      <c r="M142" s="17" t="n"/>
    </row>
    <row r="143">
      <c r="A143" s="46" t="n">
        <v>139</v>
      </c>
      <c r="B143" s="47" t="n"/>
      <c r="C143" s="17" t="n"/>
      <c r="D143" s="17" t="n"/>
      <c r="E143" s="17" t="n"/>
      <c r="F143" s="17" t="n"/>
      <c r="G143" s="47" t="n"/>
      <c r="H143" s="47" t="n"/>
      <c r="I143" s="17" t="n"/>
      <c r="J143" s="48" t="n"/>
      <c r="K143" s="42">
        <f>IF(OR(C143="",G143="",I143="TERMINADO"),"",MAX(0,FECHA_CORTE-G143))</f>
        <v/>
      </c>
      <c r="L143" s="19">
        <f>IF(C143="","",IF(I143="TERMINADO","CUMPLIDO",IF(G143="","SIN FECHA",IF(G143&lt;FECHA_CORTE,"VENCIDO",IF(G143-FECHA_CORTE&lt;=2,"POR VENCER","EN TIEMPO")))))</f>
        <v/>
      </c>
      <c r="M143" s="17" t="n"/>
    </row>
    <row r="144">
      <c r="A144" s="46" t="n">
        <v>140</v>
      </c>
      <c r="B144" s="47" t="n"/>
      <c r="C144" s="17" t="n"/>
      <c r="D144" s="17" t="n"/>
      <c r="E144" s="17" t="n"/>
      <c r="F144" s="17" t="n"/>
      <c r="G144" s="47" t="n"/>
      <c r="H144" s="47" t="n"/>
      <c r="I144" s="17" t="n"/>
      <c r="J144" s="48" t="n"/>
      <c r="K144" s="42">
        <f>IF(OR(C144="",G144="",I144="TERMINADO"),"",MAX(0,FECHA_CORTE-G144))</f>
        <v/>
      </c>
      <c r="L144" s="19">
        <f>IF(C144="","",IF(I144="TERMINADO","CUMPLIDO",IF(G144="","SIN FECHA",IF(G144&lt;FECHA_CORTE,"VENCIDO",IF(G144-FECHA_CORTE&lt;=2,"POR VENCER","EN TIEMPO")))))</f>
        <v/>
      </c>
      <c r="M144" s="17" t="n"/>
    </row>
    <row r="145">
      <c r="A145" s="46" t="n">
        <v>141</v>
      </c>
      <c r="B145" s="47" t="n"/>
      <c r="C145" s="17" t="n"/>
      <c r="D145" s="17" t="n"/>
      <c r="E145" s="17" t="n"/>
      <c r="F145" s="17" t="n"/>
      <c r="G145" s="47" t="n"/>
      <c r="H145" s="47" t="n"/>
      <c r="I145" s="17" t="n"/>
      <c r="J145" s="48" t="n"/>
      <c r="K145" s="42">
        <f>IF(OR(C145="",G145="",I145="TERMINADO"),"",MAX(0,FECHA_CORTE-G145))</f>
        <v/>
      </c>
      <c r="L145" s="19">
        <f>IF(C145="","",IF(I145="TERMINADO","CUMPLIDO",IF(G145="","SIN FECHA",IF(G145&lt;FECHA_CORTE,"VENCIDO",IF(G145-FECHA_CORTE&lt;=2,"POR VENCER","EN TIEMPO")))))</f>
        <v/>
      </c>
      <c r="M145" s="17" t="n"/>
    </row>
    <row r="146">
      <c r="A146" s="46" t="n">
        <v>142</v>
      </c>
      <c r="B146" s="47" t="n"/>
      <c r="C146" s="17" t="n"/>
      <c r="D146" s="17" t="n"/>
      <c r="E146" s="17" t="n"/>
      <c r="F146" s="17" t="n"/>
      <c r="G146" s="47" t="n"/>
      <c r="H146" s="47" t="n"/>
      <c r="I146" s="17" t="n"/>
      <c r="J146" s="48" t="n"/>
      <c r="K146" s="42">
        <f>IF(OR(C146="",G146="",I146="TERMINADO"),"",MAX(0,FECHA_CORTE-G146))</f>
        <v/>
      </c>
      <c r="L146" s="19">
        <f>IF(C146="","",IF(I146="TERMINADO","CUMPLIDO",IF(G146="","SIN FECHA",IF(G146&lt;FECHA_CORTE,"VENCIDO",IF(G146-FECHA_CORTE&lt;=2,"POR VENCER","EN TIEMPO")))))</f>
        <v/>
      </c>
      <c r="M146" s="17" t="n"/>
    </row>
    <row r="147">
      <c r="A147" s="46" t="n">
        <v>143</v>
      </c>
      <c r="B147" s="47" t="n"/>
      <c r="C147" s="17" t="n"/>
      <c r="D147" s="17" t="n"/>
      <c r="E147" s="17" t="n"/>
      <c r="F147" s="17" t="n"/>
      <c r="G147" s="47" t="n"/>
      <c r="H147" s="47" t="n"/>
      <c r="I147" s="17" t="n"/>
      <c r="J147" s="48" t="n"/>
      <c r="K147" s="42">
        <f>IF(OR(C147="",G147="",I147="TERMINADO"),"",MAX(0,FECHA_CORTE-G147))</f>
        <v/>
      </c>
      <c r="L147" s="19">
        <f>IF(C147="","",IF(I147="TERMINADO","CUMPLIDO",IF(G147="","SIN FECHA",IF(G147&lt;FECHA_CORTE,"VENCIDO",IF(G147-FECHA_CORTE&lt;=2,"POR VENCER","EN TIEMPO")))))</f>
        <v/>
      </c>
      <c r="M147" s="17" t="n"/>
    </row>
    <row r="148">
      <c r="A148" s="46" t="n">
        <v>144</v>
      </c>
      <c r="B148" s="47" t="n"/>
      <c r="C148" s="17" t="n"/>
      <c r="D148" s="17" t="n"/>
      <c r="E148" s="17" t="n"/>
      <c r="F148" s="17" t="n"/>
      <c r="G148" s="47" t="n"/>
      <c r="H148" s="47" t="n"/>
      <c r="I148" s="17" t="n"/>
      <c r="J148" s="48" t="n"/>
      <c r="K148" s="42">
        <f>IF(OR(C148="",G148="",I148="TERMINADO"),"",MAX(0,FECHA_CORTE-G148))</f>
        <v/>
      </c>
      <c r="L148" s="19">
        <f>IF(C148="","",IF(I148="TERMINADO","CUMPLIDO",IF(G148="","SIN FECHA",IF(G148&lt;FECHA_CORTE,"VENCIDO",IF(G148-FECHA_CORTE&lt;=2,"POR VENCER","EN TIEMPO")))))</f>
        <v/>
      </c>
      <c r="M148" s="17" t="n"/>
    </row>
    <row r="149">
      <c r="A149" s="46" t="n">
        <v>145</v>
      </c>
      <c r="B149" s="47" t="n"/>
      <c r="C149" s="17" t="n"/>
      <c r="D149" s="17" t="n"/>
      <c r="E149" s="17" t="n"/>
      <c r="F149" s="17" t="n"/>
      <c r="G149" s="47" t="n"/>
      <c r="H149" s="47" t="n"/>
      <c r="I149" s="17" t="n"/>
      <c r="J149" s="48" t="n"/>
      <c r="K149" s="42">
        <f>IF(OR(C149="",G149="",I149="TERMINADO"),"",MAX(0,FECHA_CORTE-G149))</f>
        <v/>
      </c>
      <c r="L149" s="19">
        <f>IF(C149="","",IF(I149="TERMINADO","CUMPLIDO",IF(G149="","SIN FECHA",IF(G149&lt;FECHA_CORTE,"VENCIDO",IF(G149-FECHA_CORTE&lt;=2,"POR VENCER","EN TIEMPO")))))</f>
        <v/>
      </c>
      <c r="M149" s="17" t="n"/>
    </row>
    <row r="150">
      <c r="A150" s="46" t="n">
        <v>146</v>
      </c>
      <c r="B150" s="47" t="n"/>
      <c r="C150" s="17" t="n"/>
      <c r="D150" s="17" t="n"/>
      <c r="E150" s="17" t="n"/>
      <c r="F150" s="17" t="n"/>
      <c r="G150" s="47" t="n"/>
      <c r="H150" s="47" t="n"/>
      <c r="I150" s="17" t="n"/>
      <c r="J150" s="48" t="n"/>
      <c r="K150" s="42">
        <f>IF(OR(C150="",G150="",I150="TERMINADO"),"",MAX(0,FECHA_CORTE-G150))</f>
        <v/>
      </c>
      <c r="L150" s="19">
        <f>IF(C150="","",IF(I150="TERMINADO","CUMPLIDO",IF(G150="","SIN FECHA",IF(G150&lt;FECHA_CORTE,"VENCIDO",IF(G150-FECHA_CORTE&lt;=2,"POR VENCER","EN TIEMPO")))))</f>
        <v/>
      </c>
      <c r="M150" s="17" t="n"/>
    </row>
    <row r="151">
      <c r="A151" s="46" t="n">
        <v>147</v>
      </c>
      <c r="B151" s="47" t="n"/>
      <c r="C151" s="17" t="n"/>
      <c r="D151" s="17" t="n"/>
      <c r="E151" s="17" t="n"/>
      <c r="F151" s="17" t="n"/>
      <c r="G151" s="47" t="n"/>
      <c r="H151" s="47" t="n"/>
      <c r="I151" s="17" t="n"/>
      <c r="J151" s="48" t="n"/>
      <c r="K151" s="42">
        <f>IF(OR(C151="",G151="",I151="TERMINADO"),"",MAX(0,FECHA_CORTE-G151))</f>
        <v/>
      </c>
      <c r="L151" s="19">
        <f>IF(C151="","",IF(I151="TERMINADO","CUMPLIDO",IF(G151="","SIN FECHA",IF(G151&lt;FECHA_CORTE,"VENCIDO",IF(G151-FECHA_CORTE&lt;=2,"POR VENCER","EN TIEMPO")))))</f>
        <v/>
      </c>
      <c r="M151" s="17" t="n"/>
    </row>
    <row r="152">
      <c r="A152" s="46" t="n">
        <v>148</v>
      </c>
      <c r="B152" s="47" t="n"/>
      <c r="C152" s="17" t="n"/>
      <c r="D152" s="17" t="n"/>
      <c r="E152" s="17" t="n"/>
      <c r="F152" s="17" t="n"/>
      <c r="G152" s="47" t="n"/>
      <c r="H152" s="47" t="n"/>
      <c r="I152" s="17" t="n"/>
      <c r="J152" s="48" t="n"/>
      <c r="K152" s="42">
        <f>IF(OR(C152="",G152="",I152="TERMINADO"),"",MAX(0,FECHA_CORTE-G152))</f>
        <v/>
      </c>
      <c r="L152" s="19">
        <f>IF(C152="","",IF(I152="TERMINADO","CUMPLIDO",IF(G152="","SIN FECHA",IF(G152&lt;FECHA_CORTE,"VENCIDO",IF(G152-FECHA_CORTE&lt;=2,"POR VENCER","EN TIEMPO")))))</f>
        <v/>
      </c>
      <c r="M152" s="17" t="n"/>
    </row>
    <row r="153">
      <c r="A153" s="46" t="n">
        <v>149</v>
      </c>
      <c r="B153" s="47" t="n"/>
      <c r="C153" s="17" t="n"/>
      <c r="D153" s="17" t="n"/>
      <c r="E153" s="17" t="n"/>
      <c r="F153" s="17" t="n"/>
      <c r="G153" s="47" t="n"/>
      <c r="H153" s="47" t="n"/>
      <c r="I153" s="17" t="n"/>
      <c r="J153" s="48" t="n"/>
      <c r="K153" s="42">
        <f>IF(OR(C153="",G153="",I153="TERMINADO"),"",MAX(0,FECHA_CORTE-G153))</f>
        <v/>
      </c>
      <c r="L153" s="19">
        <f>IF(C153="","",IF(I153="TERMINADO","CUMPLIDO",IF(G153="","SIN FECHA",IF(G153&lt;FECHA_CORTE,"VENCIDO",IF(G153-FECHA_CORTE&lt;=2,"POR VENCER","EN TIEMPO")))))</f>
        <v/>
      </c>
      <c r="M153" s="17" t="n"/>
    </row>
    <row r="154">
      <c r="A154" s="46" t="n">
        <v>150</v>
      </c>
      <c r="B154" s="47" t="n"/>
      <c r="C154" s="17" t="n"/>
      <c r="D154" s="17" t="n"/>
      <c r="E154" s="17" t="n"/>
      <c r="F154" s="17" t="n"/>
      <c r="G154" s="47" t="n"/>
      <c r="H154" s="47" t="n"/>
      <c r="I154" s="17" t="n"/>
      <c r="J154" s="48" t="n"/>
      <c r="K154" s="42">
        <f>IF(OR(C154="",G154="",I154="TERMINADO"),"",MAX(0,FECHA_CORTE-G154))</f>
        <v/>
      </c>
      <c r="L154" s="19">
        <f>IF(C154="","",IF(I154="TERMINADO","CUMPLIDO",IF(G154="","SIN FECHA",IF(G154&lt;FECHA_CORTE,"VENCIDO",IF(G154-FECHA_CORTE&lt;=2,"POR VENCER","EN TIEMPO")))))</f>
        <v/>
      </c>
      <c r="M154" s="17" t="n"/>
    </row>
    <row r="155">
      <c r="A155" s="46" t="n">
        <v>151</v>
      </c>
      <c r="B155" s="47" t="n"/>
      <c r="C155" s="17" t="n"/>
      <c r="D155" s="17" t="n"/>
      <c r="E155" s="17" t="n"/>
      <c r="F155" s="17" t="n"/>
      <c r="G155" s="47" t="n"/>
      <c r="H155" s="47" t="n"/>
      <c r="I155" s="17" t="n"/>
      <c r="J155" s="48" t="n"/>
      <c r="K155" s="42">
        <f>IF(OR(C155="",G155="",I155="TERMINADO"),"",MAX(0,FECHA_CORTE-G155))</f>
        <v/>
      </c>
      <c r="L155" s="19">
        <f>IF(C155="","",IF(I155="TERMINADO","CUMPLIDO",IF(G155="","SIN FECHA",IF(G155&lt;FECHA_CORTE,"VENCIDO",IF(G155-FECHA_CORTE&lt;=2,"POR VENCER","EN TIEMPO")))))</f>
        <v/>
      </c>
      <c r="M155" s="17" t="n"/>
    </row>
    <row r="156">
      <c r="A156" s="46" t="n">
        <v>152</v>
      </c>
      <c r="B156" s="47" t="n"/>
      <c r="C156" s="17" t="n"/>
      <c r="D156" s="17" t="n"/>
      <c r="E156" s="17" t="n"/>
      <c r="F156" s="17" t="n"/>
      <c r="G156" s="47" t="n"/>
      <c r="H156" s="47" t="n"/>
      <c r="I156" s="17" t="n"/>
      <c r="J156" s="48" t="n"/>
      <c r="K156" s="42">
        <f>IF(OR(C156="",G156="",I156="TERMINADO"),"",MAX(0,FECHA_CORTE-G156))</f>
        <v/>
      </c>
      <c r="L156" s="19">
        <f>IF(C156="","",IF(I156="TERMINADO","CUMPLIDO",IF(G156="","SIN FECHA",IF(G156&lt;FECHA_CORTE,"VENCIDO",IF(G156-FECHA_CORTE&lt;=2,"POR VENCER","EN TIEMPO")))))</f>
        <v/>
      </c>
      <c r="M156" s="17" t="n"/>
    </row>
    <row r="157">
      <c r="A157" s="46" t="n">
        <v>153</v>
      </c>
      <c r="B157" s="47" t="n"/>
      <c r="C157" s="17" t="n"/>
      <c r="D157" s="17" t="n"/>
      <c r="E157" s="17" t="n"/>
      <c r="F157" s="17" t="n"/>
      <c r="G157" s="47" t="n"/>
      <c r="H157" s="47" t="n"/>
      <c r="I157" s="17" t="n"/>
      <c r="J157" s="48" t="n"/>
      <c r="K157" s="42">
        <f>IF(OR(C157="",G157="",I157="TERMINADO"),"",MAX(0,FECHA_CORTE-G157))</f>
        <v/>
      </c>
      <c r="L157" s="19">
        <f>IF(C157="","",IF(I157="TERMINADO","CUMPLIDO",IF(G157="","SIN FECHA",IF(G157&lt;FECHA_CORTE,"VENCIDO",IF(G157-FECHA_CORTE&lt;=2,"POR VENCER","EN TIEMPO")))))</f>
        <v/>
      </c>
      <c r="M157" s="17" t="n"/>
    </row>
    <row r="158">
      <c r="A158" s="46" t="n">
        <v>154</v>
      </c>
      <c r="B158" s="47" t="n"/>
      <c r="C158" s="17" t="n"/>
      <c r="D158" s="17" t="n"/>
      <c r="E158" s="17" t="n"/>
      <c r="F158" s="17" t="n"/>
      <c r="G158" s="47" t="n"/>
      <c r="H158" s="47" t="n"/>
      <c r="I158" s="17" t="n"/>
      <c r="J158" s="48" t="n"/>
      <c r="K158" s="42">
        <f>IF(OR(C158="",G158="",I158="TERMINADO"),"",MAX(0,FECHA_CORTE-G158))</f>
        <v/>
      </c>
      <c r="L158" s="19">
        <f>IF(C158="","",IF(I158="TERMINADO","CUMPLIDO",IF(G158="","SIN FECHA",IF(G158&lt;FECHA_CORTE,"VENCIDO",IF(G158-FECHA_CORTE&lt;=2,"POR VENCER","EN TIEMPO")))))</f>
        <v/>
      </c>
      <c r="M158" s="17" t="n"/>
    </row>
    <row r="159">
      <c r="A159" s="46" t="n">
        <v>155</v>
      </c>
      <c r="B159" s="47" t="n"/>
      <c r="C159" s="17" t="n"/>
      <c r="D159" s="17" t="n"/>
      <c r="E159" s="17" t="n"/>
      <c r="F159" s="17" t="n"/>
      <c r="G159" s="47" t="n"/>
      <c r="H159" s="47" t="n"/>
      <c r="I159" s="17" t="n"/>
      <c r="J159" s="48" t="n"/>
      <c r="K159" s="42">
        <f>IF(OR(C159="",G159="",I159="TERMINADO"),"",MAX(0,FECHA_CORTE-G159))</f>
        <v/>
      </c>
      <c r="L159" s="19">
        <f>IF(C159="","",IF(I159="TERMINADO","CUMPLIDO",IF(G159="","SIN FECHA",IF(G159&lt;FECHA_CORTE,"VENCIDO",IF(G159-FECHA_CORTE&lt;=2,"POR VENCER","EN TIEMPO")))))</f>
        <v/>
      </c>
      <c r="M159" s="17" t="n"/>
    </row>
    <row r="160">
      <c r="A160" s="46" t="n">
        <v>156</v>
      </c>
      <c r="B160" s="47" t="n"/>
      <c r="C160" s="17" t="n"/>
      <c r="D160" s="17" t="n"/>
      <c r="E160" s="17" t="n"/>
      <c r="F160" s="17" t="n"/>
      <c r="G160" s="47" t="n"/>
      <c r="H160" s="47" t="n"/>
      <c r="I160" s="17" t="n"/>
      <c r="J160" s="48" t="n"/>
      <c r="K160" s="42">
        <f>IF(OR(C160="",G160="",I160="TERMINADO"),"",MAX(0,FECHA_CORTE-G160))</f>
        <v/>
      </c>
      <c r="L160" s="19">
        <f>IF(C160="","",IF(I160="TERMINADO","CUMPLIDO",IF(G160="","SIN FECHA",IF(G160&lt;FECHA_CORTE,"VENCIDO",IF(G160-FECHA_CORTE&lt;=2,"POR VENCER","EN TIEMPO")))))</f>
        <v/>
      </c>
      <c r="M160" s="17" t="n"/>
    </row>
    <row r="161">
      <c r="A161" s="46" t="n">
        <v>157</v>
      </c>
      <c r="B161" s="47" t="n"/>
      <c r="C161" s="17" t="n"/>
      <c r="D161" s="17" t="n"/>
      <c r="E161" s="17" t="n"/>
      <c r="F161" s="17" t="n"/>
      <c r="G161" s="47" t="n"/>
      <c r="H161" s="47" t="n"/>
      <c r="I161" s="17" t="n"/>
      <c r="J161" s="48" t="n"/>
      <c r="K161" s="42">
        <f>IF(OR(C161="",G161="",I161="TERMINADO"),"",MAX(0,FECHA_CORTE-G161))</f>
        <v/>
      </c>
      <c r="L161" s="19">
        <f>IF(C161="","",IF(I161="TERMINADO","CUMPLIDO",IF(G161="","SIN FECHA",IF(G161&lt;FECHA_CORTE,"VENCIDO",IF(G161-FECHA_CORTE&lt;=2,"POR VENCER","EN TIEMPO")))))</f>
        <v/>
      </c>
      <c r="M161" s="17" t="n"/>
    </row>
    <row r="162">
      <c r="A162" s="46" t="n">
        <v>158</v>
      </c>
      <c r="B162" s="47" t="n"/>
      <c r="C162" s="17" t="n"/>
      <c r="D162" s="17" t="n"/>
      <c r="E162" s="17" t="n"/>
      <c r="F162" s="17" t="n"/>
      <c r="G162" s="47" t="n"/>
      <c r="H162" s="47" t="n"/>
      <c r="I162" s="17" t="n"/>
      <c r="J162" s="48" t="n"/>
      <c r="K162" s="42">
        <f>IF(OR(C162="",G162="",I162="TERMINADO"),"",MAX(0,FECHA_CORTE-G162))</f>
        <v/>
      </c>
      <c r="L162" s="19">
        <f>IF(C162="","",IF(I162="TERMINADO","CUMPLIDO",IF(G162="","SIN FECHA",IF(G162&lt;FECHA_CORTE,"VENCIDO",IF(G162-FECHA_CORTE&lt;=2,"POR VENCER","EN TIEMPO")))))</f>
        <v/>
      </c>
      <c r="M162" s="17" t="n"/>
    </row>
    <row r="163">
      <c r="A163" s="46" t="n">
        <v>159</v>
      </c>
      <c r="B163" s="47" t="n"/>
      <c r="C163" s="17" t="n"/>
      <c r="D163" s="17" t="n"/>
      <c r="E163" s="17" t="n"/>
      <c r="F163" s="17" t="n"/>
      <c r="G163" s="47" t="n"/>
      <c r="H163" s="47" t="n"/>
      <c r="I163" s="17" t="n"/>
      <c r="J163" s="48" t="n"/>
      <c r="K163" s="42">
        <f>IF(OR(C163="",G163="",I163="TERMINADO"),"",MAX(0,FECHA_CORTE-G163))</f>
        <v/>
      </c>
      <c r="L163" s="19">
        <f>IF(C163="","",IF(I163="TERMINADO","CUMPLIDO",IF(G163="","SIN FECHA",IF(G163&lt;FECHA_CORTE,"VENCIDO",IF(G163-FECHA_CORTE&lt;=2,"POR VENCER","EN TIEMPO")))))</f>
        <v/>
      </c>
      <c r="M163" s="17" t="n"/>
    </row>
    <row r="164">
      <c r="A164" s="46" t="n">
        <v>160</v>
      </c>
      <c r="B164" s="47" t="n"/>
      <c r="C164" s="17" t="n"/>
      <c r="D164" s="17" t="n"/>
      <c r="E164" s="17" t="n"/>
      <c r="F164" s="17" t="n"/>
      <c r="G164" s="47" t="n"/>
      <c r="H164" s="47" t="n"/>
      <c r="I164" s="17" t="n"/>
      <c r="J164" s="48" t="n"/>
      <c r="K164" s="42">
        <f>IF(OR(C164="",G164="",I164="TERMINADO"),"",MAX(0,FECHA_CORTE-G164))</f>
        <v/>
      </c>
      <c r="L164" s="19">
        <f>IF(C164="","",IF(I164="TERMINADO","CUMPLIDO",IF(G164="","SIN FECHA",IF(G164&lt;FECHA_CORTE,"VENCIDO",IF(G164-FECHA_CORTE&lt;=2,"POR VENCER","EN TIEMPO")))))</f>
        <v/>
      </c>
      <c r="M164" s="17" t="n"/>
    </row>
    <row r="165">
      <c r="A165" s="46" t="n">
        <v>161</v>
      </c>
      <c r="B165" s="47" t="n"/>
      <c r="C165" s="17" t="n"/>
      <c r="D165" s="17" t="n"/>
      <c r="E165" s="17" t="n"/>
      <c r="F165" s="17" t="n"/>
      <c r="G165" s="47" t="n"/>
      <c r="H165" s="47" t="n"/>
      <c r="I165" s="17" t="n"/>
      <c r="J165" s="48" t="n"/>
      <c r="K165" s="42">
        <f>IF(OR(C165="",G165="",I165="TERMINADO"),"",MAX(0,FECHA_CORTE-G165))</f>
        <v/>
      </c>
      <c r="L165" s="19">
        <f>IF(C165="","",IF(I165="TERMINADO","CUMPLIDO",IF(G165="","SIN FECHA",IF(G165&lt;FECHA_CORTE,"VENCIDO",IF(G165-FECHA_CORTE&lt;=2,"POR VENCER","EN TIEMPO")))))</f>
        <v/>
      </c>
      <c r="M165" s="17" t="n"/>
    </row>
    <row r="166">
      <c r="A166" s="46" t="n">
        <v>162</v>
      </c>
      <c r="B166" s="47" t="n"/>
      <c r="C166" s="17" t="n"/>
      <c r="D166" s="17" t="n"/>
      <c r="E166" s="17" t="n"/>
      <c r="F166" s="17" t="n"/>
      <c r="G166" s="47" t="n"/>
      <c r="H166" s="47" t="n"/>
      <c r="I166" s="17" t="n"/>
      <c r="J166" s="48" t="n"/>
      <c r="K166" s="42">
        <f>IF(OR(C166="",G166="",I166="TERMINADO"),"",MAX(0,FECHA_CORTE-G166))</f>
        <v/>
      </c>
      <c r="L166" s="19">
        <f>IF(C166="","",IF(I166="TERMINADO","CUMPLIDO",IF(G166="","SIN FECHA",IF(G166&lt;FECHA_CORTE,"VENCIDO",IF(G166-FECHA_CORTE&lt;=2,"POR VENCER","EN TIEMPO")))))</f>
        <v/>
      </c>
      <c r="M166" s="17" t="n"/>
    </row>
    <row r="167">
      <c r="A167" s="46" t="n">
        <v>163</v>
      </c>
      <c r="B167" s="47" t="n"/>
      <c r="C167" s="17" t="n"/>
      <c r="D167" s="17" t="n"/>
      <c r="E167" s="17" t="n"/>
      <c r="F167" s="17" t="n"/>
      <c r="G167" s="47" t="n"/>
      <c r="H167" s="47" t="n"/>
      <c r="I167" s="17" t="n"/>
      <c r="J167" s="48" t="n"/>
      <c r="K167" s="42">
        <f>IF(OR(C167="",G167="",I167="TERMINADO"),"",MAX(0,FECHA_CORTE-G167))</f>
        <v/>
      </c>
      <c r="L167" s="19">
        <f>IF(C167="","",IF(I167="TERMINADO","CUMPLIDO",IF(G167="","SIN FECHA",IF(G167&lt;FECHA_CORTE,"VENCIDO",IF(G167-FECHA_CORTE&lt;=2,"POR VENCER","EN TIEMPO")))))</f>
        <v/>
      </c>
      <c r="M167" s="17" t="n"/>
    </row>
    <row r="168">
      <c r="A168" s="46" t="n">
        <v>164</v>
      </c>
      <c r="B168" s="47" t="n"/>
      <c r="C168" s="17" t="n"/>
      <c r="D168" s="17" t="n"/>
      <c r="E168" s="17" t="n"/>
      <c r="F168" s="17" t="n"/>
      <c r="G168" s="47" t="n"/>
      <c r="H168" s="47" t="n"/>
      <c r="I168" s="17" t="n"/>
      <c r="J168" s="48" t="n"/>
      <c r="K168" s="42">
        <f>IF(OR(C168="",G168="",I168="TERMINADO"),"",MAX(0,FECHA_CORTE-G168))</f>
        <v/>
      </c>
      <c r="L168" s="19">
        <f>IF(C168="","",IF(I168="TERMINADO","CUMPLIDO",IF(G168="","SIN FECHA",IF(G168&lt;FECHA_CORTE,"VENCIDO",IF(G168-FECHA_CORTE&lt;=2,"POR VENCER","EN TIEMPO")))))</f>
        <v/>
      </c>
      <c r="M168" s="17" t="n"/>
    </row>
    <row r="169">
      <c r="A169" s="46" t="n">
        <v>165</v>
      </c>
      <c r="B169" s="47" t="n"/>
      <c r="C169" s="17" t="n"/>
      <c r="D169" s="17" t="n"/>
      <c r="E169" s="17" t="n"/>
      <c r="F169" s="17" t="n"/>
      <c r="G169" s="47" t="n"/>
      <c r="H169" s="47" t="n"/>
      <c r="I169" s="17" t="n"/>
      <c r="J169" s="48" t="n"/>
      <c r="K169" s="42">
        <f>IF(OR(C169="",G169="",I169="TERMINADO"),"",MAX(0,FECHA_CORTE-G169))</f>
        <v/>
      </c>
      <c r="L169" s="19">
        <f>IF(C169="","",IF(I169="TERMINADO","CUMPLIDO",IF(G169="","SIN FECHA",IF(G169&lt;FECHA_CORTE,"VENCIDO",IF(G169-FECHA_CORTE&lt;=2,"POR VENCER","EN TIEMPO")))))</f>
        <v/>
      </c>
      <c r="M169" s="17" t="n"/>
    </row>
    <row r="170">
      <c r="A170" s="46" t="n">
        <v>166</v>
      </c>
      <c r="B170" s="47" t="n"/>
      <c r="C170" s="17" t="n"/>
      <c r="D170" s="17" t="n"/>
      <c r="E170" s="17" t="n"/>
      <c r="F170" s="17" t="n"/>
      <c r="G170" s="47" t="n"/>
      <c r="H170" s="47" t="n"/>
      <c r="I170" s="17" t="n"/>
      <c r="J170" s="48" t="n"/>
      <c r="K170" s="42">
        <f>IF(OR(C170="",G170="",I170="TERMINADO"),"",MAX(0,FECHA_CORTE-G170))</f>
        <v/>
      </c>
      <c r="L170" s="19">
        <f>IF(C170="","",IF(I170="TERMINADO","CUMPLIDO",IF(G170="","SIN FECHA",IF(G170&lt;FECHA_CORTE,"VENCIDO",IF(G170-FECHA_CORTE&lt;=2,"POR VENCER","EN TIEMPO")))))</f>
        <v/>
      </c>
      <c r="M170" s="17" t="n"/>
    </row>
    <row r="171">
      <c r="A171" s="46" t="n">
        <v>167</v>
      </c>
      <c r="B171" s="47" t="n"/>
      <c r="C171" s="17" t="n"/>
      <c r="D171" s="17" t="n"/>
      <c r="E171" s="17" t="n"/>
      <c r="F171" s="17" t="n"/>
      <c r="G171" s="47" t="n"/>
      <c r="H171" s="47" t="n"/>
      <c r="I171" s="17" t="n"/>
      <c r="J171" s="48" t="n"/>
      <c r="K171" s="42">
        <f>IF(OR(C171="",G171="",I171="TERMINADO"),"",MAX(0,FECHA_CORTE-G171))</f>
        <v/>
      </c>
      <c r="L171" s="19">
        <f>IF(C171="","",IF(I171="TERMINADO","CUMPLIDO",IF(G171="","SIN FECHA",IF(G171&lt;FECHA_CORTE,"VENCIDO",IF(G171-FECHA_CORTE&lt;=2,"POR VENCER","EN TIEMPO")))))</f>
        <v/>
      </c>
      <c r="M171" s="17" t="n"/>
    </row>
    <row r="172">
      <c r="A172" s="46" t="n">
        <v>168</v>
      </c>
      <c r="B172" s="47" t="n"/>
      <c r="C172" s="17" t="n"/>
      <c r="D172" s="17" t="n"/>
      <c r="E172" s="17" t="n"/>
      <c r="F172" s="17" t="n"/>
      <c r="G172" s="47" t="n"/>
      <c r="H172" s="47" t="n"/>
      <c r="I172" s="17" t="n"/>
      <c r="J172" s="48" t="n"/>
      <c r="K172" s="42">
        <f>IF(OR(C172="",G172="",I172="TERMINADO"),"",MAX(0,FECHA_CORTE-G172))</f>
        <v/>
      </c>
      <c r="L172" s="19">
        <f>IF(C172="","",IF(I172="TERMINADO","CUMPLIDO",IF(G172="","SIN FECHA",IF(G172&lt;FECHA_CORTE,"VENCIDO",IF(G172-FECHA_CORTE&lt;=2,"POR VENCER","EN TIEMPO")))))</f>
        <v/>
      </c>
      <c r="M172" s="17" t="n"/>
    </row>
    <row r="173">
      <c r="A173" s="46" t="n">
        <v>169</v>
      </c>
      <c r="B173" s="47" t="n"/>
      <c r="C173" s="17" t="n"/>
      <c r="D173" s="17" t="n"/>
      <c r="E173" s="17" t="n"/>
      <c r="F173" s="17" t="n"/>
      <c r="G173" s="47" t="n"/>
      <c r="H173" s="47" t="n"/>
      <c r="I173" s="17" t="n"/>
      <c r="J173" s="48" t="n"/>
      <c r="K173" s="42">
        <f>IF(OR(C173="",G173="",I173="TERMINADO"),"",MAX(0,FECHA_CORTE-G173))</f>
        <v/>
      </c>
      <c r="L173" s="19">
        <f>IF(C173="","",IF(I173="TERMINADO","CUMPLIDO",IF(G173="","SIN FECHA",IF(G173&lt;FECHA_CORTE,"VENCIDO",IF(G173-FECHA_CORTE&lt;=2,"POR VENCER","EN TIEMPO")))))</f>
        <v/>
      </c>
      <c r="M173" s="17" t="n"/>
    </row>
    <row r="174">
      <c r="A174" s="46" t="n">
        <v>170</v>
      </c>
      <c r="B174" s="47" t="n"/>
      <c r="C174" s="17" t="n"/>
      <c r="D174" s="17" t="n"/>
      <c r="E174" s="17" t="n"/>
      <c r="F174" s="17" t="n"/>
      <c r="G174" s="47" t="n"/>
      <c r="H174" s="47" t="n"/>
      <c r="I174" s="17" t="n"/>
      <c r="J174" s="48" t="n"/>
      <c r="K174" s="42">
        <f>IF(OR(C174="",G174="",I174="TERMINADO"),"",MAX(0,FECHA_CORTE-G174))</f>
        <v/>
      </c>
      <c r="L174" s="19">
        <f>IF(C174="","",IF(I174="TERMINADO","CUMPLIDO",IF(G174="","SIN FECHA",IF(G174&lt;FECHA_CORTE,"VENCIDO",IF(G174-FECHA_CORTE&lt;=2,"POR VENCER","EN TIEMPO")))))</f>
        <v/>
      </c>
      <c r="M174" s="17" t="n"/>
    </row>
    <row r="175">
      <c r="A175" s="46" t="n">
        <v>171</v>
      </c>
      <c r="B175" s="47" t="n"/>
      <c r="C175" s="17" t="n"/>
      <c r="D175" s="17" t="n"/>
      <c r="E175" s="17" t="n"/>
      <c r="F175" s="17" t="n"/>
      <c r="G175" s="47" t="n"/>
      <c r="H175" s="47" t="n"/>
      <c r="I175" s="17" t="n"/>
      <c r="J175" s="48" t="n"/>
      <c r="K175" s="42">
        <f>IF(OR(C175="",G175="",I175="TERMINADO"),"",MAX(0,FECHA_CORTE-G175))</f>
        <v/>
      </c>
      <c r="L175" s="19">
        <f>IF(C175="","",IF(I175="TERMINADO","CUMPLIDO",IF(G175="","SIN FECHA",IF(G175&lt;FECHA_CORTE,"VENCIDO",IF(G175-FECHA_CORTE&lt;=2,"POR VENCER","EN TIEMPO")))))</f>
        <v/>
      </c>
      <c r="M175" s="17" t="n"/>
    </row>
    <row r="176">
      <c r="A176" s="46" t="n">
        <v>172</v>
      </c>
      <c r="B176" s="47" t="n"/>
      <c r="C176" s="17" t="n"/>
      <c r="D176" s="17" t="n"/>
      <c r="E176" s="17" t="n"/>
      <c r="F176" s="17" t="n"/>
      <c r="G176" s="47" t="n"/>
      <c r="H176" s="47" t="n"/>
      <c r="I176" s="17" t="n"/>
      <c r="J176" s="48" t="n"/>
      <c r="K176" s="42">
        <f>IF(OR(C176="",G176="",I176="TERMINADO"),"",MAX(0,FECHA_CORTE-G176))</f>
        <v/>
      </c>
      <c r="L176" s="19">
        <f>IF(C176="","",IF(I176="TERMINADO","CUMPLIDO",IF(G176="","SIN FECHA",IF(G176&lt;FECHA_CORTE,"VENCIDO",IF(G176-FECHA_CORTE&lt;=2,"POR VENCER","EN TIEMPO")))))</f>
        <v/>
      </c>
      <c r="M176" s="17" t="n"/>
    </row>
    <row r="177">
      <c r="A177" s="46" t="n">
        <v>173</v>
      </c>
      <c r="B177" s="47" t="n"/>
      <c r="C177" s="17" t="n"/>
      <c r="D177" s="17" t="n"/>
      <c r="E177" s="17" t="n"/>
      <c r="F177" s="17" t="n"/>
      <c r="G177" s="47" t="n"/>
      <c r="H177" s="47" t="n"/>
      <c r="I177" s="17" t="n"/>
      <c r="J177" s="48" t="n"/>
      <c r="K177" s="42">
        <f>IF(OR(C177="",G177="",I177="TERMINADO"),"",MAX(0,FECHA_CORTE-G177))</f>
        <v/>
      </c>
      <c r="L177" s="19">
        <f>IF(C177="","",IF(I177="TERMINADO","CUMPLIDO",IF(G177="","SIN FECHA",IF(G177&lt;FECHA_CORTE,"VENCIDO",IF(G177-FECHA_CORTE&lt;=2,"POR VENCER","EN TIEMPO")))))</f>
        <v/>
      </c>
      <c r="M177" s="17" t="n"/>
    </row>
    <row r="178">
      <c r="A178" s="46" t="n">
        <v>174</v>
      </c>
      <c r="B178" s="47" t="n"/>
      <c r="C178" s="17" t="n"/>
      <c r="D178" s="17" t="n"/>
      <c r="E178" s="17" t="n"/>
      <c r="F178" s="17" t="n"/>
      <c r="G178" s="47" t="n"/>
      <c r="H178" s="47" t="n"/>
      <c r="I178" s="17" t="n"/>
      <c r="J178" s="48" t="n"/>
      <c r="K178" s="42">
        <f>IF(OR(C178="",G178="",I178="TERMINADO"),"",MAX(0,FECHA_CORTE-G178))</f>
        <v/>
      </c>
      <c r="L178" s="19">
        <f>IF(C178="","",IF(I178="TERMINADO","CUMPLIDO",IF(G178="","SIN FECHA",IF(G178&lt;FECHA_CORTE,"VENCIDO",IF(G178-FECHA_CORTE&lt;=2,"POR VENCER","EN TIEMPO")))))</f>
        <v/>
      </c>
      <c r="M178" s="17" t="n"/>
    </row>
    <row r="179">
      <c r="A179" s="46" t="n">
        <v>175</v>
      </c>
      <c r="B179" s="47" t="n"/>
      <c r="C179" s="17" t="n"/>
      <c r="D179" s="17" t="n"/>
      <c r="E179" s="17" t="n"/>
      <c r="F179" s="17" t="n"/>
      <c r="G179" s="47" t="n"/>
      <c r="H179" s="47" t="n"/>
      <c r="I179" s="17" t="n"/>
      <c r="J179" s="48" t="n"/>
      <c r="K179" s="42">
        <f>IF(OR(C179="",G179="",I179="TERMINADO"),"",MAX(0,FECHA_CORTE-G179))</f>
        <v/>
      </c>
      <c r="L179" s="19">
        <f>IF(C179="","",IF(I179="TERMINADO","CUMPLIDO",IF(G179="","SIN FECHA",IF(G179&lt;FECHA_CORTE,"VENCIDO",IF(G179-FECHA_CORTE&lt;=2,"POR VENCER","EN TIEMPO")))))</f>
        <v/>
      </c>
      <c r="M179" s="17" t="n"/>
    </row>
    <row r="180">
      <c r="A180" s="46" t="n">
        <v>176</v>
      </c>
      <c r="B180" s="47" t="n"/>
      <c r="C180" s="17" t="n"/>
      <c r="D180" s="17" t="n"/>
      <c r="E180" s="17" t="n"/>
      <c r="F180" s="17" t="n"/>
      <c r="G180" s="47" t="n"/>
      <c r="H180" s="47" t="n"/>
      <c r="I180" s="17" t="n"/>
      <c r="J180" s="48" t="n"/>
      <c r="K180" s="42">
        <f>IF(OR(C180="",G180="",I180="TERMINADO"),"",MAX(0,FECHA_CORTE-G180))</f>
        <v/>
      </c>
      <c r="L180" s="19">
        <f>IF(C180="","",IF(I180="TERMINADO","CUMPLIDO",IF(G180="","SIN FECHA",IF(G180&lt;FECHA_CORTE,"VENCIDO",IF(G180-FECHA_CORTE&lt;=2,"POR VENCER","EN TIEMPO")))))</f>
        <v/>
      </c>
      <c r="M180" s="17" t="n"/>
    </row>
    <row r="181">
      <c r="A181" s="46" t="n">
        <v>177</v>
      </c>
      <c r="B181" s="47" t="n"/>
      <c r="C181" s="17" t="n"/>
      <c r="D181" s="17" t="n"/>
      <c r="E181" s="17" t="n"/>
      <c r="F181" s="17" t="n"/>
      <c r="G181" s="47" t="n"/>
      <c r="H181" s="47" t="n"/>
      <c r="I181" s="17" t="n"/>
      <c r="J181" s="48" t="n"/>
      <c r="K181" s="42">
        <f>IF(OR(C181="",G181="",I181="TERMINADO"),"",MAX(0,FECHA_CORTE-G181))</f>
        <v/>
      </c>
      <c r="L181" s="19">
        <f>IF(C181="","",IF(I181="TERMINADO","CUMPLIDO",IF(G181="","SIN FECHA",IF(G181&lt;FECHA_CORTE,"VENCIDO",IF(G181-FECHA_CORTE&lt;=2,"POR VENCER","EN TIEMPO")))))</f>
        <v/>
      </c>
      <c r="M181" s="17" t="n"/>
    </row>
    <row r="182">
      <c r="A182" s="46" t="n">
        <v>178</v>
      </c>
      <c r="B182" s="47" t="n"/>
      <c r="C182" s="17" t="n"/>
      <c r="D182" s="17" t="n"/>
      <c r="E182" s="17" t="n"/>
      <c r="F182" s="17" t="n"/>
      <c r="G182" s="47" t="n"/>
      <c r="H182" s="47" t="n"/>
      <c r="I182" s="17" t="n"/>
      <c r="J182" s="48" t="n"/>
      <c r="K182" s="42">
        <f>IF(OR(C182="",G182="",I182="TERMINADO"),"",MAX(0,FECHA_CORTE-G182))</f>
        <v/>
      </c>
      <c r="L182" s="19">
        <f>IF(C182="","",IF(I182="TERMINADO","CUMPLIDO",IF(G182="","SIN FECHA",IF(G182&lt;FECHA_CORTE,"VENCIDO",IF(G182-FECHA_CORTE&lt;=2,"POR VENCER","EN TIEMPO")))))</f>
        <v/>
      </c>
      <c r="M182" s="17" t="n"/>
    </row>
    <row r="183">
      <c r="A183" s="46" t="n">
        <v>179</v>
      </c>
      <c r="B183" s="47" t="n"/>
      <c r="C183" s="17" t="n"/>
      <c r="D183" s="17" t="n"/>
      <c r="E183" s="17" t="n"/>
      <c r="F183" s="17" t="n"/>
      <c r="G183" s="47" t="n"/>
      <c r="H183" s="47" t="n"/>
      <c r="I183" s="17" t="n"/>
      <c r="J183" s="48" t="n"/>
      <c r="K183" s="42">
        <f>IF(OR(C183="",G183="",I183="TERMINADO"),"",MAX(0,FECHA_CORTE-G183))</f>
        <v/>
      </c>
      <c r="L183" s="19">
        <f>IF(C183="","",IF(I183="TERMINADO","CUMPLIDO",IF(G183="","SIN FECHA",IF(G183&lt;FECHA_CORTE,"VENCIDO",IF(G183-FECHA_CORTE&lt;=2,"POR VENCER","EN TIEMPO")))))</f>
        <v/>
      </c>
      <c r="M183" s="17" t="n"/>
    </row>
    <row r="184">
      <c r="A184" s="46" t="n">
        <v>180</v>
      </c>
      <c r="B184" s="47" t="n"/>
      <c r="C184" s="17" t="n"/>
      <c r="D184" s="17" t="n"/>
      <c r="E184" s="17" t="n"/>
      <c r="F184" s="17" t="n"/>
      <c r="G184" s="47" t="n"/>
      <c r="H184" s="47" t="n"/>
      <c r="I184" s="17" t="n"/>
      <c r="J184" s="48" t="n"/>
      <c r="K184" s="42">
        <f>IF(OR(C184="",G184="",I184="TERMINADO"),"",MAX(0,FECHA_CORTE-G184))</f>
        <v/>
      </c>
      <c r="L184" s="19">
        <f>IF(C184="","",IF(I184="TERMINADO","CUMPLIDO",IF(G184="","SIN FECHA",IF(G184&lt;FECHA_CORTE,"VENCIDO",IF(G184-FECHA_CORTE&lt;=2,"POR VENCER","EN TIEMPO")))))</f>
        <v/>
      </c>
      <c r="M184" s="17" t="n"/>
    </row>
    <row r="185">
      <c r="A185" s="46" t="n">
        <v>181</v>
      </c>
      <c r="B185" s="47" t="n"/>
      <c r="C185" s="17" t="n"/>
      <c r="D185" s="17" t="n"/>
      <c r="E185" s="17" t="n"/>
      <c r="F185" s="17" t="n"/>
      <c r="G185" s="47" t="n"/>
      <c r="H185" s="47" t="n"/>
      <c r="I185" s="17" t="n"/>
      <c r="J185" s="48" t="n"/>
      <c r="K185" s="42">
        <f>IF(OR(C185="",G185="",I185="TERMINADO"),"",MAX(0,FECHA_CORTE-G185))</f>
        <v/>
      </c>
      <c r="L185" s="19">
        <f>IF(C185="","",IF(I185="TERMINADO","CUMPLIDO",IF(G185="","SIN FECHA",IF(G185&lt;FECHA_CORTE,"VENCIDO",IF(G185-FECHA_CORTE&lt;=2,"POR VENCER","EN TIEMPO")))))</f>
        <v/>
      </c>
      <c r="M185" s="17" t="n"/>
    </row>
    <row r="186">
      <c r="A186" s="46" t="n">
        <v>182</v>
      </c>
      <c r="B186" s="47" t="n"/>
      <c r="C186" s="17" t="n"/>
      <c r="D186" s="17" t="n"/>
      <c r="E186" s="17" t="n"/>
      <c r="F186" s="17" t="n"/>
      <c r="G186" s="47" t="n"/>
      <c r="H186" s="47" t="n"/>
      <c r="I186" s="17" t="n"/>
      <c r="J186" s="48" t="n"/>
      <c r="K186" s="42">
        <f>IF(OR(C186="",G186="",I186="TERMINADO"),"",MAX(0,FECHA_CORTE-G186))</f>
        <v/>
      </c>
      <c r="L186" s="19">
        <f>IF(C186="","",IF(I186="TERMINADO","CUMPLIDO",IF(G186="","SIN FECHA",IF(G186&lt;FECHA_CORTE,"VENCIDO",IF(G186-FECHA_CORTE&lt;=2,"POR VENCER","EN TIEMPO")))))</f>
        <v/>
      </c>
      <c r="M186" s="17" t="n"/>
    </row>
    <row r="187">
      <c r="A187" s="46" t="n">
        <v>183</v>
      </c>
      <c r="B187" s="47" t="n"/>
      <c r="C187" s="17" t="n"/>
      <c r="D187" s="17" t="n"/>
      <c r="E187" s="17" t="n"/>
      <c r="F187" s="17" t="n"/>
      <c r="G187" s="47" t="n"/>
      <c r="H187" s="47" t="n"/>
      <c r="I187" s="17" t="n"/>
      <c r="J187" s="48" t="n"/>
      <c r="K187" s="42">
        <f>IF(OR(C187="",G187="",I187="TERMINADO"),"",MAX(0,FECHA_CORTE-G187))</f>
        <v/>
      </c>
      <c r="L187" s="19">
        <f>IF(C187="","",IF(I187="TERMINADO","CUMPLIDO",IF(G187="","SIN FECHA",IF(G187&lt;FECHA_CORTE,"VENCIDO",IF(G187-FECHA_CORTE&lt;=2,"POR VENCER","EN TIEMPO")))))</f>
        <v/>
      </c>
      <c r="M187" s="17" t="n"/>
    </row>
    <row r="188">
      <c r="A188" s="46" t="n">
        <v>184</v>
      </c>
      <c r="B188" s="47" t="n"/>
      <c r="C188" s="17" t="n"/>
      <c r="D188" s="17" t="n"/>
      <c r="E188" s="17" t="n"/>
      <c r="F188" s="17" t="n"/>
      <c r="G188" s="47" t="n"/>
      <c r="H188" s="47" t="n"/>
      <c r="I188" s="17" t="n"/>
      <c r="J188" s="48" t="n"/>
      <c r="K188" s="42">
        <f>IF(OR(C188="",G188="",I188="TERMINADO"),"",MAX(0,FECHA_CORTE-G188))</f>
        <v/>
      </c>
      <c r="L188" s="19">
        <f>IF(C188="","",IF(I188="TERMINADO","CUMPLIDO",IF(G188="","SIN FECHA",IF(G188&lt;FECHA_CORTE,"VENCIDO",IF(G188-FECHA_CORTE&lt;=2,"POR VENCER","EN TIEMPO")))))</f>
        <v/>
      </c>
      <c r="M188" s="17" t="n"/>
    </row>
    <row r="189">
      <c r="A189" s="46" t="n">
        <v>185</v>
      </c>
      <c r="B189" s="47" t="n"/>
      <c r="C189" s="17" t="n"/>
      <c r="D189" s="17" t="n"/>
      <c r="E189" s="17" t="n"/>
      <c r="F189" s="17" t="n"/>
      <c r="G189" s="47" t="n"/>
      <c r="H189" s="47" t="n"/>
      <c r="I189" s="17" t="n"/>
      <c r="J189" s="48" t="n"/>
      <c r="K189" s="42">
        <f>IF(OR(C189="",G189="",I189="TERMINADO"),"",MAX(0,FECHA_CORTE-G189))</f>
        <v/>
      </c>
      <c r="L189" s="19">
        <f>IF(C189="","",IF(I189="TERMINADO","CUMPLIDO",IF(G189="","SIN FECHA",IF(G189&lt;FECHA_CORTE,"VENCIDO",IF(G189-FECHA_CORTE&lt;=2,"POR VENCER","EN TIEMPO")))))</f>
        <v/>
      </c>
      <c r="M189" s="17" t="n"/>
    </row>
    <row r="190">
      <c r="A190" s="46" t="n">
        <v>186</v>
      </c>
      <c r="B190" s="47" t="n"/>
      <c r="C190" s="17" t="n"/>
      <c r="D190" s="17" t="n"/>
      <c r="E190" s="17" t="n"/>
      <c r="F190" s="17" t="n"/>
      <c r="G190" s="47" t="n"/>
      <c r="H190" s="47" t="n"/>
      <c r="I190" s="17" t="n"/>
      <c r="J190" s="48" t="n"/>
      <c r="K190" s="42">
        <f>IF(OR(C190="",G190="",I190="TERMINADO"),"",MAX(0,FECHA_CORTE-G190))</f>
        <v/>
      </c>
      <c r="L190" s="19">
        <f>IF(C190="","",IF(I190="TERMINADO","CUMPLIDO",IF(G190="","SIN FECHA",IF(G190&lt;FECHA_CORTE,"VENCIDO",IF(G190-FECHA_CORTE&lt;=2,"POR VENCER","EN TIEMPO")))))</f>
        <v/>
      </c>
      <c r="M190" s="17" t="n"/>
    </row>
    <row r="191">
      <c r="A191" s="46" t="n">
        <v>187</v>
      </c>
      <c r="B191" s="47" t="n"/>
      <c r="C191" s="17" t="n"/>
      <c r="D191" s="17" t="n"/>
      <c r="E191" s="17" t="n"/>
      <c r="F191" s="17" t="n"/>
      <c r="G191" s="47" t="n"/>
      <c r="H191" s="47" t="n"/>
      <c r="I191" s="17" t="n"/>
      <c r="J191" s="48" t="n"/>
      <c r="K191" s="42">
        <f>IF(OR(C191="",G191="",I191="TERMINADO"),"",MAX(0,FECHA_CORTE-G191))</f>
        <v/>
      </c>
      <c r="L191" s="19">
        <f>IF(C191="","",IF(I191="TERMINADO","CUMPLIDO",IF(G191="","SIN FECHA",IF(G191&lt;FECHA_CORTE,"VENCIDO",IF(G191-FECHA_CORTE&lt;=2,"POR VENCER","EN TIEMPO")))))</f>
        <v/>
      </c>
      <c r="M191" s="17" t="n"/>
    </row>
    <row r="192">
      <c r="A192" s="46" t="n">
        <v>188</v>
      </c>
      <c r="B192" s="47" t="n"/>
      <c r="C192" s="17" t="n"/>
      <c r="D192" s="17" t="n"/>
      <c r="E192" s="17" t="n"/>
      <c r="F192" s="17" t="n"/>
      <c r="G192" s="47" t="n"/>
      <c r="H192" s="47" t="n"/>
      <c r="I192" s="17" t="n"/>
      <c r="J192" s="48" t="n"/>
      <c r="K192" s="42">
        <f>IF(OR(C192="",G192="",I192="TERMINADO"),"",MAX(0,FECHA_CORTE-G192))</f>
        <v/>
      </c>
      <c r="L192" s="19">
        <f>IF(C192="","",IF(I192="TERMINADO","CUMPLIDO",IF(G192="","SIN FECHA",IF(G192&lt;FECHA_CORTE,"VENCIDO",IF(G192-FECHA_CORTE&lt;=2,"POR VENCER","EN TIEMPO")))))</f>
        <v/>
      </c>
      <c r="M192" s="17" t="n"/>
    </row>
    <row r="193">
      <c r="A193" s="46" t="n">
        <v>189</v>
      </c>
      <c r="B193" s="47" t="n"/>
      <c r="C193" s="17" t="n"/>
      <c r="D193" s="17" t="n"/>
      <c r="E193" s="17" t="n"/>
      <c r="F193" s="17" t="n"/>
      <c r="G193" s="47" t="n"/>
      <c r="H193" s="47" t="n"/>
      <c r="I193" s="17" t="n"/>
      <c r="J193" s="48" t="n"/>
      <c r="K193" s="42">
        <f>IF(OR(C193="",G193="",I193="TERMINADO"),"",MAX(0,FECHA_CORTE-G193))</f>
        <v/>
      </c>
      <c r="L193" s="19">
        <f>IF(C193="","",IF(I193="TERMINADO","CUMPLIDO",IF(G193="","SIN FECHA",IF(G193&lt;FECHA_CORTE,"VENCIDO",IF(G193-FECHA_CORTE&lt;=2,"POR VENCER","EN TIEMPO")))))</f>
        <v/>
      </c>
      <c r="M193" s="17" t="n"/>
    </row>
    <row r="194">
      <c r="A194" s="46" t="n">
        <v>190</v>
      </c>
      <c r="B194" s="47" t="n"/>
      <c r="C194" s="17" t="n"/>
      <c r="D194" s="17" t="n"/>
      <c r="E194" s="17" t="n"/>
      <c r="F194" s="17" t="n"/>
      <c r="G194" s="47" t="n"/>
      <c r="H194" s="47" t="n"/>
      <c r="I194" s="17" t="n"/>
      <c r="J194" s="48" t="n"/>
      <c r="K194" s="42">
        <f>IF(OR(C194="",G194="",I194="TERMINADO"),"",MAX(0,FECHA_CORTE-G194))</f>
        <v/>
      </c>
      <c r="L194" s="19">
        <f>IF(C194="","",IF(I194="TERMINADO","CUMPLIDO",IF(G194="","SIN FECHA",IF(G194&lt;FECHA_CORTE,"VENCIDO",IF(G194-FECHA_CORTE&lt;=2,"POR VENCER","EN TIEMPO")))))</f>
        <v/>
      </c>
      <c r="M194" s="17" t="n"/>
    </row>
    <row r="195">
      <c r="A195" s="46" t="n">
        <v>191</v>
      </c>
      <c r="B195" s="47" t="n"/>
      <c r="C195" s="17" t="n"/>
      <c r="D195" s="17" t="n"/>
      <c r="E195" s="17" t="n"/>
      <c r="F195" s="17" t="n"/>
      <c r="G195" s="47" t="n"/>
      <c r="H195" s="47" t="n"/>
      <c r="I195" s="17" t="n"/>
      <c r="J195" s="48" t="n"/>
      <c r="K195" s="42">
        <f>IF(OR(C195="",G195="",I195="TERMINADO"),"",MAX(0,FECHA_CORTE-G195))</f>
        <v/>
      </c>
      <c r="L195" s="19">
        <f>IF(C195="","",IF(I195="TERMINADO","CUMPLIDO",IF(G195="","SIN FECHA",IF(G195&lt;FECHA_CORTE,"VENCIDO",IF(G195-FECHA_CORTE&lt;=2,"POR VENCER","EN TIEMPO")))))</f>
        <v/>
      </c>
      <c r="M195" s="17" t="n"/>
    </row>
    <row r="196">
      <c r="A196" s="46" t="n">
        <v>192</v>
      </c>
      <c r="B196" s="47" t="n"/>
      <c r="C196" s="17" t="n"/>
      <c r="D196" s="17" t="n"/>
      <c r="E196" s="17" t="n"/>
      <c r="F196" s="17" t="n"/>
      <c r="G196" s="47" t="n"/>
      <c r="H196" s="47" t="n"/>
      <c r="I196" s="17" t="n"/>
      <c r="J196" s="48" t="n"/>
      <c r="K196" s="42">
        <f>IF(OR(C196="",G196="",I196="TERMINADO"),"",MAX(0,FECHA_CORTE-G196))</f>
        <v/>
      </c>
      <c r="L196" s="19">
        <f>IF(C196="","",IF(I196="TERMINADO","CUMPLIDO",IF(G196="","SIN FECHA",IF(G196&lt;FECHA_CORTE,"VENCIDO",IF(G196-FECHA_CORTE&lt;=2,"POR VENCER","EN TIEMPO")))))</f>
        <v/>
      </c>
      <c r="M196" s="17" t="n"/>
    </row>
    <row r="197">
      <c r="A197" s="46" t="n">
        <v>193</v>
      </c>
      <c r="B197" s="47" t="n"/>
      <c r="C197" s="17" t="n"/>
      <c r="D197" s="17" t="n"/>
      <c r="E197" s="17" t="n"/>
      <c r="F197" s="17" t="n"/>
      <c r="G197" s="47" t="n"/>
      <c r="H197" s="47" t="n"/>
      <c r="I197" s="17" t="n"/>
      <c r="J197" s="48" t="n"/>
      <c r="K197" s="42">
        <f>IF(OR(C197="",G197="",I197="TERMINADO"),"",MAX(0,FECHA_CORTE-G197))</f>
        <v/>
      </c>
      <c r="L197" s="19">
        <f>IF(C197="","",IF(I197="TERMINADO","CUMPLIDO",IF(G197="","SIN FECHA",IF(G197&lt;FECHA_CORTE,"VENCIDO",IF(G197-FECHA_CORTE&lt;=2,"POR VENCER","EN TIEMPO")))))</f>
        <v/>
      </c>
      <c r="M197" s="17" t="n"/>
    </row>
    <row r="198">
      <c r="A198" s="46" t="n">
        <v>194</v>
      </c>
      <c r="B198" s="47" t="n"/>
      <c r="C198" s="17" t="n"/>
      <c r="D198" s="17" t="n"/>
      <c r="E198" s="17" t="n"/>
      <c r="F198" s="17" t="n"/>
      <c r="G198" s="47" t="n"/>
      <c r="H198" s="47" t="n"/>
      <c r="I198" s="17" t="n"/>
      <c r="J198" s="48" t="n"/>
      <c r="K198" s="42">
        <f>IF(OR(C198="",G198="",I198="TERMINADO"),"",MAX(0,FECHA_CORTE-G198))</f>
        <v/>
      </c>
      <c r="L198" s="19">
        <f>IF(C198="","",IF(I198="TERMINADO","CUMPLIDO",IF(G198="","SIN FECHA",IF(G198&lt;FECHA_CORTE,"VENCIDO",IF(G198-FECHA_CORTE&lt;=2,"POR VENCER","EN TIEMPO")))))</f>
        <v/>
      </c>
      <c r="M198" s="17" t="n"/>
    </row>
    <row r="199">
      <c r="A199" s="46" t="n">
        <v>195</v>
      </c>
      <c r="B199" s="47" t="n"/>
      <c r="C199" s="17" t="n"/>
      <c r="D199" s="17" t="n"/>
      <c r="E199" s="17" t="n"/>
      <c r="F199" s="17" t="n"/>
      <c r="G199" s="47" t="n"/>
      <c r="H199" s="47" t="n"/>
      <c r="I199" s="17" t="n"/>
      <c r="J199" s="48" t="n"/>
      <c r="K199" s="42">
        <f>IF(OR(C199="",G199="",I199="TERMINADO"),"",MAX(0,FECHA_CORTE-G199))</f>
        <v/>
      </c>
      <c r="L199" s="19">
        <f>IF(C199="","",IF(I199="TERMINADO","CUMPLIDO",IF(G199="","SIN FECHA",IF(G199&lt;FECHA_CORTE,"VENCIDO",IF(G199-FECHA_CORTE&lt;=2,"POR VENCER","EN TIEMPO")))))</f>
        <v/>
      </c>
      <c r="M199" s="17" t="n"/>
    </row>
    <row r="200">
      <c r="A200" s="46" t="n">
        <v>196</v>
      </c>
      <c r="B200" s="47" t="n"/>
      <c r="C200" s="17" t="n"/>
      <c r="D200" s="17" t="n"/>
      <c r="E200" s="17" t="n"/>
      <c r="F200" s="17" t="n"/>
      <c r="G200" s="47" t="n"/>
      <c r="H200" s="47" t="n"/>
      <c r="I200" s="17" t="n"/>
      <c r="J200" s="48" t="n"/>
      <c r="K200" s="42">
        <f>IF(OR(C200="",G200="",I200="TERMINADO"),"",MAX(0,FECHA_CORTE-G200))</f>
        <v/>
      </c>
      <c r="L200" s="19">
        <f>IF(C200="","",IF(I200="TERMINADO","CUMPLIDO",IF(G200="","SIN FECHA",IF(G200&lt;FECHA_CORTE,"VENCIDO",IF(G200-FECHA_CORTE&lt;=2,"POR VENCER","EN TIEMPO")))))</f>
        <v/>
      </c>
      <c r="M200" s="17" t="n"/>
    </row>
    <row r="201">
      <c r="A201" s="46" t="n">
        <v>197</v>
      </c>
      <c r="B201" s="47" t="n"/>
      <c r="C201" s="17" t="n"/>
      <c r="D201" s="17" t="n"/>
      <c r="E201" s="17" t="n"/>
      <c r="F201" s="17" t="n"/>
      <c r="G201" s="47" t="n"/>
      <c r="H201" s="47" t="n"/>
      <c r="I201" s="17" t="n"/>
      <c r="J201" s="48" t="n"/>
      <c r="K201" s="42">
        <f>IF(OR(C201="",G201="",I201="TERMINADO"),"",MAX(0,FECHA_CORTE-G201))</f>
        <v/>
      </c>
      <c r="L201" s="19">
        <f>IF(C201="","",IF(I201="TERMINADO","CUMPLIDO",IF(G201="","SIN FECHA",IF(G201&lt;FECHA_CORTE,"VENCIDO",IF(G201-FECHA_CORTE&lt;=2,"POR VENCER","EN TIEMPO")))))</f>
        <v/>
      </c>
      <c r="M201" s="17" t="n"/>
    </row>
    <row r="202">
      <c r="A202" s="46" t="n">
        <v>198</v>
      </c>
      <c r="B202" s="47" t="n"/>
      <c r="C202" s="17" t="n"/>
      <c r="D202" s="17" t="n"/>
      <c r="E202" s="17" t="n"/>
      <c r="F202" s="17" t="n"/>
      <c r="G202" s="47" t="n"/>
      <c r="H202" s="47" t="n"/>
      <c r="I202" s="17" t="n"/>
      <c r="J202" s="48" t="n"/>
      <c r="K202" s="42">
        <f>IF(OR(C202="",G202="",I202="TERMINADO"),"",MAX(0,FECHA_CORTE-G202))</f>
        <v/>
      </c>
      <c r="L202" s="19">
        <f>IF(C202="","",IF(I202="TERMINADO","CUMPLIDO",IF(G202="","SIN FECHA",IF(G202&lt;FECHA_CORTE,"VENCIDO",IF(G202-FECHA_CORTE&lt;=2,"POR VENCER","EN TIEMPO")))))</f>
        <v/>
      </c>
      <c r="M202" s="17" t="n"/>
    </row>
    <row r="203">
      <c r="A203" s="46" t="n">
        <v>199</v>
      </c>
      <c r="B203" s="47" t="n"/>
      <c r="C203" s="17" t="n"/>
      <c r="D203" s="17" t="n"/>
      <c r="E203" s="17" t="n"/>
      <c r="F203" s="17" t="n"/>
      <c r="G203" s="47" t="n"/>
      <c r="H203" s="47" t="n"/>
      <c r="I203" s="17" t="n"/>
      <c r="J203" s="48" t="n"/>
      <c r="K203" s="42">
        <f>IF(OR(C203="",G203="",I203="TERMINADO"),"",MAX(0,FECHA_CORTE-G203))</f>
        <v/>
      </c>
      <c r="L203" s="19">
        <f>IF(C203="","",IF(I203="TERMINADO","CUMPLIDO",IF(G203="","SIN FECHA",IF(G203&lt;FECHA_CORTE,"VENCIDO",IF(G203-FECHA_CORTE&lt;=2,"POR VENCER","EN TIEMPO")))))</f>
        <v/>
      </c>
      <c r="M203" s="17" t="n"/>
    </row>
    <row r="204">
      <c r="A204" s="46" t="n">
        <v>200</v>
      </c>
      <c r="B204" s="47" t="n"/>
      <c r="C204" s="17" t="n"/>
      <c r="D204" s="17" t="n"/>
      <c r="E204" s="17" t="n"/>
      <c r="F204" s="17" t="n"/>
      <c r="G204" s="47" t="n"/>
      <c r="H204" s="47" t="n"/>
      <c r="I204" s="17" t="n"/>
      <c r="J204" s="48" t="n"/>
      <c r="K204" s="42">
        <f>IF(OR(C204="",G204="",I204="TERMINADO"),"",MAX(0,FECHA_CORTE-G204))</f>
        <v/>
      </c>
      <c r="L204" s="19">
        <f>IF(C204="","",IF(I204="TERMINADO","CUMPLIDO",IF(G204="","SIN FECHA",IF(G204&lt;FECHA_CORTE,"VENCIDO",IF(G204-FECHA_CORTE&lt;=2,"POR VENCER","EN TIEMPO")))))</f>
        <v/>
      </c>
      <c r="M20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204"/>
  <mergeCells count="3">
    <mergeCell ref="A2:L2"/>
    <mergeCell ref="A1:L1"/>
    <mergeCell ref="M1:M2"/>
  </mergeCells>
  <conditionalFormatting sqref="L5:L20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3">
    <dataValidation sqref="E5:E204" showDropDown="0" showInputMessage="0" showErrorMessage="0" allowBlank="1" type="list" errorStyle="warning">
      <formula1>=OFFSET('CATÁLOGOS'!$B$5,0,0,MAX(1,COUNTA('CATÁLOGOS'!$B$5:$B$34)),1)</formula1>
    </dataValidation>
    <dataValidation sqref="F5:F204" showDropDown="0" showInputMessage="0" showErrorMessage="0" allowBlank="1" type="list">
      <formula1>=OFFSET('CATÁLOGOS'!$D$5,0,0,MAX(1,COUNTA('CATÁLOGOS'!$D$5:$D$34)),1)</formula1>
    </dataValidation>
    <dataValidation sqref="I5:I204" showDropDown="0" showInputMessage="0" showErrorMessage="0" allowBlank="1" type="list">
      <formula1>=OFFSET('CATÁLOGOS'!$C$5,0,0,MAX(1,COUNTA('CATÁLOGOS'!$C$5:$C$34)),1)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O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2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6" customWidth="1" min="10" max="10"/>
    <col width="13" customWidth="1" min="11" max="11"/>
    <col width="13" customWidth="1" min="12" max="12"/>
    <col width="13" customWidth="1" min="13" max="13"/>
    <col width="14" customWidth="1" min="14" max="14"/>
    <col width="34" customWidth="1" min="15" max="15"/>
  </cols>
  <sheetData>
    <row r="1" ht="44" customHeight="1">
      <c r="A1" s="22" t="inlineStr">
        <is>
          <t>SEGUIMIENTO DE PROYECTOS</t>
        </is>
      </c>
      <c r="O1" s="68" t="inlineStr">
        <is>
          <t>INSERTE SU LOGO
(clic derecho &gt; Insertar imagen)</t>
        </is>
      </c>
    </row>
    <row r="2" ht="26" customHeight="1">
      <c r="A2" s="71" t="inlineStr">
        <is>
          <t>Avance planeado vs. real y presupuesto ejercido</t>
        </is>
      </c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  <c r="O2" s="8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32" customHeight="1">
      <c r="A4" s="40" t="inlineStr">
        <is>
          <t>NO.</t>
        </is>
      </c>
      <c r="B4" s="40" t="inlineStr">
        <is>
          <t>PROYECTO</t>
        </is>
      </c>
      <c r="C4" s="40" t="inlineStr">
        <is>
          <t>CLIENTE / ÁREA</t>
        </is>
      </c>
      <c r="D4" s="40" t="inlineStr">
        <is>
          <t>RESPONSABLE</t>
        </is>
      </c>
      <c r="E4" s="40" t="inlineStr">
        <is>
          <t>INICIO</t>
        </is>
      </c>
      <c r="F4" s="40" t="inlineStr">
        <is>
          <t>FIN PLANEADO</t>
        </is>
      </c>
      <c r="G4" s="40" t="inlineStr">
        <is>
          <t>AVANCE PLANEADO</t>
        </is>
      </c>
      <c r="H4" s="40" t="inlineStr">
        <is>
          <t>AVANCE REAL</t>
        </is>
      </c>
      <c r="I4" s="40" t="inlineStr">
        <is>
          <t>PRESUPUESTO</t>
        </is>
      </c>
      <c r="J4" s="40" t="inlineStr">
        <is>
          <t>GASTO REAL</t>
        </is>
      </c>
      <c r="K4" s="40" t="inlineStr">
        <is>
          <t>% PRESUPUESTO EJERCIDO</t>
        </is>
      </c>
      <c r="L4" s="40" t="inlineStr">
        <is>
          <t>DESVIACIÓN DE AVANCE</t>
        </is>
      </c>
      <c r="M4" s="40" t="inlineStr">
        <is>
          <t>SEMÁFORO</t>
        </is>
      </c>
      <c r="N4" s="40" t="inlineStr">
        <is>
          <t>ESTATUS</t>
        </is>
      </c>
      <c r="O4" s="40" t="inlineStr">
        <is>
          <t>COMENTARIOS</t>
        </is>
      </c>
    </row>
    <row r="5">
      <c r="A5" s="46" t="n">
        <v>1</v>
      </c>
      <c r="B5" s="17" t="inlineStr">
        <is>
          <t>NAVE INDUSTRIAL TOLUCA - FASE 2</t>
        </is>
      </c>
      <c r="C5" s="17" t="inlineStr">
        <is>
          <t>GRUPO INDUSTRIAL DEL NORTE</t>
        </is>
      </c>
      <c r="D5" s="17" t="inlineStr">
        <is>
          <t>PROYECTOS</t>
        </is>
      </c>
      <c r="E5" s="47" t="n">
        <v>46204</v>
      </c>
      <c r="F5" s="47" t="n">
        <v>46371</v>
      </c>
      <c r="G5" s="43">
        <f>IF(OR(E5="",F5=""),"",MAX(0,MIN(1,(FECHA_CORTE-E5)/MAX(1,F5-E5))))</f>
        <v/>
      </c>
      <c r="H5" s="48" t="n">
        <v>0.42</v>
      </c>
      <c r="I5" s="49" t="n">
        <v>4800000</v>
      </c>
      <c r="J5" s="49" t="n">
        <v>2350000</v>
      </c>
      <c r="K5" s="43">
        <f>IF(OR(I5="",J5="",I5=0),"",J5/I5)</f>
        <v/>
      </c>
      <c r="L5" s="43">
        <f>IF(OR(G5="",H5=""),"",H5-G5)</f>
        <v/>
      </c>
      <c r="M5" s="19">
        <f>IF(B5="","",IF(N5="TERMINADO","VERDE",IF(L5="","",IF(OR(L5&lt;-0.15,AND(K5&lt;&gt;"",K5&gt;1.05)),"ROJO",IF(OR(L5&lt;-0.05,AND(K5&lt;&gt;"",K5&gt;1)),"ÁMBAR","VERDE")))))</f>
        <v/>
      </c>
      <c r="N5" s="17" t="inlineStr">
        <is>
          <t>EN PROCESO</t>
        </is>
      </c>
      <c r="O5" s="17" t="n"/>
    </row>
    <row r="6">
      <c r="A6" s="46" t="n">
        <v>2</v>
      </c>
      <c r="B6" s="17" t="inlineStr">
        <is>
          <t>REMODELACIÓN DE OFICINAS CORPORATIVAS</t>
        </is>
      </c>
      <c r="C6" s="17" t="inlineStr">
        <is>
          <t>CONSTRUCTORA ALTAMIRA</t>
        </is>
      </c>
      <c r="D6" s="17" t="inlineStr">
        <is>
          <t>OPERACIONES</t>
        </is>
      </c>
      <c r="E6" s="47" t="n">
        <v>46244</v>
      </c>
      <c r="F6" s="47" t="n">
        <v>46346</v>
      </c>
      <c r="G6" s="43">
        <f>IF(OR(E6="",F6=""),"",MAX(0,MIN(1,(FECHA_CORTE-E6)/MAX(1,F6-E6))))</f>
        <v/>
      </c>
      <c r="H6" s="48" t="n">
        <v>0.55</v>
      </c>
      <c r="I6" s="49" t="n">
        <v>1250000</v>
      </c>
      <c r="J6" s="49" t="n">
        <v>640000</v>
      </c>
      <c r="K6" s="43">
        <f>IF(OR(I6="",J6="",I6=0),"",J6/I6)</f>
        <v/>
      </c>
      <c r="L6" s="43">
        <f>IF(OR(G6="",H6=""),"",H6-G6)</f>
        <v/>
      </c>
      <c r="M6" s="19">
        <f>IF(B6="","",IF(N6="TERMINADO","VERDE",IF(L6="","",IF(OR(L6&lt;-0.15,AND(K6&lt;&gt;"",K6&gt;1.05)),"ROJO",IF(OR(L6&lt;-0.05,AND(K6&lt;&gt;"",K6&gt;1)),"ÁMBAR","VERDE")))))</f>
        <v/>
      </c>
      <c r="N6" s="17" t="inlineStr">
        <is>
          <t>EN PROCESO</t>
        </is>
      </c>
      <c r="O6" s="17" t="n"/>
    </row>
    <row r="7">
      <c r="A7" s="46" t="n">
        <v>3</v>
      </c>
      <c r="B7" s="17" t="inlineStr">
        <is>
          <t>IMPLEMENTACIÓN DE ERP ADMINISTRATIVO</t>
        </is>
      </c>
      <c r="C7" s="17" t="inlineStr">
        <is>
          <t>ADMINISTRACIÓN</t>
        </is>
      </c>
      <c r="D7" s="17" t="inlineStr">
        <is>
          <t>ADMINISTRACIÓN</t>
        </is>
      </c>
      <c r="E7" s="47" t="n">
        <v>46266</v>
      </c>
      <c r="F7" s="47" t="n">
        <v>46387</v>
      </c>
      <c r="G7" s="43">
        <f>IF(OR(E7="",F7=""),"",MAX(0,MIN(1,(FECHA_CORTE-E7)/MAX(1,F7-E7))))</f>
        <v/>
      </c>
      <c r="H7" s="48" t="n">
        <v>0.18</v>
      </c>
      <c r="I7" s="49" t="n">
        <v>780000</v>
      </c>
      <c r="J7" s="49" t="n">
        <v>210000</v>
      </c>
      <c r="K7" s="43">
        <f>IF(OR(I7="",J7="",I7=0),"",J7/I7)</f>
        <v/>
      </c>
      <c r="L7" s="43">
        <f>IF(OR(G7="",H7=""),"",H7-G7)</f>
        <v/>
      </c>
      <c r="M7" s="19">
        <f>IF(B7="","",IF(N7="TERMINADO","VERDE",IF(L7="","",IF(OR(L7&lt;-0.15,AND(K7&lt;&gt;"",K7&gt;1.05)),"ROJO",IF(OR(L7&lt;-0.05,AND(K7&lt;&gt;"",K7&gt;1)),"ÁMBAR","VERDE")))))</f>
        <v/>
      </c>
      <c r="N7" s="17" t="inlineStr">
        <is>
          <t>EN PROCESO</t>
        </is>
      </c>
      <c r="O7" s="17" t="n"/>
    </row>
    <row r="8">
      <c r="A8" s="46" t="n">
        <v>4</v>
      </c>
      <c r="B8" s="17" t="inlineStr">
        <is>
          <t>AUDITORÍA DE CUMPLIMIENTO IMSS</t>
        </is>
      </c>
      <c r="C8" s="17" t="inlineStr">
        <is>
          <t>RECURSOS HUMANOS</t>
        </is>
      </c>
      <c r="D8" s="17" t="inlineStr">
        <is>
          <t>RECURSOS HUMANOS</t>
        </is>
      </c>
      <c r="E8" s="47" t="n">
        <v>46280</v>
      </c>
      <c r="F8" s="47" t="n">
        <v>46325</v>
      </c>
      <c r="G8" s="43">
        <f>IF(OR(E8="",F8=""),"",MAX(0,MIN(1,(FECHA_CORTE-E8)/MAX(1,F8-E8))))</f>
        <v/>
      </c>
      <c r="H8" s="48" t="n">
        <v>0.7</v>
      </c>
      <c r="I8" s="49" t="n">
        <v>120000</v>
      </c>
      <c r="J8" s="49" t="n">
        <v>95000</v>
      </c>
      <c r="K8" s="43">
        <f>IF(OR(I8="",J8="",I8=0),"",J8/I8)</f>
        <v/>
      </c>
      <c r="L8" s="43">
        <f>IF(OR(G8="",H8=""),"",H8-G8)</f>
        <v/>
      </c>
      <c r="M8" s="19">
        <f>IF(B8="","",IF(N8="TERMINADO","VERDE",IF(L8="","",IF(OR(L8&lt;-0.15,AND(K8&lt;&gt;"",K8&gt;1.05)),"ROJO",IF(OR(L8&lt;-0.05,AND(K8&lt;&gt;"",K8&gt;1)),"ÁMBAR","VERDE")))))</f>
        <v/>
      </c>
      <c r="N8" s="17" t="inlineStr">
        <is>
          <t>EN PROCESO</t>
        </is>
      </c>
      <c r="O8" s="17" t="n"/>
    </row>
    <row r="9">
      <c r="A9" s="46" t="n">
        <v>5</v>
      </c>
      <c r="B9" s="17" t="inlineStr">
        <is>
          <t>CIERRE DE OBRA PLANTA QUERÉTARO</t>
        </is>
      </c>
      <c r="C9" s="17" t="inlineStr">
        <is>
          <t>OPERACIONES</t>
        </is>
      </c>
      <c r="D9" s="17" t="inlineStr">
        <is>
          <t>PROYECTOS</t>
        </is>
      </c>
      <c r="E9" s="47" t="n">
        <v>46146</v>
      </c>
      <c r="F9" s="47" t="n">
        <v>46304</v>
      </c>
      <c r="G9" s="43">
        <f>IF(OR(E9="",F9=""),"",MAX(0,MIN(1,(FECHA_CORTE-E9)/MAX(1,F9-E9))))</f>
        <v/>
      </c>
      <c r="H9" s="48" t="n">
        <v>0.78</v>
      </c>
      <c r="I9" s="49" t="n">
        <v>3100000</v>
      </c>
      <c r="J9" s="49" t="n">
        <v>3020000</v>
      </c>
      <c r="K9" s="43">
        <f>IF(OR(I9="",J9="",I9=0),"",J9/I9)</f>
        <v/>
      </c>
      <c r="L9" s="43">
        <f>IF(OR(G9="",H9=""),"",H9-G9)</f>
        <v/>
      </c>
      <c r="M9" s="19">
        <f>IF(B9="","",IF(N9="TERMINADO","VERDE",IF(L9="","",IF(OR(L9&lt;-0.15,AND(K9&lt;&gt;"",K9&gt;1.05)),"ROJO",IF(OR(L9&lt;-0.05,AND(K9&lt;&gt;"",K9&gt;1)),"ÁMBAR","VERDE")))))</f>
        <v/>
      </c>
      <c r="N9" s="17" t="inlineStr">
        <is>
          <t>EN PROCESO</t>
        </is>
      </c>
      <c r="O9" s="17" t="n"/>
    </row>
    <row r="10">
      <c r="A10" s="46" t="n">
        <v>6</v>
      </c>
      <c r="B10" s="17" t="n"/>
      <c r="C10" s="17" t="n"/>
      <c r="D10" s="17" t="n"/>
      <c r="E10" s="47" t="n"/>
      <c r="F10" s="47" t="n"/>
      <c r="G10" s="43">
        <f>IF(OR(E10="",F10=""),"",MAX(0,MIN(1,(FECHA_CORTE-E10)/MAX(1,F10-E10))))</f>
        <v/>
      </c>
      <c r="H10" s="48" t="n"/>
      <c r="I10" s="49" t="n"/>
      <c r="J10" s="49" t="n"/>
      <c r="K10" s="43">
        <f>IF(OR(I10="",J10="",I10=0),"",J10/I10)</f>
        <v/>
      </c>
      <c r="L10" s="43">
        <f>IF(OR(G10="",H10=""),"",H10-G10)</f>
        <v/>
      </c>
      <c r="M10" s="19">
        <f>IF(B10="","",IF(N10="TERMINADO","VERDE",IF(L10="","",IF(OR(L10&lt;-0.15,AND(K10&lt;&gt;"",K10&gt;1.05)),"ROJO",IF(OR(L10&lt;-0.05,AND(K10&lt;&gt;"",K10&gt;1)),"ÁMBAR","VERDE")))))</f>
        <v/>
      </c>
      <c r="N10" s="17" t="n"/>
      <c r="O10" s="17" t="n"/>
    </row>
    <row r="11">
      <c r="A11" s="46" t="n">
        <v>7</v>
      </c>
      <c r="B11" s="17" t="n"/>
      <c r="C11" s="17" t="n"/>
      <c r="D11" s="17" t="n"/>
      <c r="E11" s="47" t="n"/>
      <c r="F11" s="47" t="n"/>
      <c r="G11" s="43">
        <f>IF(OR(E11="",F11=""),"",MAX(0,MIN(1,(FECHA_CORTE-E11)/MAX(1,F11-E11))))</f>
        <v/>
      </c>
      <c r="H11" s="48" t="n"/>
      <c r="I11" s="49" t="n"/>
      <c r="J11" s="49" t="n"/>
      <c r="K11" s="43">
        <f>IF(OR(I11="",J11="",I11=0),"",J11/I11)</f>
        <v/>
      </c>
      <c r="L11" s="43">
        <f>IF(OR(G11="",H11=""),"",H11-G11)</f>
        <v/>
      </c>
      <c r="M11" s="19">
        <f>IF(B11="","",IF(N11="TERMINADO","VERDE",IF(L11="","",IF(OR(L11&lt;-0.15,AND(K11&lt;&gt;"",K11&gt;1.05)),"ROJO",IF(OR(L11&lt;-0.05,AND(K11&lt;&gt;"",K11&gt;1)),"ÁMBAR","VERDE")))))</f>
        <v/>
      </c>
      <c r="N11" s="17" t="n"/>
      <c r="O11" s="17" t="n"/>
    </row>
    <row r="12">
      <c r="A12" s="46" t="n">
        <v>8</v>
      </c>
      <c r="B12" s="17" t="n"/>
      <c r="C12" s="17" t="n"/>
      <c r="D12" s="17" t="n"/>
      <c r="E12" s="47" t="n"/>
      <c r="F12" s="47" t="n"/>
      <c r="G12" s="43">
        <f>IF(OR(E12="",F12=""),"",MAX(0,MIN(1,(FECHA_CORTE-E12)/MAX(1,F12-E12))))</f>
        <v/>
      </c>
      <c r="H12" s="48" t="n"/>
      <c r="I12" s="49" t="n"/>
      <c r="J12" s="49" t="n"/>
      <c r="K12" s="43">
        <f>IF(OR(I12="",J12="",I12=0),"",J12/I12)</f>
        <v/>
      </c>
      <c r="L12" s="43">
        <f>IF(OR(G12="",H12=""),"",H12-G12)</f>
        <v/>
      </c>
      <c r="M12" s="19">
        <f>IF(B12="","",IF(N12="TERMINADO","VERDE",IF(L12="","",IF(OR(L12&lt;-0.15,AND(K12&lt;&gt;"",K12&gt;1.05)),"ROJO",IF(OR(L12&lt;-0.05,AND(K12&lt;&gt;"",K12&gt;1)),"ÁMBAR","VERDE")))))</f>
        <v/>
      </c>
      <c r="N12" s="17" t="n"/>
      <c r="O12" s="17" t="n"/>
    </row>
    <row r="13">
      <c r="A13" s="46" t="n">
        <v>9</v>
      </c>
      <c r="B13" s="17" t="n"/>
      <c r="C13" s="17" t="n"/>
      <c r="D13" s="17" t="n"/>
      <c r="E13" s="47" t="n"/>
      <c r="F13" s="47" t="n"/>
      <c r="G13" s="43">
        <f>IF(OR(E13="",F13=""),"",MAX(0,MIN(1,(FECHA_CORTE-E13)/MAX(1,F13-E13))))</f>
        <v/>
      </c>
      <c r="H13" s="48" t="n"/>
      <c r="I13" s="49" t="n"/>
      <c r="J13" s="49" t="n"/>
      <c r="K13" s="43">
        <f>IF(OR(I13="",J13="",I13=0),"",J13/I13)</f>
        <v/>
      </c>
      <c r="L13" s="43">
        <f>IF(OR(G13="",H13=""),"",H13-G13)</f>
        <v/>
      </c>
      <c r="M13" s="19">
        <f>IF(B13="","",IF(N13="TERMINADO","VERDE",IF(L13="","",IF(OR(L13&lt;-0.15,AND(K13&lt;&gt;"",K13&gt;1.05)),"ROJO",IF(OR(L13&lt;-0.05,AND(K13&lt;&gt;"",K13&gt;1)),"ÁMBAR","VERDE")))))</f>
        <v/>
      </c>
      <c r="N13" s="17" t="n"/>
      <c r="O13" s="17" t="n"/>
    </row>
    <row r="14">
      <c r="A14" s="46" t="n">
        <v>10</v>
      </c>
      <c r="B14" s="17" t="n"/>
      <c r="C14" s="17" t="n"/>
      <c r="D14" s="17" t="n"/>
      <c r="E14" s="47" t="n"/>
      <c r="F14" s="47" t="n"/>
      <c r="G14" s="43">
        <f>IF(OR(E14="",F14=""),"",MAX(0,MIN(1,(FECHA_CORTE-E14)/MAX(1,F14-E14))))</f>
        <v/>
      </c>
      <c r="H14" s="48" t="n"/>
      <c r="I14" s="49" t="n"/>
      <c r="J14" s="49" t="n"/>
      <c r="K14" s="43">
        <f>IF(OR(I14="",J14="",I14=0),"",J14/I14)</f>
        <v/>
      </c>
      <c r="L14" s="43">
        <f>IF(OR(G14="",H14=""),"",H14-G14)</f>
        <v/>
      </c>
      <c r="M14" s="19">
        <f>IF(B14="","",IF(N14="TERMINADO","VERDE",IF(L14="","",IF(OR(L14&lt;-0.15,AND(K14&lt;&gt;"",K14&gt;1.05)),"ROJO",IF(OR(L14&lt;-0.05,AND(K14&lt;&gt;"",K14&gt;1)),"ÁMBAR","VERDE")))))</f>
        <v/>
      </c>
      <c r="N14" s="17" t="n"/>
      <c r="O14" s="17" t="n"/>
    </row>
    <row r="15">
      <c r="A15" s="46" t="n">
        <v>11</v>
      </c>
      <c r="B15" s="17" t="n"/>
      <c r="C15" s="17" t="n"/>
      <c r="D15" s="17" t="n"/>
      <c r="E15" s="47" t="n"/>
      <c r="F15" s="47" t="n"/>
      <c r="G15" s="43">
        <f>IF(OR(E15="",F15=""),"",MAX(0,MIN(1,(FECHA_CORTE-E15)/MAX(1,F15-E15))))</f>
        <v/>
      </c>
      <c r="H15" s="48" t="n"/>
      <c r="I15" s="49" t="n"/>
      <c r="J15" s="49" t="n"/>
      <c r="K15" s="43">
        <f>IF(OR(I15="",J15="",I15=0),"",J15/I15)</f>
        <v/>
      </c>
      <c r="L15" s="43">
        <f>IF(OR(G15="",H15=""),"",H15-G15)</f>
        <v/>
      </c>
      <c r="M15" s="19">
        <f>IF(B15="","",IF(N15="TERMINADO","VERDE",IF(L15="","",IF(OR(L15&lt;-0.15,AND(K15&lt;&gt;"",K15&gt;1.05)),"ROJO",IF(OR(L15&lt;-0.05,AND(K15&lt;&gt;"",K15&gt;1)),"ÁMBAR","VERDE")))))</f>
        <v/>
      </c>
      <c r="N15" s="17" t="n"/>
      <c r="O15" s="17" t="n"/>
    </row>
    <row r="16">
      <c r="A16" s="46" t="n">
        <v>12</v>
      </c>
      <c r="B16" s="17" t="n"/>
      <c r="C16" s="17" t="n"/>
      <c r="D16" s="17" t="n"/>
      <c r="E16" s="47" t="n"/>
      <c r="F16" s="47" t="n"/>
      <c r="G16" s="43">
        <f>IF(OR(E16="",F16=""),"",MAX(0,MIN(1,(FECHA_CORTE-E16)/MAX(1,F16-E16))))</f>
        <v/>
      </c>
      <c r="H16" s="48" t="n"/>
      <c r="I16" s="49" t="n"/>
      <c r="J16" s="49" t="n"/>
      <c r="K16" s="43">
        <f>IF(OR(I16="",J16="",I16=0),"",J16/I16)</f>
        <v/>
      </c>
      <c r="L16" s="43">
        <f>IF(OR(G16="",H16=""),"",H16-G16)</f>
        <v/>
      </c>
      <c r="M16" s="19">
        <f>IF(B16="","",IF(N16="TERMINADO","VERDE",IF(L16="","",IF(OR(L16&lt;-0.15,AND(K16&lt;&gt;"",K16&gt;1.05)),"ROJO",IF(OR(L16&lt;-0.05,AND(K16&lt;&gt;"",K16&gt;1)),"ÁMBAR","VERDE")))))</f>
        <v/>
      </c>
      <c r="N16" s="17" t="n"/>
      <c r="O16" s="17" t="n"/>
    </row>
    <row r="17">
      <c r="A17" s="46" t="n">
        <v>13</v>
      </c>
      <c r="B17" s="17" t="n"/>
      <c r="C17" s="17" t="n"/>
      <c r="D17" s="17" t="n"/>
      <c r="E17" s="47" t="n"/>
      <c r="F17" s="47" t="n"/>
      <c r="G17" s="43">
        <f>IF(OR(E17="",F17=""),"",MAX(0,MIN(1,(FECHA_CORTE-E17)/MAX(1,F17-E17))))</f>
        <v/>
      </c>
      <c r="H17" s="48" t="n"/>
      <c r="I17" s="49" t="n"/>
      <c r="J17" s="49" t="n"/>
      <c r="K17" s="43">
        <f>IF(OR(I17="",J17="",I17=0),"",J17/I17)</f>
        <v/>
      </c>
      <c r="L17" s="43">
        <f>IF(OR(G17="",H17=""),"",H17-G17)</f>
        <v/>
      </c>
      <c r="M17" s="19">
        <f>IF(B17="","",IF(N17="TERMINADO","VERDE",IF(L17="","",IF(OR(L17&lt;-0.15,AND(K17&lt;&gt;"",K17&gt;1.05)),"ROJO",IF(OR(L17&lt;-0.05,AND(K17&lt;&gt;"",K17&gt;1)),"ÁMBAR","VERDE")))))</f>
        <v/>
      </c>
      <c r="N17" s="17" t="n"/>
      <c r="O17" s="17" t="n"/>
    </row>
    <row r="18">
      <c r="A18" s="46" t="n">
        <v>14</v>
      </c>
      <c r="B18" s="17" t="n"/>
      <c r="C18" s="17" t="n"/>
      <c r="D18" s="17" t="n"/>
      <c r="E18" s="47" t="n"/>
      <c r="F18" s="47" t="n"/>
      <c r="G18" s="43">
        <f>IF(OR(E18="",F18=""),"",MAX(0,MIN(1,(FECHA_CORTE-E18)/MAX(1,F18-E18))))</f>
        <v/>
      </c>
      <c r="H18" s="48" t="n"/>
      <c r="I18" s="49" t="n"/>
      <c r="J18" s="49" t="n"/>
      <c r="K18" s="43">
        <f>IF(OR(I18="",J18="",I18=0),"",J18/I18)</f>
        <v/>
      </c>
      <c r="L18" s="43">
        <f>IF(OR(G18="",H18=""),"",H18-G18)</f>
        <v/>
      </c>
      <c r="M18" s="19">
        <f>IF(B18="","",IF(N18="TERMINADO","VERDE",IF(L18="","",IF(OR(L18&lt;-0.15,AND(K18&lt;&gt;"",K18&gt;1.05)),"ROJO",IF(OR(L18&lt;-0.05,AND(K18&lt;&gt;"",K18&gt;1)),"ÁMBAR","VERDE")))))</f>
        <v/>
      </c>
      <c r="N18" s="17" t="n"/>
      <c r="O18" s="17" t="n"/>
    </row>
    <row r="19">
      <c r="A19" s="46" t="n">
        <v>15</v>
      </c>
      <c r="B19" s="17" t="n"/>
      <c r="C19" s="17" t="n"/>
      <c r="D19" s="17" t="n"/>
      <c r="E19" s="47" t="n"/>
      <c r="F19" s="47" t="n"/>
      <c r="G19" s="43">
        <f>IF(OR(E19="",F19=""),"",MAX(0,MIN(1,(FECHA_CORTE-E19)/MAX(1,F19-E19))))</f>
        <v/>
      </c>
      <c r="H19" s="48" t="n"/>
      <c r="I19" s="49" t="n"/>
      <c r="J19" s="49" t="n"/>
      <c r="K19" s="43">
        <f>IF(OR(I19="",J19="",I19=0),"",J19/I19)</f>
        <v/>
      </c>
      <c r="L19" s="43">
        <f>IF(OR(G19="",H19=""),"",H19-G19)</f>
        <v/>
      </c>
      <c r="M19" s="19">
        <f>IF(B19="","",IF(N19="TERMINADO","VERDE",IF(L19="","",IF(OR(L19&lt;-0.15,AND(K19&lt;&gt;"",K19&gt;1.05)),"ROJO",IF(OR(L19&lt;-0.05,AND(K19&lt;&gt;"",K19&gt;1)),"ÁMBAR","VERDE")))))</f>
        <v/>
      </c>
      <c r="N19" s="17" t="n"/>
      <c r="O19" s="17" t="n"/>
    </row>
    <row r="20">
      <c r="A20" s="46" t="n">
        <v>16</v>
      </c>
      <c r="B20" s="17" t="n"/>
      <c r="C20" s="17" t="n"/>
      <c r="D20" s="17" t="n"/>
      <c r="E20" s="47" t="n"/>
      <c r="F20" s="47" t="n"/>
      <c r="G20" s="43">
        <f>IF(OR(E20="",F20=""),"",MAX(0,MIN(1,(FECHA_CORTE-E20)/MAX(1,F20-E20))))</f>
        <v/>
      </c>
      <c r="H20" s="48" t="n"/>
      <c r="I20" s="49" t="n"/>
      <c r="J20" s="49" t="n"/>
      <c r="K20" s="43">
        <f>IF(OR(I20="",J20="",I20=0),"",J20/I20)</f>
        <v/>
      </c>
      <c r="L20" s="43">
        <f>IF(OR(G20="",H20=""),"",H20-G20)</f>
        <v/>
      </c>
      <c r="M20" s="19">
        <f>IF(B20="","",IF(N20="TERMINADO","VERDE",IF(L20="","",IF(OR(L20&lt;-0.15,AND(K20&lt;&gt;"",K20&gt;1.05)),"ROJO",IF(OR(L20&lt;-0.05,AND(K20&lt;&gt;"",K20&gt;1)),"ÁMBAR","VERDE")))))</f>
        <v/>
      </c>
      <c r="N20" s="17" t="n"/>
      <c r="O20" s="17" t="n"/>
    </row>
    <row r="21">
      <c r="A21" s="46" t="n">
        <v>17</v>
      </c>
      <c r="B21" s="17" t="n"/>
      <c r="C21" s="17" t="n"/>
      <c r="D21" s="17" t="n"/>
      <c r="E21" s="47" t="n"/>
      <c r="F21" s="47" t="n"/>
      <c r="G21" s="43">
        <f>IF(OR(E21="",F21=""),"",MAX(0,MIN(1,(FECHA_CORTE-E21)/MAX(1,F21-E21))))</f>
        <v/>
      </c>
      <c r="H21" s="48" t="n"/>
      <c r="I21" s="49" t="n"/>
      <c r="J21" s="49" t="n"/>
      <c r="K21" s="43">
        <f>IF(OR(I21="",J21="",I21=0),"",J21/I21)</f>
        <v/>
      </c>
      <c r="L21" s="43">
        <f>IF(OR(G21="",H21=""),"",H21-G21)</f>
        <v/>
      </c>
      <c r="M21" s="19">
        <f>IF(B21="","",IF(N21="TERMINADO","VERDE",IF(L21="","",IF(OR(L21&lt;-0.15,AND(K21&lt;&gt;"",K21&gt;1.05)),"ROJO",IF(OR(L21&lt;-0.05,AND(K21&lt;&gt;"",K21&gt;1)),"ÁMBAR","VERDE")))))</f>
        <v/>
      </c>
      <c r="N21" s="17" t="n"/>
      <c r="O21" s="17" t="n"/>
    </row>
    <row r="22">
      <c r="A22" s="46" t="n">
        <v>18</v>
      </c>
      <c r="B22" s="17" t="n"/>
      <c r="C22" s="17" t="n"/>
      <c r="D22" s="17" t="n"/>
      <c r="E22" s="47" t="n"/>
      <c r="F22" s="47" t="n"/>
      <c r="G22" s="43">
        <f>IF(OR(E22="",F22=""),"",MAX(0,MIN(1,(FECHA_CORTE-E22)/MAX(1,F22-E22))))</f>
        <v/>
      </c>
      <c r="H22" s="48" t="n"/>
      <c r="I22" s="49" t="n"/>
      <c r="J22" s="49" t="n"/>
      <c r="K22" s="43">
        <f>IF(OR(I22="",J22="",I22=0),"",J22/I22)</f>
        <v/>
      </c>
      <c r="L22" s="43">
        <f>IF(OR(G22="",H22=""),"",H22-G22)</f>
        <v/>
      </c>
      <c r="M22" s="19">
        <f>IF(B22="","",IF(N22="TERMINADO","VERDE",IF(L22="","",IF(OR(L22&lt;-0.15,AND(K22&lt;&gt;"",K22&gt;1.05)),"ROJO",IF(OR(L22&lt;-0.05,AND(K22&lt;&gt;"",K22&gt;1)),"ÁMBAR","VERDE")))))</f>
        <v/>
      </c>
      <c r="N22" s="17" t="n"/>
      <c r="O22" s="17" t="n"/>
    </row>
    <row r="23">
      <c r="A23" s="46" t="n">
        <v>19</v>
      </c>
      <c r="B23" s="17" t="n"/>
      <c r="C23" s="17" t="n"/>
      <c r="D23" s="17" t="n"/>
      <c r="E23" s="47" t="n"/>
      <c r="F23" s="47" t="n"/>
      <c r="G23" s="43">
        <f>IF(OR(E23="",F23=""),"",MAX(0,MIN(1,(FECHA_CORTE-E23)/MAX(1,F23-E23))))</f>
        <v/>
      </c>
      <c r="H23" s="48" t="n"/>
      <c r="I23" s="49" t="n"/>
      <c r="J23" s="49" t="n"/>
      <c r="K23" s="43">
        <f>IF(OR(I23="",J23="",I23=0),"",J23/I23)</f>
        <v/>
      </c>
      <c r="L23" s="43">
        <f>IF(OR(G23="",H23=""),"",H23-G23)</f>
        <v/>
      </c>
      <c r="M23" s="19">
        <f>IF(B23="","",IF(N23="TERMINADO","VERDE",IF(L23="","",IF(OR(L23&lt;-0.15,AND(K23&lt;&gt;"",K23&gt;1.05)),"ROJO",IF(OR(L23&lt;-0.05,AND(K23&lt;&gt;"",K23&gt;1)),"ÁMBAR","VERDE")))))</f>
        <v/>
      </c>
      <c r="N23" s="17" t="n"/>
      <c r="O23" s="17" t="n"/>
    </row>
    <row r="24">
      <c r="A24" s="46" t="n">
        <v>20</v>
      </c>
      <c r="B24" s="17" t="n"/>
      <c r="C24" s="17" t="n"/>
      <c r="D24" s="17" t="n"/>
      <c r="E24" s="47" t="n"/>
      <c r="F24" s="47" t="n"/>
      <c r="G24" s="43">
        <f>IF(OR(E24="",F24=""),"",MAX(0,MIN(1,(FECHA_CORTE-E24)/MAX(1,F24-E24))))</f>
        <v/>
      </c>
      <c r="H24" s="48" t="n"/>
      <c r="I24" s="49" t="n"/>
      <c r="J24" s="49" t="n"/>
      <c r="K24" s="43">
        <f>IF(OR(I24="",J24="",I24=0),"",J24/I24)</f>
        <v/>
      </c>
      <c r="L24" s="43">
        <f>IF(OR(G24="",H24=""),"",H24-G24)</f>
        <v/>
      </c>
      <c r="M24" s="19">
        <f>IF(B24="","",IF(N24="TERMINADO","VERDE",IF(L24="","",IF(OR(L24&lt;-0.15,AND(K24&lt;&gt;"",K24&gt;1.05)),"ROJO",IF(OR(L24&lt;-0.05,AND(K24&lt;&gt;"",K24&gt;1)),"ÁMBAR","VERDE")))))</f>
        <v/>
      </c>
      <c r="N24" s="17" t="n"/>
      <c r="O24" s="17" t="n"/>
    </row>
    <row r="25">
      <c r="A25" s="46" t="n">
        <v>21</v>
      </c>
      <c r="B25" s="17" t="n"/>
      <c r="C25" s="17" t="n"/>
      <c r="D25" s="17" t="n"/>
      <c r="E25" s="47" t="n"/>
      <c r="F25" s="47" t="n"/>
      <c r="G25" s="43">
        <f>IF(OR(E25="",F25=""),"",MAX(0,MIN(1,(FECHA_CORTE-E25)/MAX(1,F25-E25))))</f>
        <v/>
      </c>
      <c r="H25" s="48" t="n"/>
      <c r="I25" s="49" t="n"/>
      <c r="J25" s="49" t="n"/>
      <c r="K25" s="43">
        <f>IF(OR(I25="",J25="",I25=0),"",J25/I25)</f>
        <v/>
      </c>
      <c r="L25" s="43">
        <f>IF(OR(G25="",H25=""),"",H25-G25)</f>
        <v/>
      </c>
      <c r="M25" s="19">
        <f>IF(B25="","",IF(N25="TERMINADO","VERDE",IF(L25="","",IF(OR(L25&lt;-0.15,AND(K25&lt;&gt;"",K25&gt;1.05)),"ROJO",IF(OR(L25&lt;-0.05,AND(K25&lt;&gt;"",K25&gt;1)),"ÁMBAR","VERDE")))))</f>
        <v/>
      </c>
      <c r="N25" s="17" t="n"/>
      <c r="O25" s="17" t="n"/>
    </row>
    <row r="26">
      <c r="A26" s="46" t="n">
        <v>22</v>
      </c>
      <c r="B26" s="17" t="n"/>
      <c r="C26" s="17" t="n"/>
      <c r="D26" s="17" t="n"/>
      <c r="E26" s="47" t="n"/>
      <c r="F26" s="47" t="n"/>
      <c r="G26" s="43">
        <f>IF(OR(E26="",F26=""),"",MAX(0,MIN(1,(FECHA_CORTE-E26)/MAX(1,F26-E26))))</f>
        <v/>
      </c>
      <c r="H26" s="48" t="n"/>
      <c r="I26" s="49" t="n"/>
      <c r="J26" s="49" t="n"/>
      <c r="K26" s="43">
        <f>IF(OR(I26="",J26="",I26=0),"",J26/I26)</f>
        <v/>
      </c>
      <c r="L26" s="43">
        <f>IF(OR(G26="",H26=""),"",H26-G26)</f>
        <v/>
      </c>
      <c r="M26" s="19">
        <f>IF(B26="","",IF(N26="TERMINADO","VERDE",IF(L26="","",IF(OR(L26&lt;-0.15,AND(K26&lt;&gt;"",K26&gt;1.05)),"ROJO",IF(OR(L26&lt;-0.05,AND(K26&lt;&gt;"",K26&gt;1)),"ÁMBAR","VERDE")))))</f>
        <v/>
      </c>
      <c r="N26" s="17" t="n"/>
      <c r="O26" s="17" t="n"/>
    </row>
    <row r="27">
      <c r="A27" s="46" t="n">
        <v>23</v>
      </c>
      <c r="B27" s="17" t="n"/>
      <c r="C27" s="17" t="n"/>
      <c r="D27" s="17" t="n"/>
      <c r="E27" s="47" t="n"/>
      <c r="F27" s="47" t="n"/>
      <c r="G27" s="43">
        <f>IF(OR(E27="",F27=""),"",MAX(0,MIN(1,(FECHA_CORTE-E27)/MAX(1,F27-E27))))</f>
        <v/>
      </c>
      <c r="H27" s="48" t="n"/>
      <c r="I27" s="49" t="n"/>
      <c r="J27" s="49" t="n"/>
      <c r="K27" s="43">
        <f>IF(OR(I27="",J27="",I27=0),"",J27/I27)</f>
        <v/>
      </c>
      <c r="L27" s="43">
        <f>IF(OR(G27="",H27=""),"",H27-G27)</f>
        <v/>
      </c>
      <c r="M27" s="19">
        <f>IF(B27="","",IF(N27="TERMINADO","VERDE",IF(L27="","",IF(OR(L27&lt;-0.15,AND(K27&lt;&gt;"",K27&gt;1.05)),"ROJO",IF(OR(L27&lt;-0.05,AND(K27&lt;&gt;"",K27&gt;1)),"ÁMBAR","VERDE")))))</f>
        <v/>
      </c>
      <c r="N27" s="17" t="n"/>
      <c r="O27" s="17" t="n"/>
    </row>
    <row r="28">
      <c r="A28" s="46" t="n">
        <v>24</v>
      </c>
      <c r="B28" s="17" t="n"/>
      <c r="C28" s="17" t="n"/>
      <c r="D28" s="17" t="n"/>
      <c r="E28" s="47" t="n"/>
      <c r="F28" s="47" t="n"/>
      <c r="G28" s="43">
        <f>IF(OR(E28="",F28=""),"",MAX(0,MIN(1,(FECHA_CORTE-E28)/MAX(1,F28-E28))))</f>
        <v/>
      </c>
      <c r="H28" s="48" t="n"/>
      <c r="I28" s="49" t="n"/>
      <c r="J28" s="49" t="n"/>
      <c r="K28" s="43">
        <f>IF(OR(I28="",J28="",I28=0),"",J28/I28)</f>
        <v/>
      </c>
      <c r="L28" s="43">
        <f>IF(OR(G28="",H28=""),"",H28-G28)</f>
        <v/>
      </c>
      <c r="M28" s="19">
        <f>IF(B28="","",IF(N28="TERMINADO","VERDE",IF(L28="","",IF(OR(L28&lt;-0.15,AND(K28&lt;&gt;"",K28&gt;1.05)),"ROJO",IF(OR(L28&lt;-0.05,AND(K28&lt;&gt;"",K28&gt;1)),"ÁMBAR","VERDE")))))</f>
        <v/>
      </c>
      <c r="N28" s="17" t="n"/>
      <c r="O28" s="17" t="n"/>
    </row>
    <row r="29">
      <c r="A29" s="46" t="n">
        <v>25</v>
      </c>
      <c r="B29" s="17" t="n"/>
      <c r="C29" s="17" t="n"/>
      <c r="D29" s="17" t="n"/>
      <c r="E29" s="47" t="n"/>
      <c r="F29" s="47" t="n"/>
      <c r="G29" s="43">
        <f>IF(OR(E29="",F29=""),"",MAX(0,MIN(1,(FECHA_CORTE-E29)/MAX(1,F29-E29))))</f>
        <v/>
      </c>
      <c r="H29" s="48" t="n"/>
      <c r="I29" s="49" t="n"/>
      <c r="J29" s="49" t="n"/>
      <c r="K29" s="43">
        <f>IF(OR(I29="",J29="",I29=0),"",J29/I29)</f>
        <v/>
      </c>
      <c r="L29" s="43">
        <f>IF(OR(G29="",H29=""),"",H29-G29)</f>
        <v/>
      </c>
      <c r="M29" s="19">
        <f>IF(B29="","",IF(N29="TERMINADO","VERDE",IF(L29="","",IF(OR(L29&lt;-0.15,AND(K29&lt;&gt;"",K29&gt;1.05)),"ROJO",IF(OR(L29&lt;-0.05,AND(K29&lt;&gt;"",K29&gt;1)),"ÁMBAR","VERDE")))))</f>
        <v/>
      </c>
      <c r="N29" s="17" t="n"/>
      <c r="O29" s="17" t="n"/>
    </row>
    <row r="30">
      <c r="A30" s="46" t="n">
        <v>26</v>
      </c>
      <c r="B30" s="17" t="n"/>
      <c r="C30" s="17" t="n"/>
      <c r="D30" s="17" t="n"/>
      <c r="E30" s="47" t="n"/>
      <c r="F30" s="47" t="n"/>
      <c r="G30" s="43">
        <f>IF(OR(E30="",F30=""),"",MAX(0,MIN(1,(FECHA_CORTE-E30)/MAX(1,F30-E30))))</f>
        <v/>
      </c>
      <c r="H30" s="48" t="n"/>
      <c r="I30" s="49" t="n"/>
      <c r="J30" s="49" t="n"/>
      <c r="K30" s="43">
        <f>IF(OR(I30="",J30="",I30=0),"",J30/I30)</f>
        <v/>
      </c>
      <c r="L30" s="43">
        <f>IF(OR(G30="",H30=""),"",H30-G30)</f>
        <v/>
      </c>
      <c r="M30" s="19">
        <f>IF(B30="","",IF(N30="TERMINADO","VERDE",IF(L30="","",IF(OR(L30&lt;-0.15,AND(K30&lt;&gt;"",K30&gt;1.05)),"ROJO",IF(OR(L30&lt;-0.05,AND(K30&lt;&gt;"",K30&gt;1)),"ÁMBAR","VERDE")))))</f>
        <v/>
      </c>
      <c r="N30" s="17" t="n"/>
      <c r="O30" s="17" t="n"/>
    </row>
    <row r="31">
      <c r="A31" s="46" t="n">
        <v>27</v>
      </c>
      <c r="B31" s="17" t="n"/>
      <c r="C31" s="17" t="n"/>
      <c r="D31" s="17" t="n"/>
      <c r="E31" s="47" t="n"/>
      <c r="F31" s="47" t="n"/>
      <c r="G31" s="43">
        <f>IF(OR(E31="",F31=""),"",MAX(0,MIN(1,(FECHA_CORTE-E31)/MAX(1,F31-E31))))</f>
        <v/>
      </c>
      <c r="H31" s="48" t="n"/>
      <c r="I31" s="49" t="n"/>
      <c r="J31" s="49" t="n"/>
      <c r="K31" s="43">
        <f>IF(OR(I31="",J31="",I31=0),"",J31/I31)</f>
        <v/>
      </c>
      <c r="L31" s="43">
        <f>IF(OR(G31="",H31=""),"",H31-G31)</f>
        <v/>
      </c>
      <c r="M31" s="19">
        <f>IF(B31="","",IF(N31="TERMINADO","VERDE",IF(L31="","",IF(OR(L31&lt;-0.15,AND(K31&lt;&gt;"",K31&gt;1.05)),"ROJO",IF(OR(L31&lt;-0.05,AND(K31&lt;&gt;"",K31&gt;1)),"ÁMBAR","VERDE")))))</f>
        <v/>
      </c>
      <c r="N31" s="17" t="n"/>
      <c r="O31" s="17" t="n"/>
    </row>
    <row r="32">
      <c r="A32" s="46" t="n">
        <v>28</v>
      </c>
      <c r="B32" s="17" t="n"/>
      <c r="C32" s="17" t="n"/>
      <c r="D32" s="17" t="n"/>
      <c r="E32" s="47" t="n"/>
      <c r="F32" s="47" t="n"/>
      <c r="G32" s="43">
        <f>IF(OR(E32="",F32=""),"",MAX(0,MIN(1,(FECHA_CORTE-E32)/MAX(1,F32-E32))))</f>
        <v/>
      </c>
      <c r="H32" s="48" t="n"/>
      <c r="I32" s="49" t="n"/>
      <c r="J32" s="49" t="n"/>
      <c r="K32" s="43">
        <f>IF(OR(I32="",J32="",I32=0),"",J32/I32)</f>
        <v/>
      </c>
      <c r="L32" s="43">
        <f>IF(OR(G32="",H32=""),"",H32-G32)</f>
        <v/>
      </c>
      <c r="M32" s="19">
        <f>IF(B32="","",IF(N32="TERMINADO","VERDE",IF(L32="","",IF(OR(L32&lt;-0.15,AND(K32&lt;&gt;"",K32&gt;1.05)),"ROJO",IF(OR(L32&lt;-0.05,AND(K32&lt;&gt;"",K32&gt;1)),"ÁMBAR","VERDE")))))</f>
        <v/>
      </c>
      <c r="N32" s="17" t="n"/>
      <c r="O32" s="17" t="n"/>
    </row>
    <row r="33">
      <c r="A33" s="46" t="n">
        <v>29</v>
      </c>
      <c r="B33" s="17" t="n"/>
      <c r="C33" s="17" t="n"/>
      <c r="D33" s="17" t="n"/>
      <c r="E33" s="47" t="n"/>
      <c r="F33" s="47" t="n"/>
      <c r="G33" s="43">
        <f>IF(OR(E33="",F33=""),"",MAX(0,MIN(1,(FECHA_CORTE-E33)/MAX(1,F33-E33))))</f>
        <v/>
      </c>
      <c r="H33" s="48" t="n"/>
      <c r="I33" s="49" t="n"/>
      <c r="J33" s="49" t="n"/>
      <c r="K33" s="43">
        <f>IF(OR(I33="",J33="",I33=0),"",J33/I33)</f>
        <v/>
      </c>
      <c r="L33" s="43">
        <f>IF(OR(G33="",H33=""),"",H33-G33)</f>
        <v/>
      </c>
      <c r="M33" s="19">
        <f>IF(B33="","",IF(N33="TERMINADO","VERDE",IF(L33="","",IF(OR(L33&lt;-0.15,AND(K33&lt;&gt;"",K33&gt;1.05)),"ROJO",IF(OR(L33&lt;-0.05,AND(K33&lt;&gt;"",K33&gt;1)),"ÁMBAR","VERDE")))))</f>
        <v/>
      </c>
      <c r="N33" s="17" t="n"/>
      <c r="O33" s="17" t="n"/>
    </row>
    <row r="34">
      <c r="A34" s="46" t="n">
        <v>30</v>
      </c>
      <c r="B34" s="17" t="n"/>
      <c r="C34" s="17" t="n"/>
      <c r="D34" s="17" t="n"/>
      <c r="E34" s="47" t="n"/>
      <c r="F34" s="47" t="n"/>
      <c r="G34" s="43">
        <f>IF(OR(E34="",F34=""),"",MAX(0,MIN(1,(FECHA_CORTE-E34)/MAX(1,F34-E34))))</f>
        <v/>
      </c>
      <c r="H34" s="48" t="n"/>
      <c r="I34" s="49" t="n"/>
      <c r="J34" s="49" t="n"/>
      <c r="K34" s="43">
        <f>IF(OR(I34="",J34="",I34=0),"",J34/I34)</f>
        <v/>
      </c>
      <c r="L34" s="43">
        <f>IF(OR(G34="",H34=""),"",H34-G34)</f>
        <v/>
      </c>
      <c r="M34" s="19">
        <f>IF(B34="","",IF(N34="TERMINADO","VERDE",IF(L34="","",IF(OR(L34&lt;-0.15,AND(K34&lt;&gt;"",K34&gt;1.05)),"ROJO",IF(OR(L34&lt;-0.05,AND(K34&lt;&gt;"",K34&gt;1)),"ÁMBAR","VERDE")))))</f>
        <v/>
      </c>
      <c r="N34" s="17" t="n"/>
      <c r="O34" s="17" t="n"/>
    </row>
    <row r="35">
      <c r="A35" s="46" t="n">
        <v>31</v>
      </c>
      <c r="B35" s="17" t="n"/>
      <c r="C35" s="17" t="n"/>
      <c r="D35" s="17" t="n"/>
      <c r="E35" s="47" t="n"/>
      <c r="F35" s="47" t="n"/>
      <c r="G35" s="43">
        <f>IF(OR(E35="",F35=""),"",MAX(0,MIN(1,(FECHA_CORTE-E35)/MAX(1,F35-E35))))</f>
        <v/>
      </c>
      <c r="H35" s="48" t="n"/>
      <c r="I35" s="49" t="n"/>
      <c r="J35" s="49" t="n"/>
      <c r="K35" s="43">
        <f>IF(OR(I35="",J35="",I35=0),"",J35/I35)</f>
        <v/>
      </c>
      <c r="L35" s="43">
        <f>IF(OR(G35="",H35=""),"",H35-G35)</f>
        <v/>
      </c>
      <c r="M35" s="19">
        <f>IF(B35="","",IF(N35="TERMINADO","VERDE",IF(L35="","",IF(OR(L35&lt;-0.15,AND(K35&lt;&gt;"",K35&gt;1.05)),"ROJO",IF(OR(L35&lt;-0.05,AND(K35&lt;&gt;"",K35&gt;1)),"ÁMBAR","VERDE")))))</f>
        <v/>
      </c>
      <c r="N35" s="17" t="n"/>
      <c r="O35" s="17" t="n"/>
    </row>
    <row r="36">
      <c r="A36" s="46" t="n">
        <v>32</v>
      </c>
      <c r="B36" s="17" t="n"/>
      <c r="C36" s="17" t="n"/>
      <c r="D36" s="17" t="n"/>
      <c r="E36" s="47" t="n"/>
      <c r="F36" s="47" t="n"/>
      <c r="G36" s="43">
        <f>IF(OR(E36="",F36=""),"",MAX(0,MIN(1,(FECHA_CORTE-E36)/MAX(1,F36-E36))))</f>
        <v/>
      </c>
      <c r="H36" s="48" t="n"/>
      <c r="I36" s="49" t="n"/>
      <c r="J36" s="49" t="n"/>
      <c r="K36" s="43">
        <f>IF(OR(I36="",J36="",I36=0),"",J36/I36)</f>
        <v/>
      </c>
      <c r="L36" s="43">
        <f>IF(OR(G36="",H36=""),"",H36-G36)</f>
        <v/>
      </c>
      <c r="M36" s="19">
        <f>IF(B36="","",IF(N36="TERMINADO","VERDE",IF(L36="","",IF(OR(L36&lt;-0.15,AND(K36&lt;&gt;"",K36&gt;1.05)),"ROJO",IF(OR(L36&lt;-0.05,AND(K36&lt;&gt;"",K36&gt;1)),"ÁMBAR","VERDE")))))</f>
        <v/>
      </c>
      <c r="N36" s="17" t="n"/>
      <c r="O36" s="17" t="n"/>
    </row>
    <row r="37">
      <c r="A37" s="46" t="n">
        <v>33</v>
      </c>
      <c r="B37" s="17" t="n"/>
      <c r="C37" s="17" t="n"/>
      <c r="D37" s="17" t="n"/>
      <c r="E37" s="47" t="n"/>
      <c r="F37" s="47" t="n"/>
      <c r="G37" s="43">
        <f>IF(OR(E37="",F37=""),"",MAX(0,MIN(1,(FECHA_CORTE-E37)/MAX(1,F37-E37))))</f>
        <v/>
      </c>
      <c r="H37" s="48" t="n"/>
      <c r="I37" s="49" t="n"/>
      <c r="J37" s="49" t="n"/>
      <c r="K37" s="43">
        <f>IF(OR(I37="",J37="",I37=0),"",J37/I37)</f>
        <v/>
      </c>
      <c r="L37" s="43">
        <f>IF(OR(G37="",H37=""),"",H37-G37)</f>
        <v/>
      </c>
      <c r="M37" s="19">
        <f>IF(B37="","",IF(N37="TERMINADO","VERDE",IF(L37="","",IF(OR(L37&lt;-0.15,AND(K37&lt;&gt;"",K37&gt;1.05)),"ROJO",IF(OR(L37&lt;-0.05,AND(K37&lt;&gt;"",K37&gt;1)),"ÁMBAR","VERDE")))))</f>
        <v/>
      </c>
      <c r="N37" s="17" t="n"/>
      <c r="O37" s="17" t="n"/>
    </row>
    <row r="38">
      <c r="A38" s="46" t="n">
        <v>34</v>
      </c>
      <c r="B38" s="17" t="n"/>
      <c r="C38" s="17" t="n"/>
      <c r="D38" s="17" t="n"/>
      <c r="E38" s="47" t="n"/>
      <c r="F38" s="47" t="n"/>
      <c r="G38" s="43">
        <f>IF(OR(E38="",F38=""),"",MAX(0,MIN(1,(FECHA_CORTE-E38)/MAX(1,F38-E38))))</f>
        <v/>
      </c>
      <c r="H38" s="48" t="n"/>
      <c r="I38" s="49" t="n"/>
      <c r="J38" s="49" t="n"/>
      <c r="K38" s="43">
        <f>IF(OR(I38="",J38="",I38=0),"",J38/I38)</f>
        <v/>
      </c>
      <c r="L38" s="43">
        <f>IF(OR(G38="",H38=""),"",H38-G38)</f>
        <v/>
      </c>
      <c r="M38" s="19">
        <f>IF(B38="","",IF(N38="TERMINADO","VERDE",IF(L38="","",IF(OR(L38&lt;-0.15,AND(K38&lt;&gt;"",K38&gt;1.05)),"ROJO",IF(OR(L38&lt;-0.05,AND(K38&lt;&gt;"",K38&gt;1)),"ÁMBAR","VERDE")))))</f>
        <v/>
      </c>
      <c r="N38" s="17" t="n"/>
      <c r="O38" s="17" t="n"/>
    </row>
    <row r="39">
      <c r="A39" s="46" t="n">
        <v>35</v>
      </c>
      <c r="B39" s="17" t="n"/>
      <c r="C39" s="17" t="n"/>
      <c r="D39" s="17" t="n"/>
      <c r="E39" s="47" t="n"/>
      <c r="F39" s="47" t="n"/>
      <c r="G39" s="43">
        <f>IF(OR(E39="",F39=""),"",MAX(0,MIN(1,(FECHA_CORTE-E39)/MAX(1,F39-E39))))</f>
        <v/>
      </c>
      <c r="H39" s="48" t="n"/>
      <c r="I39" s="49" t="n"/>
      <c r="J39" s="49" t="n"/>
      <c r="K39" s="43">
        <f>IF(OR(I39="",J39="",I39=0),"",J39/I39)</f>
        <v/>
      </c>
      <c r="L39" s="43">
        <f>IF(OR(G39="",H39=""),"",H39-G39)</f>
        <v/>
      </c>
      <c r="M39" s="19">
        <f>IF(B39="","",IF(N39="TERMINADO","VERDE",IF(L39="","",IF(OR(L39&lt;-0.15,AND(K39&lt;&gt;"",K39&gt;1.05)),"ROJO",IF(OR(L39&lt;-0.05,AND(K39&lt;&gt;"",K39&gt;1)),"ÁMBAR","VERDE")))))</f>
        <v/>
      </c>
      <c r="N39" s="17" t="n"/>
      <c r="O39" s="17" t="n"/>
    </row>
    <row r="40">
      <c r="A40" s="46" t="n">
        <v>36</v>
      </c>
      <c r="B40" s="17" t="n"/>
      <c r="C40" s="17" t="n"/>
      <c r="D40" s="17" t="n"/>
      <c r="E40" s="47" t="n"/>
      <c r="F40" s="47" t="n"/>
      <c r="G40" s="43">
        <f>IF(OR(E40="",F40=""),"",MAX(0,MIN(1,(FECHA_CORTE-E40)/MAX(1,F40-E40))))</f>
        <v/>
      </c>
      <c r="H40" s="48" t="n"/>
      <c r="I40" s="49" t="n"/>
      <c r="J40" s="49" t="n"/>
      <c r="K40" s="43">
        <f>IF(OR(I40="",J40="",I40=0),"",J40/I40)</f>
        <v/>
      </c>
      <c r="L40" s="43">
        <f>IF(OR(G40="",H40=""),"",H40-G40)</f>
        <v/>
      </c>
      <c r="M40" s="19">
        <f>IF(B40="","",IF(N40="TERMINADO","VERDE",IF(L40="","",IF(OR(L40&lt;-0.15,AND(K40&lt;&gt;"",K40&gt;1.05)),"ROJO",IF(OR(L40&lt;-0.05,AND(K40&lt;&gt;"",K40&gt;1)),"ÁMBAR","VERDE")))))</f>
        <v/>
      </c>
      <c r="N40" s="17" t="n"/>
      <c r="O40" s="17" t="n"/>
    </row>
    <row r="41">
      <c r="A41" s="46" t="n">
        <v>37</v>
      </c>
      <c r="B41" s="17" t="n"/>
      <c r="C41" s="17" t="n"/>
      <c r="D41" s="17" t="n"/>
      <c r="E41" s="47" t="n"/>
      <c r="F41" s="47" t="n"/>
      <c r="G41" s="43">
        <f>IF(OR(E41="",F41=""),"",MAX(0,MIN(1,(FECHA_CORTE-E41)/MAX(1,F41-E41))))</f>
        <v/>
      </c>
      <c r="H41" s="48" t="n"/>
      <c r="I41" s="49" t="n"/>
      <c r="J41" s="49" t="n"/>
      <c r="K41" s="43">
        <f>IF(OR(I41="",J41="",I41=0),"",J41/I41)</f>
        <v/>
      </c>
      <c r="L41" s="43">
        <f>IF(OR(G41="",H41=""),"",H41-G41)</f>
        <v/>
      </c>
      <c r="M41" s="19">
        <f>IF(B41="","",IF(N41="TERMINADO","VERDE",IF(L41="","",IF(OR(L41&lt;-0.15,AND(K41&lt;&gt;"",K41&gt;1.05)),"ROJO",IF(OR(L41&lt;-0.05,AND(K41&lt;&gt;"",K41&gt;1)),"ÁMBAR","VERDE")))))</f>
        <v/>
      </c>
      <c r="N41" s="17" t="n"/>
      <c r="O41" s="17" t="n"/>
    </row>
    <row r="42">
      <c r="A42" s="46" t="n">
        <v>38</v>
      </c>
      <c r="B42" s="17" t="n"/>
      <c r="C42" s="17" t="n"/>
      <c r="D42" s="17" t="n"/>
      <c r="E42" s="47" t="n"/>
      <c r="F42" s="47" t="n"/>
      <c r="G42" s="43">
        <f>IF(OR(E42="",F42=""),"",MAX(0,MIN(1,(FECHA_CORTE-E42)/MAX(1,F42-E42))))</f>
        <v/>
      </c>
      <c r="H42" s="48" t="n"/>
      <c r="I42" s="49" t="n"/>
      <c r="J42" s="49" t="n"/>
      <c r="K42" s="43">
        <f>IF(OR(I42="",J42="",I42=0),"",J42/I42)</f>
        <v/>
      </c>
      <c r="L42" s="43">
        <f>IF(OR(G42="",H42=""),"",H42-G42)</f>
        <v/>
      </c>
      <c r="M42" s="19">
        <f>IF(B42="","",IF(N42="TERMINADO","VERDE",IF(L42="","",IF(OR(L42&lt;-0.15,AND(K42&lt;&gt;"",K42&gt;1.05)),"ROJO",IF(OR(L42&lt;-0.05,AND(K42&lt;&gt;"",K42&gt;1)),"ÁMBAR","VERDE")))))</f>
        <v/>
      </c>
      <c r="N42" s="17" t="n"/>
      <c r="O42" s="17" t="n"/>
    </row>
    <row r="43">
      <c r="A43" s="46" t="n">
        <v>39</v>
      </c>
      <c r="B43" s="17" t="n"/>
      <c r="C43" s="17" t="n"/>
      <c r="D43" s="17" t="n"/>
      <c r="E43" s="47" t="n"/>
      <c r="F43" s="47" t="n"/>
      <c r="G43" s="43">
        <f>IF(OR(E43="",F43=""),"",MAX(0,MIN(1,(FECHA_CORTE-E43)/MAX(1,F43-E43))))</f>
        <v/>
      </c>
      <c r="H43" s="48" t="n"/>
      <c r="I43" s="49" t="n"/>
      <c r="J43" s="49" t="n"/>
      <c r="K43" s="43">
        <f>IF(OR(I43="",J43="",I43=0),"",J43/I43)</f>
        <v/>
      </c>
      <c r="L43" s="43">
        <f>IF(OR(G43="",H43=""),"",H43-G43)</f>
        <v/>
      </c>
      <c r="M43" s="19">
        <f>IF(B43="","",IF(N43="TERMINADO","VERDE",IF(L43="","",IF(OR(L43&lt;-0.15,AND(K43&lt;&gt;"",K43&gt;1.05)),"ROJO",IF(OR(L43&lt;-0.05,AND(K43&lt;&gt;"",K43&gt;1)),"ÁMBAR","VERDE")))))</f>
        <v/>
      </c>
      <c r="N43" s="17" t="n"/>
      <c r="O43" s="17" t="n"/>
    </row>
    <row r="44">
      <c r="A44" s="46" t="n">
        <v>40</v>
      </c>
      <c r="B44" s="17" t="n"/>
      <c r="C44" s="17" t="n"/>
      <c r="D44" s="17" t="n"/>
      <c r="E44" s="47" t="n"/>
      <c r="F44" s="47" t="n"/>
      <c r="G44" s="43">
        <f>IF(OR(E44="",F44=""),"",MAX(0,MIN(1,(FECHA_CORTE-E44)/MAX(1,F44-E44))))</f>
        <v/>
      </c>
      <c r="H44" s="48" t="n"/>
      <c r="I44" s="49" t="n"/>
      <c r="J44" s="49" t="n"/>
      <c r="K44" s="43">
        <f>IF(OR(I44="",J44="",I44=0),"",J44/I44)</f>
        <v/>
      </c>
      <c r="L44" s="43">
        <f>IF(OR(G44="",H44=""),"",H44-G44)</f>
        <v/>
      </c>
      <c r="M44" s="19">
        <f>IF(B44="","",IF(N44="TERMINADO","VERDE",IF(L44="","",IF(OR(L44&lt;-0.15,AND(K44&lt;&gt;"",K44&gt;1.05)),"ROJO",IF(OR(L44&lt;-0.05,AND(K44&lt;&gt;"",K44&gt;1)),"ÁMBAR","VERDE")))))</f>
        <v/>
      </c>
      <c r="N44" s="17" t="n"/>
      <c r="O4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O44"/>
  <mergeCells count="3">
    <mergeCell ref="O1:O2"/>
    <mergeCell ref="A2:N2"/>
    <mergeCell ref="A1:N1"/>
  </mergeCells>
  <conditionalFormatting sqref="M5:M4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2">
    <dataValidation sqref="D5:D44" showDropDown="0" showInputMessage="0" showErrorMessage="0" allowBlank="1" type="list" errorStyle="warning">
      <formula1>=OFFSET('CATÁLOGOS'!$B$5,0,0,MAX(1,COUNTA('CATÁLOGOS'!$B$5:$B$34)),1)</formula1>
    </dataValidation>
    <dataValidation sqref="N5:N44" showDropDown="0" showInputMessage="0" showErrorMessage="0" allowBlank="1" type="list">
      <formula1>"EN PROCESO,PAUSADO,TERMINADO,CANCELADO"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K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30" customWidth="1" min="3" max="3"/>
    <col width="22" customWidth="1" min="4" max="4"/>
    <col width="12" customWidth="1" min="5" max="5"/>
    <col width="14" customWidth="1" min="6" max="6"/>
    <col width="14" customWidth="1" min="7" max="7"/>
    <col width="15" customWidth="1" min="8" max="8"/>
    <col width="11" customWidth="1" min="9" max="9"/>
    <col width="15" customWidth="1" min="10" max="10"/>
    <col width="36" customWidth="1" min="11" max="11"/>
  </cols>
  <sheetData>
    <row r="1" ht="44" customHeight="1">
      <c r="A1" s="22" t="inlineStr">
        <is>
          <t>PENDIENTES ABIERTOS</t>
        </is>
      </c>
      <c r="K1" s="68" t="inlineStr">
        <is>
          <t>INSERTE SU LOGO
(clic derecho &gt; Insertar imagen)</t>
        </is>
      </c>
    </row>
    <row r="2" ht="26" customHeight="1">
      <c r="A2" s="71" t="inlineStr">
        <is>
          <t>Lo que no se cierra, se acumula: responsable, fecha y semáforo</t>
        </is>
      </c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8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32" customHeight="1">
      <c r="A4" s="40" t="inlineStr">
        <is>
          <t>NO.</t>
        </is>
      </c>
      <c r="B4" s="40" t="inlineStr">
        <is>
          <t>PENDIENTE</t>
        </is>
      </c>
      <c r="C4" s="40" t="inlineStr">
        <is>
          <t>ORIGEN (CLIENTE, JUNTA, DIRECCIÓN)</t>
        </is>
      </c>
      <c r="D4" s="40" t="inlineStr">
        <is>
          <t>RESPONSABLE</t>
        </is>
      </c>
      <c r="E4" s="40" t="inlineStr">
        <is>
          <t>PRIORIDAD</t>
        </is>
      </c>
      <c r="F4" s="40" t="inlineStr">
        <is>
          <t>FECHA SOLICITUD</t>
        </is>
      </c>
      <c r="G4" s="40" t="inlineStr">
        <is>
          <t>FECHA COMPROMISO</t>
        </is>
      </c>
      <c r="H4" s="40" t="inlineStr">
        <is>
          <t>ESTATUS</t>
        </is>
      </c>
      <c r="I4" s="40" t="inlineStr">
        <is>
          <t>DÍAS ABIERTOS</t>
        </is>
      </c>
      <c r="J4" s="40" t="inlineStr">
        <is>
          <t>SEMÁFORO</t>
        </is>
      </c>
      <c r="K4" s="40" t="inlineStr">
        <is>
          <t>COMENTARIOS</t>
        </is>
      </c>
    </row>
    <row r="5">
      <c r="A5" s="46" t="n">
        <v>1</v>
      </c>
      <c r="B5" s="17" t="inlineStr">
        <is>
          <t>ENTREGAR ACTA DE ENTREGA-RECEPCIÓN FIRMADA</t>
        </is>
      </c>
      <c r="C5" s="17" t="inlineStr">
        <is>
          <t>CLIENTE ALTAMIRA</t>
        </is>
      </c>
      <c r="D5" s="17" t="inlineStr">
        <is>
          <t>PROYECTOS</t>
        </is>
      </c>
      <c r="E5" s="17" t="inlineStr">
        <is>
          <t>ALTA</t>
        </is>
      </c>
      <c r="F5" s="47" t="n">
        <v>46293</v>
      </c>
      <c r="G5" s="47" t="n">
        <v>46301</v>
      </c>
      <c r="H5" s="17" t="inlineStr">
        <is>
          <t>EN PROCESO</t>
        </is>
      </c>
      <c r="I5" s="42">
        <f>IF(OR(B5="",F5=""),"",MAX(0,FECHA_CORTE-F5))</f>
        <v/>
      </c>
      <c r="J5" s="19">
        <f>IF(B5="","",IF(H5="TERMINADO","CUMPLIDO",IF(G5="","SIN FECHA",IF(G5&lt;FECHA_CORTE,"VENCIDO",IF(G5-FECHA_CORTE&lt;=2,"POR VENCER","EN TIEMPO")))))</f>
        <v/>
      </c>
      <c r="K5" s="17" t="inlineStr">
        <is>
          <t>FALTA FIRMA DEL RESIDENTE</t>
        </is>
      </c>
    </row>
    <row r="6">
      <c r="A6" s="46" t="n">
        <v>2</v>
      </c>
      <c r="B6" s="17" t="inlineStr">
        <is>
          <t>DEFINIR PROVEEDOR DE ACERO ESTRUCTURAL</t>
        </is>
      </c>
      <c r="C6" s="17" t="inlineStr">
        <is>
          <t>JUNTA SEMANAL</t>
        </is>
      </c>
      <c r="D6" s="17" t="inlineStr">
        <is>
          <t>COMPRAS</t>
        </is>
      </c>
      <c r="E6" s="17" t="inlineStr">
        <is>
          <t>ALTA</t>
        </is>
      </c>
      <c r="F6" s="47" t="n">
        <v>46295</v>
      </c>
      <c r="G6" s="47" t="n">
        <v>46304</v>
      </c>
      <c r="H6" s="17" t="inlineStr">
        <is>
          <t>PENDIENTE</t>
        </is>
      </c>
      <c r="I6" s="42">
        <f>IF(OR(B6="",F6=""),"",MAX(0,FECHA_CORTE-F6))</f>
        <v/>
      </c>
      <c r="J6" s="19">
        <f>IF(B6="","",IF(H6="TERMINADO","CUMPLIDO",IF(G6="","SIN FECHA",IF(G6&lt;FECHA_CORTE,"VENCIDO",IF(G6-FECHA_CORTE&lt;=2,"POR VENCER","EN TIEMPO")))))</f>
        <v/>
      </c>
      <c r="K6" s="17" t="inlineStr">
        <is>
          <t>ESPERANDO 3A COTIZACIÓN</t>
        </is>
      </c>
    </row>
    <row r="7">
      <c r="A7" s="46" t="n">
        <v>3</v>
      </c>
      <c r="B7" s="17" t="inlineStr">
        <is>
          <t>REGULARIZAR PAGO DE CUOTAS IMSS DE AGOSTO</t>
        </is>
      </c>
      <c r="C7" s="17" t="inlineStr">
        <is>
          <t>AUDITORÍA</t>
        </is>
      </c>
      <c r="D7" s="17" t="inlineStr">
        <is>
          <t>RECURSOS HUMANOS</t>
        </is>
      </c>
      <c r="E7" s="17" t="inlineStr">
        <is>
          <t>ALTA</t>
        </is>
      </c>
      <c r="F7" s="47" t="n">
        <v>46287</v>
      </c>
      <c r="G7" s="47" t="n">
        <v>46297</v>
      </c>
      <c r="H7" s="17" t="inlineStr">
        <is>
          <t>EN PROCESO</t>
        </is>
      </c>
      <c r="I7" s="42">
        <f>IF(OR(B7="",F7=""),"",MAX(0,FECHA_CORTE-F7))</f>
        <v/>
      </c>
      <c r="J7" s="19">
        <f>IF(B7="","",IF(H7="TERMINADO","CUMPLIDO",IF(G7="","SIN FECHA",IF(G7&lt;FECHA_CORTE,"VENCIDO",IF(G7-FECHA_CORTE&lt;=2,"POR VENCER","EN TIEMPO")))))</f>
        <v/>
      </c>
      <c r="K7" s="17" t="inlineStr">
        <is>
          <t>PENDIENTE COMPROBANTE BANCARIO</t>
        </is>
      </c>
    </row>
    <row r="8">
      <c r="A8" s="46" t="n">
        <v>4</v>
      </c>
      <c r="B8" s="17" t="inlineStr">
        <is>
          <t>ACTUALIZAR CONTRATO MARCO CON PROVEEDOR DE CONCRETO</t>
        </is>
      </c>
      <c r="C8" s="17" t="inlineStr">
        <is>
          <t>DIRECCIÓN</t>
        </is>
      </c>
      <c r="D8" s="17" t="inlineStr">
        <is>
          <t>DIRECCIÓN</t>
        </is>
      </c>
      <c r="E8" s="17" t="inlineStr">
        <is>
          <t>MEDIA</t>
        </is>
      </c>
      <c r="F8" s="47" t="n">
        <v>46280</v>
      </c>
      <c r="G8" s="47" t="n">
        <v>46315</v>
      </c>
      <c r="H8" s="17" t="inlineStr">
        <is>
          <t>PENDIENTE</t>
        </is>
      </c>
      <c r="I8" s="42">
        <f>IF(OR(B8="",F8=""),"",MAX(0,FECHA_CORTE-F8))</f>
        <v/>
      </c>
      <c r="J8" s="19">
        <f>IF(B8="","",IF(H8="TERMINADO","CUMPLIDO",IF(G8="","SIN FECHA",IF(G8&lt;FECHA_CORTE,"VENCIDO",IF(G8-FECHA_CORTE&lt;=2,"POR VENCER","EN TIEMPO")))))</f>
        <v/>
      </c>
      <c r="K8" s="17" t="inlineStr"/>
    </row>
    <row r="9">
      <c r="A9" s="46" t="n">
        <v>5</v>
      </c>
      <c r="B9" s="17" t="inlineStr">
        <is>
          <t>ENVIAR ESTADO DE CUENTA A CLIENTES CON SALDO VENCIDO</t>
        </is>
      </c>
      <c r="C9" s="17" t="inlineStr">
        <is>
          <t>FINANZAS</t>
        </is>
      </c>
      <c r="D9" s="17" t="inlineStr">
        <is>
          <t>FINANZAS</t>
        </is>
      </c>
      <c r="E9" s="17" t="inlineStr">
        <is>
          <t>MEDIA</t>
        </is>
      </c>
      <c r="F9" s="47" t="n">
        <v>46296</v>
      </c>
      <c r="G9" s="47" t="n">
        <v>46303</v>
      </c>
      <c r="H9" s="17" t="inlineStr">
        <is>
          <t>EN PROCESO</t>
        </is>
      </c>
      <c r="I9" s="42">
        <f>IF(OR(B9="",F9=""),"",MAX(0,FECHA_CORTE-F9))</f>
        <v/>
      </c>
      <c r="J9" s="19">
        <f>IF(B9="","",IF(H9="TERMINADO","CUMPLIDO",IF(G9="","SIN FECHA",IF(G9&lt;FECHA_CORTE,"VENCIDO",IF(G9-FECHA_CORTE&lt;=2,"POR VENCER","EN TIEMPO")))))</f>
        <v/>
      </c>
      <c r="K9" s="17" t="inlineStr"/>
    </row>
    <row r="10">
      <c r="A10" s="46" t="n">
        <v>6</v>
      </c>
      <c r="B10" s="17" t="inlineStr">
        <is>
          <t>CARGAR FACTURAS DE GASTOS DE SEPTIEMBRE</t>
        </is>
      </c>
      <c r="C10" s="17" t="inlineStr">
        <is>
          <t>CONTABILIDAD</t>
        </is>
      </c>
      <c r="D10" s="17" t="inlineStr">
        <is>
          <t>ADMINISTRACIÓN</t>
        </is>
      </c>
      <c r="E10" s="17" t="inlineStr">
        <is>
          <t>BAJA</t>
        </is>
      </c>
      <c r="F10" s="47" t="n">
        <v>46297</v>
      </c>
      <c r="G10" s="47" t="n">
        <v>46307</v>
      </c>
      <c r="H10" s="17" t="inlineStr">
        <is>
          <t>PENDIENTE</t>
        </is>
      </c>
      <c r="I10" s="42">
        <f>IF(OR(B10="",F10=""),"",MAX(0,FECHA_CORTE-F10))</f>
        <v/>
      </c>
      <c r="J10" s="19">
        <f>IF(B10="","",IF(H10="TERMINADO","CUMPLIDO",IF(G10="","SIN FECHA",IF(G10&lt;FECHA_CORTE,"VENCIDO",IF(G10-FECHA_CORTE&lt;=2,"POR VENCER","EN TIEMPO")))))</f>
        <v/>
      </c>
      <c r="K10" s="17" t="inlineStr"/>
    </row>
    <row r="11">
      <c r="A11" s="46" t="n">
        <v>7</v>
      </c>
      <c r="B11" s="17" t="inlineStr">
        <is>
          <t>RESOLVER DIFERENCIA DE INVENTARIO EN BODEGA 2</t>
        </is>
      </c>
      <c r="C11" s="17" t="inlineStr">
        <is>
          <t>OPERACIONES</t>
        </is>
      </c>
      <c r="D11" s="17" t="inlineStr">
        <is>
          <t>OPERACIONES</t>
        </is>
      </c>
      <c r="E11" s="17" t="inlineStr">
        <is>
          <t>MEDIA</t>
        </is>
      </c>
      <c r="F11" s="47" t="n">
        <v>46290</v>
      </c>
      <c r="G11" s="47" t="n">
        <v>46300</v>
      </c>
      <c r="H11" s="17" t="inlineStr">
        <is>
          <t>TERMINADO</t>
        </is>
      </c>
      <c r="I11" s="42">
        <f>IF(OR(B11="",F11=""),"",MAX(0,FECHA_CORTE-F11))</f>
        <v/>
      </c>
      <c r="J11" s="19">
        <f>IF(B11="","",IF(H11="TERMINADO","CUMPLIDO",IF(G11="","SIN FECHA",IF(G11&lt;FECHA_CORTE,"VENCIDO",IF(G11-FECHA_CORTE&lt;=2,"POR VENCER","EN TIEMPO")))))</f>
        <v/>
      </c>
      <c r="K11" s="17" t="inlineStr">
        <is>
          <t>AJUSTE AUTORIZADO</t>
        </is>
      </c>
    </row>
    <row r="12">
      <c r="A12" s="46" t="n">
        <v>8</v>
      </c>
      <c r="B12" s="17" t="n"/>
      <c r="C12" s="17" t="n"/>
      <c r="D12" s="17" t="n"/>
      <c r="E12" s="17" t="n"/>
      <c r="F12" s="47" t="n"/>
      <c r="G12" s="47" t="n"/>
      <c r="H12" s="17" t="n"/>
      <c r="I12" s="42">
        <f>IF(OR(B12="",F12=""),"",MAX(0,FECHA_CORTE-F12))</f>
        <v/>
      </c>
      <c r="J12" s="19">
        <f>IF(B12="","",IF(H12="TERMINADO","CUMPLIDO",IF(G12="","SIN FECHA",IF(G12&lt;FECHA_CORTE,"VENCIDO",IF(G12-FECHA_CORTE&lt;=2,"POR VENCER","EN TIEMPO")))))</f>
        <v/>
      </c>
      <c r="K12" s="17" t="n"/>
    </row>
    <row r="13">
      <c r="A13" s="46" t="n">
        <v>9</v>
      </c>
      <c r="B13" s="17" t="n"/>
      <c r="C13" s="17" t="n"/>
      <c r="D13" s="17" t="n"/>
      <c r="E13" s="17" t="n"/>
      <c r="F13" s="47" t="n"/>
      <c r="G13" s="47" t="n"/>
      <c r="H13" s="17" t="n"/>
      <c r="I13" s="42">
        <f>IF(OR(B13="",F13=""),"",MAX(0,FECHA_CORTE-F13))</f>
        <v/>
      </c>
      <c r="J13" s="19">
        <f>IF(B13="","",IF(H13="TERMINADO","CUMPLIDO",IF(G13="","SIN FECHA",IF(G13&lt;FECHA_CORTE,"VENCIDO",IF(G13-FECHA_CORTE&lt;=2,"POR VENCER","EN TIEMPO")))))</f>
        <v/>
      </c>
      <c r="K13" s="17" t="n"/>
    </row>
    <row r="14">
      <c r="A14" s="46" t="n">
        <v>10</v>
      </c>
      <c r="B14" s="17" t="n"/>
      <c r="C14" s="17" t="n"/>
      <c r="D14" s="17" t="n"/>
      <c r="E14" s="17" t="n"/>
      <c r="F14" s="47" t="n"/>
      <c r="G14" s="47" t="n"/>
      <c r="H14" s="17" t="n"/>
      <c r="I14" s="42">
        <f>IF(OR(B14="",F14=""),"",MAX(0,FECHA_CORTE-F14))</f>
        <v/>
      </c>
      <c r="J14" s="19">
        <f>IF(B14="","",IF(H14="TERMINADO","CUMPLIDO",IF(G14="","SIN FECHA",IF(G14&lt;FECHA_CORTE,"VENCIDO",IF(G14-FECHA_CORTE&lt;=2,"POR VENCER","EN TIEMPO")))))</f>
        <v/>
      </c>
      <c r="K14" s="17" t="n"/>
    </row>
    <row r="15">
      <c r="A15" s="46" t="n">
        <v>11</v>
      </c>
      <c r="B15" s="17" t="n"/>
      <c r="C15" s="17" t="n"/>
      <c r="D15" s="17" t="n"/>
      <c r="E15" s="17" t="n"/>
      <c r="F15" s="47" t="n"/>
      <c r="G15" s="47" t="n"/>
      <c r="H15" s="17" t="n"/>
      <c r="I15" s="42">
        <f>IF(OR(B15="",F15=""),"",MAX(0,FECHA_CORTE-F15))</f>
        <v/>
      </c>
      <c r="J15" s="19">
        <f>IF(B15="","",IF(H15="TERMINADO","CUMPLIDO",IF(G15="","SIN FECHA",IF(G15&lt;FECHA_CORTE,"VENCIDO",IF(G15-FECHA_CORTE&lt;=2,"POR VENCER","EN TIEMPO")))))</f>
        <v/>
      </c>
      <c r="K15" s="17" t="n"/>
    </row>
    <row r="16">
      <c r="A16" s="46" t="n">
        <v>12</v>
      </c>
      <c r="B16" s="17" t="n"/>
      <c r="C16" s="17" t="n"/>
      <c r="D16" s="17" t="n"/>
      <c r="E16" s="17" t="n"/>
      <c r="F16" s="47" t="n"/>
      <c r="G16" s="47" t="n"/>
      <c r="H16" s="17" t="n"/>
      <c r="I16" s="42">
        <f>IF(OR(B16="",F16=""),"",MAX(0,FECHA_CORTE-F16))</f>
        <v/>
      </c>
      <c r="J16" s="19">
        <f>IF(B16="","",IF(H16="TERMINADO","CUMPLIDO",IF(G16="","SIN FECHA",IF(G16&lt;FECHA_CORTE,"VENCIDO",IF(G16-FECHA_CORTE&lt;=2,"POR VENCER","EN TIEMPO")))))</f>
        <v/>
      </c>
      <c r="K16" s="17" t="n"/>
    </row>
    <row r="17">
      <c r="A17" s="46" t="n">
        <v>13</v>
      </c>
      <c r="B17" s="17" t="n"/>
      <c r="C17" s="17" t="n"/>
      <c r="D17" s="17" t="n"/>
      <c r="E17" s="17" t="n"/>
      <c r="F17" s="47" t="n"/>
      <c r="G17" s="47" t="n"/>
      <c r="H17" s="17" t="n"/>
      <c r="I17" s="42">
        <f>IF(OR(B17="",F17=""),"",MAX(0,FECHA_CORTE-F17))</f>
        <v/>
      </c>
      <c r="J17" s="19">
        <f>IF(B17="","",IF(H17="TERMINADO","CUMPLIDO",IF(G17="","SIN FECHA",IF(G17&lt;FECHA_CORTE,"VENCIDO",IF(G17-FECHA_CORTE&lt;=2,"POR VENCER","EN TIEMPO")))))</f>
        <v/>
      </c>
      <c r="K17" s="17" t="n"/>
    </row>
    <row r="18">
      <c r="A18" s="46" t="n">
        <v>14</v>
      </c>
      <c r="B18" s="17" t="n"/>
      <c r="C18" s="17" t="n"/>
      <c r="D18" s="17" t="n"/>
      <c r="E18" s="17" t="n"/>
      <c r="F18" s="47" t="n"/>
      <c r="G18" s="47" t="n"/>
      <c r="H18" s="17" t="n"/>
      <c r="I18" s="42">
        <f>IF(OR(B18="",F18=""),"",MAX(0,FECHA_CORTE-F18))</f>
        <v/>
      </c>
      <c r="J18" s="19">
        <f>IF(B18="","",IF(H18="TERMINADO","CUMPLIDO",IF(G18="","SIN FECHA",IF(G18&lt;FECHA_CORTE,"VENCIDO",IF(G18-FECHA_CORTE&lt;=2,"POR VENCER","EN TIEMPO")))))</f>
        <v/>
      </c>
      <c r="K18" s="17" t="n"/>
    </row>
    <row r="19">
      <c r="A19" s="46" t="n">
        <v>15</v>
      </c>
      <c r="B19" s="17" t="n"/>
      <c r="C19" s="17" t="n"/>
      <c r="D19" s="17" t="n"/>
      <c r="E19" s="17" t="n"/>
      <c r="F19" s="47" t="n"/>
      <c r="G19" s="47" t="n"/>
      <c r="H19" s="17" t="n"/>
      <c r="I19" s="42">
        <f>IF(OR(B19="",F19=""),"",MAX(0,FECHA_CORTE-F19))</f>
        <v/>
      </c>
      <c r="J19" s="19">
        <f>IF(B19="","",IF(H19="TERMINADO","CUMPLIDO",IF(G19="","SIN FECHA",IF(G19&lt;FECHA_CORTE,"VENCIDO",IF(G19-FECHA_CORTE&lt;=2,"POR VENCER","EN TIEMPO")))))</f>
        <v/>
      </c>
      <c r="K19" s="17" t="n"/>
    </row>
    <row r="20">
      <c r="A20" s="46" t="n">
        <v>16</v>
      </c>
      <c r="B20" s="17" t="n"/>
      <c r="C20" s="17" t="n"/>
      <c r="D20" s="17" t="n"/>
      <c r="E20" s="17" t="n"/>
      <c r="F20" s="47" t="n"/>
      <c r="G20" s="47" t="n"/>
      <c r="H20" s="17" t="n"/>
      <c r="I20" s="42">
        <f>IF(OR(B20="",F20=""),"",MAX(0,FECHA_CORTE-F20))</f>
        <v/>
      </c>
      <c r="J20" s="19">
        <f>IF(B20="","",IF(H20="TERMINADO","CUMPLIDO",IF(G20="","SIN FECHA",IF(G20&lt;FECHA_CORTE,"VENCIDO",IF(G20-FECHA_CORTE&lt;=2,"POR VENCER","EN TIEMPO")))))</f>
        <v/>
      </c>
      <c r="K20" s="17" t="n"/>
    </row>
    <row r="21">
      <c r="A21" s="46" t="n">
        <v>17</v>
      </c>
      <c r="B21" s="17" t="n"/>
      <c r="C21" s="17" t="n"/>
      <c r="D21" s="17" t="n"/>
      <c r="E21" s="17" t="n"/>
      <c r="F21" s="47" t="n"/>
      <c r="G21" s="47" t="n"/>
      <c r="H21" s="17" t="n"/>
      <c r="I21" s="42">
        <f>IF(OR(B21="",F21=""),"",MAX(0,FECHA_CORTE-F21))</f>
        <v/>
      </c>
      <c r="J21" s="19">
        <f>IF(B21="","",IF(H21="TERMINADO","CUMPLIDO",IF(G21="","SIN FECHA",IF(G21&lt;FECHA_CORTE,"VENCIDO",IF(G21-FECHA_CORTE&lt;=2,"POR VENCER","EN TIEMPO")))))</f>
        <v/>
      </c>
      <c r="K21" s="17" t="n"/>
    </row>
    <row r="22">
      <c r="A22" s="46" t="n">
        <v>18</v>
      </c>
      <c r="B22" s="17" t="n"/>
      <c r="C22" s="17" t="n"/>
      <c r="D22" s="17" t="n"/>
      <c r="E22" s="17" t="n"/>
      <c r="F22" s="47" t="n"/>
      <c r="G22" s="47" t="n"/>
      <c r="H22" s="17" t="n"/>
      <c r="I22" s="42">
        <f>IF(OR(B22="",F22=""),"",MAX(0,FECHA_CORTE-F22))</f>
        <v/>
      </c>
      <c r="J22" s="19">
        <f>IF(B22="","",IF(H22="TERMINADO","CUMPLIDO",IF(G22="","SIN FECHA",IF(G22&lt;FECHA_CORTE,"VENCIDO",IF(G22-FECHA_CORTE&lt;=2,"POR VENCER","EN TIEMPO")))))</f>
        <v/>
      </c>
      <c r="K22" s="17" t="n"/>
    </row>
    <row r="23">
      <c r="A23" s="46" t="n">
        <v>19</v>
      </c>
      <c r="B23" s="17" t="n"/>
      <c r="C23" s="17" t="n"/>
      <c r="D23" s="17" t="n"/>
      <c r="E23" s="17" t="n"/>
      <c r="F23" s="47" t="n"/>
      <c r="G23" s="47" t="n"/>
      <c r="H23" s="17" t="n"/>
      <c r="I23" s="42">
        <f>IF(OR(B23="",F23=""),"",MAX(0,FECHA_CORTE-F23))</f>
        <v/>
      </c>
      <c r="J23" s="19">
        <f>IF(B23="","",IF(H23="TERMINADO","CUMPLIDO",IF(G23="","SIN FECHA",IF(G23&lt;FECHA_CORTE,"VENCIDO",IF(G23-FECHA_CORTE&lt;=2,"POR VENCER","EN TIEMPO")))))</f>
        <v/>
      </c>
      <c r="K23" s="17" t="n"/>
    </row>
    <row r="24">
      <c r="A24" s="46" t="n">
        <v>20</v>
      </c>
      <c r="B24" s="17" t="n"/>
      <c r="C24" s="17" t="n"/>
      <c r="D24" s="17" t="n"/>
      <c r="E24" s="17" t="n"/>
      <c r="F24" s="47" t="n"/>
      <c r="G24" s="47" t="n"/>
      <c r="H24" s="17" t="n"/>
      <c r="I24" s="42">
        <f>IF(OR(B24="",F24=""),"",MAX(0,FECHA_CORTE-F24))</f>
        <v/>
      </c>
      <c r="J24" s="19">
        <f>IF(B24="","",IF(H24="TERMINADO","CUMPLIDO",IF(G24="","SIN FECHA",IF(G24&lt;FECHA_CORTE,"VENCIDO",IF(G24-FECHA_CORTE&lt;=2,"POR VENCER","EN TIEMPO")))))</f>
        <v/>
      </c>
      <c r="K24" s="17" t="n"/>
    </row>
    <row r="25">
      <c r="A25" s="46" t="n">
        <v>21</v>
      </c>
      <c r="B25" s="17" t="n"/>
      <c r="C25" s="17" t="n"/>
      <c r="D25" s="17" t="n"/>
      <c r="E25" s="17" t="n"/>
      <c r="F25" s="47" t="n"/>
      <c r="G25" s="47" t="n"/>
      <c r="H25" s="17" t="n"/>
      <c r="I25" s="42">
        <f>IF(OR(B25="",F25=""),"",MAX(0,FECHA_CORTE-F25))</f>
        <v/>
      </c>
      <c r="J25" s="19">
        <f>IF(B25="","",IF(H25="TERMINADO","CUMPLIDO",IF(G25="","SIN FECHA",IF(G25&lt;FECHA_CORTE,"VENCIDO",IF(G25-FECHA_CORTE&lt;=2,"POR VENCER","EN TIEMPO")))))</f>
        <v/>
      </c>
      <c r="K25" s="17" t="n"/>
    </row>
    <row r="26">
      <c r="A26" s="46" t="n">
        <v>22</v>
      </c>
      <c r="B26" s="17" t="n"/>
      <c r="C26" s="17" t="n"/>
      <c r="D26" s="17" t="n"/>
      <c r="E26" s="17" t="n"/>
      <c r="F26" s="47" t="n"/>
      <c r="G26" s="47" t="n"/>
      <c r="H26" s="17" t="n"/>
      <c r="I26" s="42">
        <f>IF(OR(B26="",F26=""),"",MAX(0,FECHA_CORTE-F26))</f>
        <v/>
      </c>
      <c r="J26" s="19">
        <f>IF(B26="","",IF(H26="TERMINADO","CUMPLIDO",IF(G26="","SIN FECHA",IF(G26&lt;FECHA_CORTE,"VENCIDO",IF(G26-FECHA_CORTE&lt;=2,"POR VENCER","EN TIEMPO")))))</f>
        <v/>
      </c>
      <c r="K26" s="17" t="n"/>
    </row>
    <row r="27">
      <c r="A27" s="46" t="n">
        <v>23</v>
      </c>
      <c r="B27" s="17" t="n"/>
      <c r="C27" s="17" t="n"/>
      <c r="D27" s="17" t="n"/>
      <c r="E27" s="17" t="n"/>
      <c r="F27" s="47" t="n"/>
      <c r="G27" s="47" t="n"/>
      <c r="H27" s="17" t="n"/>
      <c r="I27" s="42">
        <f>IF(OR(B27="",F27=""),"",MAX(0,FECHA_CORTE-F27))</f>
        <v/>
      </c>
      <c r="J27" s="19">
        <f>IF(B27="","",IF(H27="TERMINADO","CUMPLIDO",IF(G27="","SIN FECHA",IF(G27&lt;FECHA_CORTE,"VENCIDO",IF(G27-FECHA_CORTE&lt;=2,"POR VENCER","EN TIEMPO")))))</f>
        <v/>
      </c>
      <c r="K27" s="17" t="n"/>
    </row>
    <row r="28">
      <c r="A28" s="46" t="n">
        <v>24</v>
      </c>
      <c r="B28" s="17" t="n"/>
      <c r="C28" s="17" t="n"/>
      <c r="D28" s="17" t="n"/>
      <c r="E28" s="17" t="n"/>
      <c r="F28" s="47" t="n"/>
      <c r="G28" s="47" t="n"/>
      <c r="H28" s="17" t="n"/>
      <c r="I28" s="42">
        <f>IF(OR(B28="",F28=""),"",MAX(0,FECHA_CORTE-F28))</f>
        <v/>
      </c>
      <c r="J28" s="19">
        <f>IF(B28="","",IF(H28="TERMINADO","CUMPLIDO",IF(G28="","SIN FECHA",IF(G28&lt;FECHA_CORTE,"VENCIDO",IF(G28-FECHA_CORTE&lt;=2,"POR VENCER","EN TIEMPO")))))</f>
        <v/>
      </c>
      <c r="K28" s="17" t="n"/>
    </row>
    <row r="29">
      <c r="A29" s="46" t="n">
        <v>25</v>
      </c>
      <c r="B29" s="17" t="n"/>
      <c r="C29" s="17" t="n"/>
      <c r="D29" s="17" t="n"/>
      <c r="E29" s="17" t="n"/>
      <c r="F29" s="47" t="n"/>
      <c r="G29" s="47" t="n"/>
      <c r="H29" s="17" t="n"/>
      <c r="I29" s="42">
        <f>IF(OR(B29="",F29=""),"",MAX(0,FECHA_CORTE-F29))</f>
        <v/>
      </c>
      <c r="J29" s="19">
        <f>IF(B29="","",IF(H29="TERMINADO","CUMPLIDO",IF(G29="","SIN FECHA",IF(G29&lt;FECHA_CORTE,"VENCIDO",IF(G29-FECHA_CORTE&lt;=2,"POR VENCER","EN TIEMPO")))))</f>
        <v/>
      </c>
      <c r="K29" s="17" t="n"/>
    </row>
    <row r="30">
      <c r="A30" s="46" t="n">
        <v>26</v>
      </c>
      <c r="B30" s="17" t="n"/>
      <c r="C30" s="17" t="n"/>
      <c r="D30" s="17" t="n"/>
      <c r="E30" s="17" t="n"/>
      <c r="F30" s="47" t="n"/>
      <c r="G30" s="47" t="n"/>
      <c r="H30" s="17" t="n"/>
      <c r="I30" s="42">
        <f>IF(OR(B30="",F30=""),"",MAX(0,FECHA_CORTE-F30))</f>
        <v/>
      </c>
      <c r="J30" s="19">
        <f>IF(B30="","",IF(H30="TERMINADO","CUMPLIDO",IF(G30="","SIN FECHA",IF(G30&lt;FECHA_CORTE,"VENCIDO",IF(G30-FECHA_CORTE&lt;=2,"POR VENCER","EN TIEMPO")))))</f>
        <v/>
      </c>
      <c r="K30" s="17" t="n"/>
    </row>
    <row r="31">
      <c r="A31" s="46" t="n">
        <v>27</v>
      </c>
      <c r="B31" s="17" t="n"/>
      <c r="C31" s="17" t="n"/>
      <c r="D31" s="17" t="n"/>
      <c r="E31" s="17" t="n"/>
      <c r="F31" s="47" t="n"/>
      <c r="G31" s="47" t="n"/>
      <c r="H31" s="17" t="n"/>
      <c r="I31" s="42">
        <f>IF(OR(B31="",F31=""),"",MAX(0,FECHA_CORTE-F31))</f>
        <v/>
      </c>
      <c r="J31" s="19">
        <f>IF(B31="","",IF(H31="TERMINADO","CUMPLIDO",IF(G31="","SIN FECHA",IF(G31&lt;FECHA_CORTE,"VENCIDO",IF(G31-FECHA_CORTE&lt;=2,"POR VENCER","EN TIEMPO")))))</f>
        <v/>
      </c>
      <c r="K31" s="17" t="n"/>
    </row>
    <row r="32">
      <c r="A32" s="46" t="n">
        <v>28</v>
      </c>
      <c r="B32" s="17" t="n"/>
      <c r="C32" s="17" t="n"/>
      <c r="D32" s="17" t="n"/>
      <c r="E32" s="17" t="n"/>
      <c r="F32" s="47" t="n"/>
      <c r="G32" s="47" t="n"/>
      <c r="H32" s="17" t="n"/>
      <c r="I32" s="42">
        <f>IF(OR(B32="",F32=""),"",MAX(0,FECHA_CORTE-F32))</f>
        <v/>
      </c>
      <c r="J32" s="19">
        <f>IF(B32="","",IF(H32="TERMINADO","CUMPLIDO",IF(G32="","SIN FECHA",IF(G32&lt;FECHA_CORTE,"VENCIDO",IF(G32-FECHA_CORTE&lt;=2,"POR VENCER","EN TIEMPO")))))</f>
        <v/>
      </c>
      <c r="K32" s="17" t="n"/>
    </row>
    <row r="33">
      <c r="A33" s="46" t="n">
        <v>29</v>
      </c>
      <c r="B33" s="17" t="n"/>
      <c r="C33" s="17" t="n"/>
      <c r="D33" s="17" t="n"/>
      <c r="E33" s="17" t="n"/>
      <c r="F33" s="47" t="n"/>
      <c r="G33" s="47" t="n"/>
      <c r="H33" s="17" t="n"/>
      <c r="I33" s="42">
        <f>IF(OR(B33="",F33=""),"",MAX(0,FECHA_CORTE-F33))</f>
        <v/>
      </c>
      <c r="J33" s="19">
        <f>IF(B33="","",IF(H33="TERMINADO","CUMPLIDO",IF(G33="","SIN FECHA",IF(G33&lt;FECHA_CORTE,"VENCIDO",IF(G33-FECHA_CORTE&lt;=2,"POR VENCER","EN TIEMPO")))))</f>
        <v/>
      </c>
      <c r="K33" s="17" t="n"/>
    </row>
    <row r="34">
      <c r="A34" s="46" t="n">
        <v>30</v>
      </c>
      <c r="B34" s="17" t="n"/>
      <c r="C34" s="17" t="n"/>
      <c r="D34" s="17" t="n"/>
      <c r="E34" s="17" t="n"/>
      <c r="F34" s="47" t="n"/>
      <c r="G34" s="47" t="n"/>
      <c r="H34" s="17" t="n"/>
      <c r="I34" s="42">
        <f>IF(OR(B34="",F34=""),"",MAX(0,FECHA_CORTE-F34))</f>
        <v/>
      </c>
      <c r="J34" s="19">
        <f>IF(B34="","",IF(H34="TERMINADO","CUMPLIDO",IF(G34="","SIN FECHA",IF(G34&lt;FECHA_CORTE,"VENCIDO",IF(G34-FECHA_CORTE&lt;=2,"POR VENCER","EN TIEMPO")))))</f>
        <v/>
      </c>
      <c r="K34" s="17" t="n"/>
    </row>
    <row r="35">
      <c r="A35" s="46" t="n">
        <v>31</v>
      </c>
      <c r="B35" s="17" t="n"/>
      <c r="C35" s="17" t="n"/>
      <c r="D35" s="17" t="n"/>
      <c r="E35" s="17" t="n"/>
      <c r="F35" s="47" t="n"/>
      <c r="G35" s="47" t="n"/>
      <c r="H35" s="17" t="n"/>
      <c r="I35" s="42">
        <f>IF(OR(B35="",F35=""),"",MAX(0,FECHA_CORTE-F35))</f>
        <v/>
      </c>
      <c r="J35" s="19">
        <f>IF(B35="","",IF(H35="TERMINADO","CUMPLIDO",IF(G35="","SIN FECHA",IF(G35&lt;FECHA_CORTE,"VENCIDO",IF(G35-FECHA_CORTE&lt;=2,"POR VENCER","EN TIEMPO")))))</f>
        <v/>
      </c>
      <c r="K35" s="17" t="n"/>
    </row>
    <row r="36">
      <c r="A36" s="46" t="n">
        <v>32</v>
      </c>
      <c r="B36" s="17" t="n"/>
      <c r="C36" s="17" t="n"/>
      <c r="D36" s="17" t="n"/>
      <c r="E36" s="17" t="n"/>
      <c r="F36" s="47" t="n"/>
      <c r="G36" s="47" t="n"/>
      <c r="H36" s="17" t="n"/>
      <c r="I36" s="42">
        <f>IF(OR(B36="",F36=""),"",MAX(0,FECHA_CORTE-F36))</f>
        <v/>
      </c>
      <c r="J36" s="19">
        <f>IF(B36="","",IF(H36="TERMINADO","CUMPLIDO",IF(G36="","SIN FECHA",IF(G36&lt;FECHA_CORTE,"VENCIDO",IF(G36-FECHA_CORTE&lt;=2,"POR VENCER","EN TIEMPO")))))</f>
        <v/>
      </c>
      <c r="K36" s="17" t="n"/>
    </row>
    <row r="37">
      <c r="A37" s="46" t="n">
        <v>33</v>
      </c>
      <c r="B37" s="17" t="n"/>
      <c r="C37" s="17" t="n"/>
      <c r="D37" s="17" t="n"/>
      <c r="E37" s="17" t="n"/>
      <c r="F37" s="47" t="n"/>
      <c r="G37" s="47" t="n"/>
      <c r="H37" s="17" t="n"/>
      <c r="I37" s="42">
        <f>IF(OR(B37="",F37=""),"",MAX(0,FECHA_CORTE-F37))</f>
        <v/>
      </c>
      <c r="J37" s="19">
        <f>IF(B37="","",IF(H37="TERMINADO","CUMPLIDO",IF(G37="","SIN FECHA",IF(G37&lt;FECHA_CORTE,"VENCIDO",IF(G37-FECHA_CORTE&lt;=2,"POR VENCER","EN TIEMPO")))))</f>
        <v/>
      </c>
      <c r="K37" s="17" t="n"/>
    </row>
    <row r="38">
      <c r="A38" s="46" t="n">
        <v>34</v>
      </c>
      <c r="B38" s="17" t="n"/>
      <c r="C38" s="17" t="n"/>
      <c r="D38" s="17" t="n"/>
      <c r="E38" s="17" t="n"/>
      <c r="F38" s="47" t="n"/>
      <c r="G38" s="47" t="n"/>
      <c r="H38" s="17" t="n"/>
      <c r="I38" s="42">
        <f>IF(OR(B38="",F38=""),"",MAX(0,FECHA_CORTE-F38))</f>
        <v/>
      </c>
      <c r="J38" s="19">
        <f>IF(B38="","",IF(H38="TERMINADO","CUMPLIDO",IF(G38="","SIN FECHA",IF(G38&lt;FECHA_CORTE,"VENCIDO",IF(G38-FECHA_CORTE&lt;=2,"POR VENCER","EN TIEMPO")))))</f>
        <v/>
      </c>
      <c r="K38" s="17" t="n"/>
    </row>
    <row r="39">
      <c r="A39" s="46" t="n">
        <v>35</v>
      </c>
      <c r="B39" s="17" t="n"/>
      <c r="C39" s="17" t="n"/>
      <c r="D39" s="17" t="n"/>
      <c r="E39" s="17" t="n"/>
      <c r="F39" s="47" t="n"/>
      <c r="G39" s="47" t="n"/>
      <c r="H39" s="17" t="n"/>
      <c r="I39" s="42">
        <f>IF(OR(B39="",F39=""),"",MAX(0,FECHA_CORTE-F39))</f>
        <v/>
      </c>
      <c r="J39" s="19">
        <f>IF(B39="","",IF(H39="TERMINADO","CUMPLIDO",IF(G39="","SIN FECHA",IF(G39&lt;FECHA_CORTE,"VENCIDO",IF(G39-FECHA_CORTE&lt;=2,"POR VENCER","EN TIEMPO")))))</f>
        <v/>
      </c>
      <c r="K39" s="17" t="n"/>
    </row>
    <row r="40">
      <c r="A40" s="46" t="n">
        <v>36</v>
      </c>
      <c r="B40" s="17" t="n"/>
      <c r="C40" s="17" t="n"/>
      <c r="D40" s="17" t="n"/>
      <c r="E40" s="17" t="n"/>
      <c r="F40" s="47" t="n"/>
      <c r="G40" s="47" t="n"/>
      <c r="H40" s="17" t="n"/>
      <c r="I40" s="42">
        <f>IF(OR(B40="",F40=""),"",MAX(0,FECHA_CORTE-F40))</f>
        <v/>
      </c>
      <c r="J40" s="19">
        <f>IF(B40="","",IF(H40="TERMINADO","CUMPLIDO",IF(G40="","SIN FECHA",IF(G40&lt;FECHA_CORTE,"VENCIDO",IF(G40-FECHA_CORTE&lt;=2,"POR VENCER","EN TIEMPO")))))</f>
        <v/>
      </c>
      <c r="K40" s="17" t="n"/>
    </row>
    <row r="41">
      <c r="A41" s="46" t="n">
        <v>37</v>
      </c>
      <c r="B41" s="17" t="n"/>
      <c r="C41" s="17" t="n"/>
      <c r="D41" s="17" t="n"/>
      <c r="E41" s="17" t="n"/>
      <c r="F41" s="47" t="n"/>
      <c r="G41" s="47" t="n"/>
      <c r="H41" s="17" t="n"/>
      <c r="I41" s="42">
        <f>IF(OR(B41="",F41=""),"",MAX(0,FECHA_CORTE-F41))</f>
        <v/>
      </c>
      <c r="J41" s="19">
        <f>IF(B41="","",IF(H41="TERMINADO","CUMPLIDO",IF(G41="","SIN FECHA",IF(G41&lt;FECHA_CORTE,"VENCIDO",IF(G41-FECHA_CORTE&lt;=2,"POR VENCER","EN TIEMPO")))))</f>
        <v/>
      </c>
      <c r="K41" s="17" t="n"/>
    </row>
    <row r="42">
      <c r="A42" s="46" t="n">
        <v>38</v>
      </c>
      <c r="B42" s="17" t="n"/>
      <c r="C42" s="17" t="n"/>
      <c r="D42" s="17" t="n"/>
      <c r="E42" s="17" t="n"/>
      <c r="F42" s="47" t="n"/>
      <c r="G42" s="47" t="n"/>
      <c r="H42" s="17" t="n"/>
      <c r="I42" s="42">
        <f>IF(OR(B42="",F42=""),"",MAX(0,FECHA_CORTE-F42))</f>
        <v/>
      </c>
      <c r="J42" s="19">
        <f>IF(B42="","",IF(H42="TERMINADO","CUMPLIDO",IF(G42="","SIN FECHA",IF(G42&lt;FECHA_CORTE,"VENCIDO",IF(G42-FECHA_CORTE&lt;=2,"POR VENCER","EN TIEMPO")))))</f>
        <v/>
      </c>
      <c r="K42" s="17" t="n"/>
    </row>
    <row r="43">
      <c r="A43" s="46" t="n">
        <v>39</v>
      </c>
      <c r="B43" s="17" t="n"/>
      <c r="C43" s="17" t="n"/>
      <c r="D43" s="17" t="n"/>
      <c r="E43" s="17" t="n"/>
      <c r="F43" s="47" t="n"/>
      <c r="G43" s="47" t="n"/>
      <c r="H43" s="17" t="n"/>
      <c r="I43" s="42">
        <f>IF(OR(B43="",F43=""),"",MAX(0,FECHA_CORTE-F43))</f>
        <v/>
      </c>
      <c r="J43" s="19">
        <f>IF(B43="","",IF(H43="TERMINADO","CUMPLIDO",IF(G43="","SIN FECHA",IF(G43&lt;FECHA_CORTE,"VENCIDO",IF(G43-FECHA_CORTE&lt;=2,"POR VENCER","EN TIEMPO")))))</f>
        <v/>
      </c>
      <c r="K43" s="17" t="n"/>
    </row>
    <row r="44">
      <c r="A44" s="46" t="n">
        <v>40</v>
      </c>
      <c r="B44" s="17" t="n"/>
      <c r="C44" s="17" t="n"/>
      <c r="D44" s="17" t="n"/>
      <c r="E44" s="17" t="n"/>
      <c r="F44" s="47" t="n"/>
      <c r="G44" s="47" t="n"/>
      <c r="H44" s="17" t="n"/>
      <c r="I44" s="42">
        <f>IF(OR(B44="",F44=""),"",MAX(0,FECHA_CORTE-F44))</f>
        <v/>
      </c>
      <c r="J44" s="19">
        <f>IF(B44="","",IF(H44="TERMINADO","CUMPLIDO",IF(G44="","SIN FECHA",IF(G44&lt;FECHA_CORTE,"VENCIDO",IF(G44-FECHA_CORTE&lt;=2,"POR VENCER","EN TIEMPO")))))</f>
        <v/>
      </c>
      <c r="K44" s="17" t="n"/>
    </row>
    <row r="45">
      <c r="A45" s="46" t="n">
        <v>41</v>
      </c>
      <c r="B45" s="17" t="n"/>
      <c r="C45" s="17" t="n"/>
      <c r="D45" s="17" t="n"/>
      <c r="E45" s="17" t="n"/>
      <c r="F45" s="47" t="n"/>
      <c r="G45" s="47" t="n"/>
      <c r="H45" s="17" t="n"/>
      <c r="I45" s="42">
        <f>IF(OR(B45="",F45=""),"",MAX(0,FECHA_CORTE-F45))</f>
        <v/>
      </c>
      <c r="J45" s="19">
        <f>IF(B45="","",IF(H45="TERMINADO","CUMPLIDO",IF(G45="","SIN FECHA",IF(G45&lt;FECHA_CORTE,"VENCIDO",IF(G45-FECHA_CORTE&lt;=2,"POR VENCER","EN TIEMPO")))))</f>
        <v/>
      </c>
      <c r="K45" s="17" t="n"/>
    </row>
    <row r="46">
      <c r="A46" s="46" t="n">
        <v>42</v>
      </c>
      <c r="B46" s="17" t="n"/>
      <c r="C46" s="17" t="n"/>
      <c r="D46" s="17" t="n"/>
      <c r="E46" s="17" t="n"/>
      <c r="F46" s="47" t="n"/>
      <c r="G46" s="47" t="n"/>
      <c r="H46" s="17" t="n"/>
      <c r="I46" s="42">
        <f>IF(OR(B46="",F46=""),"",MAX(0,FECHA_CORTE-F46))</f>
        <v/>
      </c>
      <c r="J46" s="19">
        <f>IF(B46="","",IF(H46="TERMINADO","CUMPLIDO",IF(G46="","SIN FECHA",IF(G46&lt;FECHA_CORTE,"VENCIDO",IF(G46-FECHA_CORTE&lt;=2,"POR VENCER","EN TIEMPO")))))</f>
        <v/>
      </c>
      <c r="K46" s="17" t="n"/>
    </row>
    <row r="47">
      <c r="A47" s="46" t="n">
        <v>43</v>
      </c>
      <c r="B47" s="17" t="n"/>
      <c r="C47" s="17" t="n"/>
      <c r="D47" s="17" t="n"/>
      <c r="E47" s="17" t="n"/>
      <c r="F47" s="47" t="n"/>
      <c r="G47" s="47" t="n"/>
      <c r="H47" s="17" t="n"/>
      <c r="I47" s="42">
        <f>IF(OR(B47="",F47=""),"",MAX(0,FECHA_CORTE-F47))</f>
        <v/>
      </c>
      <c r="J47" s="19">
        <f>IF(B47="","",IF(H47="TERMINADO","CUMPLIDO",IF(G47="","SIN FECHA",IF(G47&lt;FECHA_CORTE,"VENCIDO",IF(G47-FECHA_CORTE&lt;=2,"POR VENCER","EN TIEMPO")))))</f>
        <v/>
      </c>
      <c r="K47" s="17" t="n"/>
    </row>
    <row r="48">
      <c r="A48" s="46" t="n">
        <v>44</v>
      </c>
      <c r="B48" s="17" t="n"/>
      <c r="C48" s="17" t="n"/>
      <c r="D48" s="17" t="n"/>
      <c r="E48" s="17" t="n"/>
      <c r="F48" s="47" t="n"/>
      <c r="G48" s="47" t="n"/>
      <c r="H48" s="17" t="n"/>
      <c r="I48" s="42">
        <f>IF(OR(B48="",F48=""),"",MAX(0,FECHA_CORTE-F48))</f>
        <v/>
      </c>
      <c r="J48" s="19">
        <f>IF(B48="","",IF(H48="TERMINADO","CUMPLIDO",IF(G48="","SIN FECHA",IF(G48&lt;FECHA_CORTE,"VENCIDO",IF(G48-FECHA_CORTE&lt;=2,"POR VENCER","EN TIEMPO")))))</f>
        <v/>
      </c>
      <c r="K48" s="17" t="n"/>
    </row>
    <row r="49">
      <c r="A49" s="46" t="n">
        <v>45</v>
      </c>
      <c r="B49" s="17" t="n"/>
      <c r="C49" s="17" t="n"/>
      <c r="D49" s="17" t="n"/>
      <c r="E49" s="17" t="n"/>
      <c r="F49" s="47" t="n"/>
      <c r="G49" s="47" t="n"/>
      <c r="H49" s="17" t="n"/>
      <c r="I49" s="42">
        <f>IF(OR(B49="",F49=""),"",MAX(0,FECHA_CORTE-F49))</f>
        <v/>
      </c>
      <c r="J49" s="19">
        <f>IF(B49="","",IF(H49="TERMINADO","CUMPLIDO",IF(G49="","SIN FECHA",IF(G49&lt;FECHA_CORTE,"VENCIDO",IF(G49-FECHA_CORTE&lt;=2,"POR VENCER","EN TIEMPO")))))</f>
        <v/>
      </c>
      <c r="K49" s="17" t="n"/>
    </row>
    <row r="50">
      <c r="A50" s="46" t="n">
        <v>46</v>
      </c>
      <c r="B50" s="17" t="n"/>
      <c r="C50" s="17" t="n"/>
      <c r="D50" s="17" t="n"/>
      <c r="E50" s="17" t="n"/>
      <c r="F50" s="47" t="n"/>
      <c r="G50" s="47" t="n"/>
      <c r="H50" s="17" t="n"/>
      <c r="I50" s="42">
        <f>IF(OR(B50="",F50=""),"",MAX(0,FECHA_CORTE-F50))</f>
        <v/>
      </c>
      <c r="J50" s="19">
        <f>IF(B50="","",IF(H50="TERMINADO","CUMPLIDO",IF(G50="","SIN FECHA",IF(G50&lt;FECHA_CORTE,"VENCIDO",IF(G50-FECHA_CORTE&lt;=2,"POR VENCER","EN TIEMPO")))))</f>
        <v/>
      </c>
      <c r="K50" s="17" t="n"/>
    </row>
    <row r="51">
      <c r="A51" s="46" t="n">
        <v>47</v>
      </c>
      <c r="B51" s="17" t="n"/>
      <c r="C51" s="17" t="n"/>
      <c r="D51" s="17" t="n"/>
      <c r="E51" s="17" t="n"/>
      <c r="F51" s="47" t="n"/>
      <c r="G51" s="47" t="n"/>
      <c r="H51" s="17" t="n"/>
      <c r="I51" s="42">
        <f>IF(OR(B51="",F51=""),"",MAX(0,FECHA_CORTE-F51))</f>
        <v/>
      </c>
      <c r="J51" s="19">
        <f>IF(B51="","",IF(H51="TERMINADO","CUMPLIDO",IF(G51="","SIN FECHA",IF(G51&lt;FECHA_CORTE,"VENCIDO",IF(G51-FECHA_CORTE&lt;=2,"POR VENCER","EN TIEMPO")))))</f>
        <v/>
      </c>
      <c r="K51" s="17" t="n"/>
    </row>
    <row r="52">
      <c r="A52" s="46" t="n">
        <v>48</v>
      </c>
      <c r="B52" s="17" t="n"/>
      <c r="C52" s="17" t="n"/>
      <c r="D52" s="17" t="n"/>
      <c r="E52" s="17" t="n"/>
      <c r="F52" s="47" t="n"/>
      <c r="G52" s="47" t="n"/>
      <c r="H52" s="17" t="n"/>
      <c r="I52" s="42">
        <f>IF(OR(B52="",F52=""),"",MAX(0,FECHA_CORTE-F52))</f>
        <v/>
      </c>
      <c r="J52" s="19">
        <f>IF(B52="","",IF(H52="TERMINADO","CUMPLIDO",IF(G52="","SIN FECHA",IF(G52&lt;FECHA_CORTE,"VENCIDO",IF(G52-FECHA_CORTE&lt;=2,"POR VENCER","EN TIEMPO")))))</f>
        <v/>
      </c>
      <c r="K52" s="17" t="n"/>
    </row>
    <row r="53">
      <c r="A53" s="46" t="n">
        <v>49</v>
      </c>
      <c r="B53" s="17" t="n"/>
      <c r="C53" s="17" t="n"/>
      <c r="D53" s="17" t="n"/>
      <c r="E53" s="17" t="n"/>
      <c r="F53" s="47" t="n"/>
      <c r="G53" s="47" t="n"/>
      <c r="H53" s="17" t="n"/>
      <c r="I53" s="42">
        <f>IF(OR(B53="",F53=""),"",MAX(0,FECHA_CORTE-F53))</f>
        <v/>
      </c>
      <c r="J53" s="19">
        <f>IF(B53="","",IF(H53="TERMINADO","CUMPLIDO",IF(G53="","SIN FECHA",IF(G53&lt;FECHA_CORTE,"VENCIDO",IF(G53-FECHA_CORTE&lt;=2,"POR VENCER","EN TIEMPO")))))</f>
        <v/>
      </c>
      <c r="K53" s="17" t="n"/>
    </row>
    <row r="54">
      <c r="A54" s="46" t="n">
        <v>50</v>
      </c>
      <c r="B54" s="17" t="n"/>
      <c r="C54" s="17" t="n"/>
      <c r="D54" s="17" t="n"/>
      <c r="E54" s="17" t="n"/>
      <c r="F54" s="47" t="n"/>
      <c r="G54" s="47" t="n"/>
      <c r="H54" s="17" t="n"/>
      <c r="I54" s="42">
        <f>IF(OR(B54="",F54=""),"",MAX(0,FECHA_CORTE-F54))</f>
        <v/>
      </c>
      <c r="J54" s="19">
        <f>IF(B54="","",IF(H54="TERMINADO","CUMPLIDO",IF(G54="","SIN FECHA",IF(G54&lt;FECHA_CORTE,"VENCIDO",IF(G54-FECHA_CORTE&lt;=2,"POR VENCER","EN TIEMPO")))))</f>
        <v/>
      </c>
      <c r="K54" s="17" t="n"/>
    </row>
    <row r="55">
      <c r="A55" s="46" t="n">
        <v>51</v>
      </c>
      <c r="B55" s="17" t="n"/>
      <c r="C55" s="17" t="n"/>
      <c r="D55" s="17" t="n"/>
      <c r="E55" s="17" t="n"/>
      <c r="F55" s="47" t="n"/>
      <c r="G55" s="47" t="n"/>
      <c r="H55" s="17" t="n"/>
      <c r="I55" s="42">
        <f>IF(OR(B55="",F55=""),"",MAX(0,FECHA_CORTE-F55))</f>
        <v/>
      </c>
      <c r="J55" s="19">
        <f>IF(B55="","",IF(H55="TERMINADO","CUMPLIDO",IF(G55="","SIN FECHA",IF(G55&lt;FECHA_CORTE,"VENCIDO",IF(G55-FECHA_CORTE&lt;=2,"POR VENCER","EN TIEMPO")))))</f>
        <v/>
      </c>
      <c r="K55" s="17" t="n"/>
    </row>
    <row r="56">
      <c r="A56" s="46" t="n">
        <v>52</v>
      </c>
      <c r="B56" s="17" t="n"/>
      <c r="C56" s="17" t="n"/>
      <c r="D56" s="17" t="n"/>
      <c r="E56" s="17" t="n"/>
      <c r="F56" s="47" t="n"/>
      <c r="G56" s="47" t="n"/>
      <c r="H56" s="17" t="n"/>
      <c r="I56" s="42">
        <f>IF(OR(B56="",F56=""),"",MAX(0,FECHA_CORTE-F56))</f>
        <v/>
      </c>
      <c r="J56" s="19">
        <f>IF(B56="","",IF(H56="TERMINADO","CUMPLIDO",IF(G56="","SIN FECHA",IF(G56&lt;FECHA_CORTE,"VENCIDO",IF(G56-FECHA_CORTE&lt;=2,"POR VENCER","EN TIEMPO")))))</f>
        <v/>
      </c>
      <c r="K56" s="17" t="n"/>
    </row>
    <row r="57">
      <c r="A57" s="46" t="n">
        <v>53</v>
      </c>
      <c r="B57" s="17" t="n"/>
      <c r="C57" s="17" t="n"/>
      <c r="D57" s="17" t="n"/>
      <c r="E57" s="17" t="n"/>
      <c r="F57" s="47" t="n"/>
      <c r="G57" s="47" t="n"/>
      <c r="H57" s="17" t="n"/>
      <c r="I57" s="42">
        <f>IF(OR(B57="",F57=""),"",MAX(0,FECHA_CORTE-F57))</f>
        <v/>
      </c>
      <c r="J57" s="19">
        <f>IF(B57="","",IF(H57="TERMINADO","CUMPLIDO",IF(G57="","SIN FECHA",IF(G57&lt;FECHA_CORTE,"VENCIDO",IF(G57-FECHA_CORTE&lt;=2,"POR VENCER","EN TIEMPO")))))</f>
        <v/>
      </c>
      <c r="K57" s="17" t="n"/>
    </row>
    <row r="58">
      <c r="A58" s="46" t="n">
        <v>54</v>
      </c>
      <c r="B58" s="17" t="n"/>
      <c r="C58" s="17" t="n"/>
      <c r="D58" s="17" t="n"/>
      <c r="E58" s="17" t="n"/>
      <c r="F58" s="47" t="n"/>
      <c r="G58" s="47" t="n"/>
      <c r="H58" s="17" t="n"/>
      <c r="I58" s="42">
        <f>IF(OR(B58="",F58=""),"",MAX(0,FECHA_CORTE-F58))</f>
        <v/>
      </c>
      <c r="J58" s="19">
        <f>IF(B58="","",IF(H58="TERMINADO","CUMPLIDO",IF(G58="","SIN FECHA",IF(G58&lt;FECHA_CORTE,"VENCIDO",IF(G58-FECHA_CORTE&lt;=2,"POR VENCER","EN TIEMPO")))))</f>
        <v/>
      </c>
      <c r="K58" s="17" t="n"/>
    </row>
    <row r="59">
      <c r="A59" s="46" t="n">
        <v>55</v>
      </c>
      <c r="B59" s="17" t="n"/>
      <c r="C59" s="17" t="n"/>
      <c r="D59" s="17" t="n"/>
      <c r="E59" s="17" t="n"/>
      <c r="F59" s="47" t="n"/>
      <c r="G59" s="47" t="n"/>
      <c r="H59" s="17" t="n"/>
      <c r="I59" s="42">
        <f>IF(OR(B59="",F59=""),"",MAX(0,FECHA_CORTE-F59))</f>
        <v/>
      </c>
      <c r="J59" s="19">
        <f>IF(B59="","",IF(H59="TERMINADO","CUMPLIDO",IF(G59="","SIN FECHA",IF(G59&lt;FECHA_CORTE,"VENCIDO",IF(G59-FECHA_CORTE&lt;=2,"POR VENCER","EN TIEMPO")))))</f>
        <v/>
      </c>
      <c r="K59" s="17" t="n"/>
    </row>
    <row r="60">
      <c r="A60" s="46" t="n">
        <v>56</v>
      </c>
      <c r="B60" s="17" t="n"/>
      <c r="C60" s="17" t="n"/>
      <c r="D60" s="17" t="n"/>
      <c r="E60" s="17" t="n"/>
      <c r="F60" s="47" t="n"/>
      <c r="G60" s="47" t="n"/>
      <c r="H60" s="17" t="n"/>
      <c r="I60" s="42">
        <f>IF(OR(B60="",F60=""),"",MAX(0,FECHA_CORTE-F60))</f>
        <v/>
      </c>
      <c r="J60" s="19">
        <f>IF(B60="","",IF(H60="TERMINADO","CUMPLIDO",IF(G60="","SIN FECHA",IF(G60&lt;FECHA_CORTE,"VENCIDO",IF(G60-FECHA_CORTE&lt;=2,"POR VENCER","EN TIEMPO")))))</f>
        <v/>
      </c>
      <c r="K60" s="17" t="n"/>
    </row>
    <row r="61">
      <c r="A61" s="46" t="n">
        <v>57</v>
      </c>
      <c r="B61" s="17" t="n"/>
      <c r="C61" s="17" t="n"/>
      <c r="D61" s="17" t="n"/>
      <c r="E61" s="17" t="n"/>
      <c r="F61" s="47" t="n"/>
      <c r="G61" s="47" t="n"/>
      <c r="H61" s="17" t="n"/>
      <c r="I61" s="42">
        <f>IF(OR(B61="",F61=""),"",MAX(0,FECHA_CORTE-F61))</f>
        <v/>
      </c>
      <c r="J61" s="19">
        <f>IF(B61="","",IF(H61="TERMINADO","CUMPLIDO",IF(G61="","SIN FECHA",IF(G61&lt;FECHA_CORTE,"VENCIDO",IF(G61-FECHA_CORTE&lt;=2,"POR VENCER","EN TIEMPO")))))</f>
        <v/>
      </c>
      <c r="K61" s="17" t="n"/>
    </row>
    <row r="62">
      <c r="A62" s="46" t="n">
        <v>58</v>
      </c>
      <c r="B62" s="17" t="n"/>
      <c r="C62" s="17" t="n"/>
      <c r="D62" s="17" t="n"/>
      <c r="E62" s="17" t="n"/>
      <c r="F62" s="47" t="n"/>
      <c r="G62" s="47" t="n"/>
      <c r="H62" s="17" t="n"/>
      <c r="I62" s="42">
        <f>IF(OR(B62="",F62=""),"",MAX(0,FECHA_CORTE-F62))</f>
        <v/>
      </c>
      <c r="J62" s="19">
        <f>IF(B62="","",IF(H62="TERMINADO","CUMPLIDO",IF(G62="","SIN FECHA",IF(G62&lt;FECHA_CORTE,"VENCIDO",IF(G62-FECHA_CORTE&lt;=2,"POR VENCER","EN TIEMPO")))))</f>
        <v/>
      </c>
      <c r="K62" s="17" t="n"/>
    </row>
    <row r="63">
      <c r="A63" s="46" t="n">
        <v>59</v>
      </c>
      <c r="B63" s="17" t="n"/>
      <c r="C63" s="17" t="n"/>
      <c r="D63" s="17" t="n"/>
      <c r="E63" s="17" t="n"/>
      <c r="F63" s="47" t="n"/>
      <c r="G63" s="47" t="n"/>
      <c r="H63" s="17" t="n"/>
      <c r="I63" s="42">
        <f>IF(OR(B63="",F63=""),"",MAX(0,FECHA_CORTE-F63))</f>
        <v/>
      </c>
      <c r="J63" s="19">
        <f>IF(B63="","",IF(H63="TERMINADO","CUMPLIDO",IF(G63="","SIN FECHA",IF(G63&lt;FECHA_CORTE,"VENCIDO",IF(G63-FECHA_CORTE&lt;=2,"POR VENCER","EN TIEMPO")))))</f>
        <v/>
      </c>
      <c r="K63" s="17" t="n"/>
    </row>
    <row r="64">
      <c r="A64" s="46" t="n">
        <v>60</v>
      </c>
      <c r="B64" s="17" t="n"/>
      <c r="C64" s="17" t="n"/>
      <c r="D64" s="17" t="n"/>
      <c r="E64" s="17" t="n"/>
      <c r="F64" s="47" t="n"/>
      <c r="G64" s="47" t="n"/>
      <c r="H64" s="17" t="n"/>
      <c r="I64" s="42">
        <f>IF(OR(B64="",F64=""),"",MAX(0,FECHA_CORTE-F64))</f>
        <v/>
      </c>
      <c r="J64" s="19">
        <f>IF(B64="","",IF(H64="TERMINADO","CUMPLIDO",IF(G64="","SIN FECHA",IF(G64&lt;FECHA_CORTE,"VENCIDO",IF(G64-FECHA_CORTE&lt;=2,"POR VENCER","EN TIEMPO")))))</f>
        <v/>
      </c>
      <c r="K64" s="17" t="n"/>
    </row>
    <row r="65">
      <c r="A65" s="46" t="n">
        <v>61</v>
      </c>
      <c r="B65" s="17" t="n"/>
      <c r="C65" s="17" t="n"/>
      <c r="D65" s="17" t="n"/>
      <c r="E65" s="17" t="n"/>
      <c r="F65" s="47" t="n"/>
      <c r="G65" s="47" t="n"/>
      <c r="H65" s="17" t="n"/>
      <c r="I65" s="42">
        <f>IF(OR(B65="",F65=""),"",MAX(0,FECHA_CORTE-F65))</f>
        <v/>
      </c>
      <c r="J65" s="19">
        <f>IF(B65="","",IF(H65="TERMINADO","CUMPLIDO",IF(G65="","SIN FECHA",IF(G65&lt;FECHA_CORTE,"VENCIDO",IF(G65-FECHA_CORTE&lt;=2,"POR VENCER","EN TIEMPO")))))</f>
        <v/>
      </c>
      <c r="K65" s="17" t="n"/>
    </row>
    <row r="66">
      <c r="A66" s="46" t="n">
        <v>62</v>
      </c>
      <c r="B66" s="17" t="n"/>
      <c r="C66" s="17" t="n"/>
      <c r="D66" s="17" t="n"/>
      <c r="E66" s="17" t="n"/>
      <c r="F66" s="47" t="n"/>
      <c r="G66" s="47" t="n"/>
      <c r="H66" s="17" t="n"/>
      <c r="I66" s="42">
        <f>IF(OR(B66="",F66=""),"",MAX(0,FECHA_CORTE-F66))</f>
        <v/>
      </c>
      <c r="J66" s="19">
        <f>IF(B66="","",IF(H66="TERMINADO","CUMPLIDO",IF(G66="","SIN FECHA",IF(G66&lt;FECHA_CORTE,"VENCIDO",IF(G66-FECHA_CORTE&lt;=2,"POR VENCER","EN TIEMPO")))))</f>
        <v/>
      </c>
      <c r="K66" s="17" t="n"/>
    </row>
    <row r="67">
      <c r="A67" s="46" t="n">
        <v>63</v>
      </c>
      <c r="B67" s="17" t="n"/>
      <c r="C67" s="17" t="n"/>
      <c r="D67" s="17" t="n"/>
      <c r="E67" s="17" t="n"/>
      <c r="F67" s="47" t="n"/>
      <c r="G67" s="47" t="n"/>
      <c r="H67" s="17" t="n"/>
      <c r="I67" s="42">
        <f>IF(OR(B67="",F67=""),"",MAX(0,FECHA_CORTE-F67))</f>
        <v/>
      </c>
      <c r="J67" s="19">
        <f>IF(B67="","",IF(H67="TERMINADO","CUMPLIDO",IF(G67="","SIN FECHA",IF(G67&lt;FECHA_CORTE,"VENCIDO",IF(G67-FECHA_CORTE&lt;=2,"POR VENCER","EN TIEMPO")))))</f>
        <v/>
      </c>
      <c r="K67" s="17" t="n"/>
    </row>
    <row r="68">
      <c r="A68" s="46" t="n">
        <v>64</v>
      </c>
      <c r="B68" s="17" t="n"/>
      <c r="C68" s="17" t="n"/>
      <c r="D68" s="17" t="n"/>
      <c r="E68" s="17" t="n"/>
      <c r="F68" s="47" t="n"/>
      <c r="G68" s="47" t="n"/>
      <c r="H68" s="17" t="n"/>
      <c r="I68" s="42">
        <f>IF(OR(B68="",F68=""),"",MAX(0,FECHA_CORTE-F68))</f>
        <v/>
      </c>
      <c r="J68" s="19">
        <f>IF(B68="","",IF(H68="TERMINADO","CUMPLIDO",IF(G68="","SIN FECHA",IF(G68&lt;FECHA_CORTE,"VENCIDO",IF(G68-FECHA_CORTE&lt;=2,"POR VENCER","EN TIEMPO")))))</f>
        <v/>
      </c>
      <c r="K68" s="17" t="n"/>
    </row>
    <row r="69">
      <c r="A69" s="46" t="n">
        <v>65</v>
      </c>
      <c r="B69" s="17" t="n"/>
      <c r="C69" s="17" t="n"/>
      <c r="D69" s="17" t="n"/>
      <c r="E69" s="17" t="n"/>
      <c r="F69" s="47" t="n"/>
      <c r="G69" s="47" t="n"/>
      <c r="H69" s="17" t="n"/>
      <c r="I69" s="42">
        <f>IF(OR(B69="",F69=""),"",MAX(0,FECHA_CORTE-F69))</f>
        <v/>
      </c>
      <c r="J69" s="19">
        <f>IF(B69="","",IF(H69="TERMINADO","CUMPLIDO",IF(G69="","SIN FECHA",IF(G69&lt;FECHA_CORTE,"VENCIDO",IF(G69-FECHA_CORTE&lt;=2,"POR VENCER","EN TIEMPO")))))</f>
        <v/>
      </c>
      <c r="K69" s="17" t="n"/>
    </row>
    <row r="70">
      <c r="A70" s="46" t="n">
        <v>66</v>
      </c>
      <c r="B70" s="17" t="n"/>
      <c r="C70" s="17" t="n"/>
      <c r="D70" s="17" t="n"/>
      <c r="E70" s="17" t="n"/>
      <c r="F70" s="47" t="n"/>
      <c r="G70" s="47" t="n"/>
      <c r="H70" s="17" t="n"/>
      <c r="I70" s="42">
        <f>IF(OR(B70="",F70=""),"",MAX(0,FECHA_CORTE-F70))</f>
        <v/>
      </c>
      <c r="J70" s="19">
        <f>IF(B70="","",IF(H70="TERMINADO","CUMPLIDO",IF(G70="","SIN FECHA",IF(G70&lt;FECHA_CORTE,"VENCIDO",IF(G70-FECHA_CORTE&lt;=2,"POR VENCER","EN TIEMPO")))))</f>
        <v/>
      </c>
      <c r="K70" s="17" t="n"/>
    </row>
    <row r="71">
      <c r="A71" s="46" t="n">
        <v>67</v>
      </c>
      <c r="B71" s="17" t="n"/>
      <c r="C71" s="17" t="n"/>
      <c r="D71" s="17" t="n"/>
      <c r="E71" s="17" t="n"/>
      <c r="F71" s="47" t="n"/>
      <c r="G71" s="47" t="n"/>
      <c r="H71" s="17" t="n"/>
      <c r="I71" s="42">
        <f>IF(OR(B71="",F71=""),"",MAX(0,FECHA_CORTE-F71))</f>
        <v/>
      </c>
      <c r="J71" s="19">
        <f>IF(B71="","",IF(H71="TERMINADO","CUMPLIDO",IF(G71="","SIN FECHA",IF(G71&lt;FECHA_CORTE,"VENCIDO",IF(G71-FECHA_CORTE&lt;=2,"POR VENCER","EN TIEMPO")))))</f>
        <v/>
      </c>
      <c r="K71" s="17" t="n"/>
    </row>
    <row r="72">
      <c r="A72" s="46" t="n">
        <v>68</v>
      </c>
      <c r="B72" s="17" t="n"/>
      <c r="C72" s="17" t="n"/>
      <c r="D72" s="17" t="n"/>
      <c r="E72" s="17" t="n"/>
      <c r="F72" s="47" t="n"/>
      <c r="G72" s="47" t="n"/>
      <c r="H72" s="17" t="n"/>
      <c r="I72" s="42">
        <f>IF(OR(B72="",F72=""),"",MAX(0,FECHA_CORTE-F72))</f>
        <v/>
      </c>
      <c r="J72" s="19">
        <f>IF(B72="","",IF(H72="TERMINADO","CUMPLIDO",IF(G72="","SIN FECHA",IF(G72&lt;FECHA_CORTE,"VENCIDO",IF(G72-FECHA_CORTE&lt;=2,"POR VENCER","EN TIEMPO")))))</f>
        <v/>
      </c>
      <c r="K72" s="17" t="n"/>
    </row>
    <row r="73">
      <c r="A73" s="46" t="n">
        <v>69</v>
      </c>
      <c r="B73" s="17" t="n"/>
      <c r="C73" s="17" t="n"/>
      <c r="D73" s="17" t="n"/>
      <c r="E73" s="17" t="n"/>
      <c r="F73" s="47" t="n"/>
      <c r="G73" s="47" t="n"/>
      <c r="H73" s="17" t="n"/>
      <c r="I73" s="42">
        <f>IF(OR(B73="",F73=""),"",MAX(0,FECHA_CORTE-F73))</f>
        <v/>
      </c>
      <c r="J73" s="19">
        <f>IF(B73="","",IF(H73="TERMINADO","CUMPLIDO",IF(G73="","SIN FECHA",IF(G73&lt;FECHA_CORTE,"VENCIDO",IF(G73-FECHA_CORTE&lt;=2,"POR VENCER","EN TIEMPO")))))</f>
        <v/>
      </c>
      <c r="K73" s="17" t="n"/>
    </row>
    <row r="74">
      <c r="A74" s="46" t="n">
        <v>70</v>
      </c>
      <c r="B74" s="17" t="n"/>
      <c r="C74" s="17" t="n"/>
      <c r="D74" s="17" t="n"/>
      <c r="E74" s="17" t="n"/>
      <c r="F74" s="47" t="n"/>
      <c r="G74" s="47" t="n"/>
      <c r="H74" s="17" t="n"/>
      <c r="I74" s="42">
        <f>IF(OR(B74="",F74=""),"",MAX(0,FECHA_CORTE-F74))</f>
        <v/>
      </c>
      <c r="J74" s="19">
        <f>IF(B74="","",IF(H74="TERMINADO","CUMPLIDO",IF(G74="","SIN FECHA",IF(G74&lt;FECHA_CORTE,"VENCIDO",IF(G74-FECHA_CORTE&lt;=2,"POR VENCER","EN TIEMPO")))))</f>
        <v/>
      </c>
      <c r="K74" s="17" t="n"/>
    </row>
    <row r="75">
      <c r="A75" s="46" t="n">
        <v>71</v>
      </c>
      <c r="B75" s="17" t="n"/>
      <c r="C75" s="17" t="n"/>
      <c r="D75" s="17" t="n"/>
      <c r="E75" s="17" t="n"/>
      <c r="F75" s="47" t="n"/>
      <c r="G75" s="47" t="n"/>
      <c r="H75" s="17" t="n"/>
      <c r="I75" s="42">
        <f>IF(OR(B75="",F75=""),"",MAX(0,FECHA_CORTE-F75))</f>
        <v/>
      </c>
      <c r="J75" s="19">
        <f>IF(B75="","",IF(H75="TERMINADO","CUMPLIDO",IF(G75="","SIN FECHA",IF(G75&lt;FECHA_CORTE,"VENCIDO",IF(G75-FECHA_CORTE&lt;=2,"POR VENCER","EN TIEMPO")))))</f>
        <v/>
      </c>
      <c r="K75" s="17" t="n"/>
    </row>
    <row r="76">
      <c r="A76" s="46" t="n">
        <v>72</v>
      </c>
      <c r="B76" s="17" t="n"/>
      <c r="C76" s="17" t="n"/>
      <c r="D76" s="17" t="n"/>
      <c r="E76" s="17" t="n"/>
      <c r="F76" s="47" t="n"/>
      <c r="G76" s="47" t="n"/>
      <c r="H76" s="17" t="n"/>
      <c r="I76" s="42">
        <f>IF(OR(B76="",F76=""),"",MAX(0,FECHA_CORTE-F76))</f>
        <v/>
      </c>
      <c r="J76" s="19">
        <f>IF(B76="","",IF(H76="TERMINADO","CUMPLIDO",IF(G76="","SIN FECHA",IF(G76&lt;FECHA_CORTE,"VENCIDO",IF(G76-FECHA_CORTE&lt;=2,"POR VENCER","EN TIEMPO")))))</f>
        <v/>
      </c>
      <c r="K76" s="17" t="n"/>
    </row>
    <row r="77">
      <c r="A77" s="46" t="n">
        <v>73</v>
      </c>
      <c r="B77" s="17" t="n"/>
      <c r="C77" s="17" t="n"/>
      <c r="D77" s="17" t="n"/>
      <c r="E77" s="17" t="n"/>
      <c r="F77" s="47" t="n"/>
      <c r="G77" s="47" t="n"/>
      <c r="H77" s="17" t="n"/>
      <c r="I77" s="42">
        <f>IF(OR(B77="",F77=""),"",MAX(0,FECHA_CORTE-F77))</f>
        <v/>
      </c>
      <c r="J77" s="19">
        <f>IF(B77="","",IF(H77="TERMINADO","CUMPLIDO",IF(G77="","SIN FECHA",IF(G77&lt;FECHA_CORTE,"VENCIDO",IF(G77-FECHA_CORTE&lt;=2,"POR VENCER","EN TIEMPO")))))</f>
        <v/>
      </c>
      <c r="K77" s="17" t="n"/>
    </row>
    <row r="78">
      <c r="A78" s="46" t="n">
        <v>74</v>
      </c>
      <c r="B78" s="17" t="n"/>
      <c r="C78" s="17" t="n"/>
      <c r="D78" s="17" t="n"/>
      <c r="E78" s="17" t="n"/>
      <c r="F78" s="47" t="n"/>
      <c r="G78" s="47" t="n"/>
      <c r="H78" s="17" t="n"/>
      <c r="I78" s="42">
        <f>IF(OR(B78="",F78=""),"",MAX(0,FECHA_CORTE-F78))</f>
        <v/>
      </c>
      <c r="J78" s="19">
        <f>IF(B78="","",IF(H78="TERMINADO","CUMPLIDO",IF(G78="","SIN FECHA",IF(G78&lt;FECHA_CORTE,"VENCIDO",IF(G78-FECHA_CORTE&lt;=2,"POR VENCER","EN TIEMPO")))))</f>
        <v/>
      </c>
      <c r="K78" s="17" t="n"/>
    </row>
    <row r="79">
      <c r="A79" s="46" t="n">
        <v>75</v>
      </c>
      <c r="B79" s="17" t="n"/>
      <c r="C79" s="17" t="n"/>
      <c r="D79" s="17" t="n"/>
      <c r="E79" s="17" t="n"/>
      <c r="F79" s="47" t="n"/>
      <c r="G79" s="47" t="n"/>
      <c r="H79" s="17" t="n"/>
      <c r="I79" s="42">
        <f>IF(OR(B79="",F79=""),"",MAX(0,FECHA_CORTE-F79))</f>
        <v/>
      </c>
      <c r="J79" s="19">
        <f>IF(B79="","",IF(H79="TERMINADO","CUMPLIDO",IF(G79="","SIN FECHA",IF(G79&lt;FECHA_CORTE,"VENCIDO",IF(G79-FECHA_CORTE&lt;=2,"POR VENCER","EN TIEMPO")))))</f>
        <v/>
      </c>
      <c r="K79" s="17" t="n"/>
    </row>
    <row r="80">
      <c r="A80" s="46" t="n">
        <v>76</v>
      </c>
      <c r="B80" s="17" t="n"/>
      <c r="C80" s="17" t="n"/>
      <c r="D80" s="17" t="n"/>
      <c r="E80" s="17" t="n"/>
      <c r="F80" s="47" t="n"/>
      <c r="G80" s="47" t="n"/>
      <c r="H80" s="17" t="n"/>
      <c r="I80" s="42">
        <f>IF(OR(B80="",F80=""),"",MAX(0,FECHA_CORTE-F80))</f>
        <v/>
      </c>
      <c r="J80" s="19">
        <f>IF(B80="","",IF(H80="TERMINADO","CUMPLIDO",IF(G80="","SIN FECHA",IF(G80&lt;FECHA_CORTE,"VENCIDO",IF(G80-FECHA_CORTE&lt;=2,"POR VENCER","EN TIEMPO")))))</f>
        <v/>
      </c>
      <c r="K80" s="17" t="n"/>
    </row>
    <row r="81">
      <c r="A81" s="46" t="n">
        <v>77</v>
      </c>
      <c r="B81" s="17" t="n"/>
      <c r="C81" s="17" t="n"/>
      <c r="D81" s="17" t="n"/>
      <c r="E81" s="17" t="n"/>
      <c r="F81" s="47" t="n"/>
      <c r="G81" s="47" t="n"/>
      <c r="H81" s="17" t="n"/>
      <c r="I81" s="42">
        <f>IF(OR(B81="",F81=""),"",MAX(0,FECHA_CORTE-F81))</f>
        <v/>
      </c>
      <c r="J81" s="19">
        <f>IF(B81="","",IF(H81="TERMINADO","CUMPLIDO",IF(G81="","SIN FECHA",IF(G81&lt;FECHA_CORTE,"VENCIDO",IF(G81-FECHA_CORTE&lt;=2,"POR VENCER","EN TIEMPO")))))</f>
        <v/>
      </c>
      <c r="K81" s="17" t="n"/>
    </row>
    <row r="82">
      <c r="A82" s="46" t="n">
        <v>78</v>
      </c>
      <c r="B82" s="17" t="n"/>
      <c r="C82" s="17" t="n"/>
      <c r="D82" s="17" t="n"/>
      <c r="E82" s="17" t="n"/>
      <c r="F82" s="47" t="n"/>
      <c r="G82" s="47" t="n"/>
      <c r="H82" s="17" t="n"/>
      <c r="I82" s="42">
        <f>IF(OR(B82="",F82=""),"",MAX(0,FECHA_CORTE-F82))</f>
        <v/>
      </c>
      <c r="J82" s="19">
        <f>IF(B82="","",IF(H82="TERMINADO","CUMPLIDO",IF(G82="","SIN FECHA",IF(G82&lt;FECHA_CORTE,"VENCIDO",IF(G82-FECHA_CORTE&lt;=2,"POR VENCER","EN TIEMPO")))))</f>
        <v/>
      </c>
      <c r="K82" s="17" t="n"/>
    </row>
    <row r="83">
      <c r="A83" s="46" t="n">
        <v>79</v>
      </c>
      <c r="B83" s="17" t="n"/>
      <c r="C83" s="17" t="n"/>
      <c r="D83" s="17" t="n"/>
      <c r="E83" s="17" t="n"/>
      <c r="F83" s="47" t="n"/>
      <c r="G83" s="47" t="n"/>
      <c r="H83" s="17" t="n"/>
      <c r="I83" s="42">
        <f>IF(OR(B83="",F83=""),"",MAX(0,FECHA_CORTE-F83))</f>
        <v/>
      </c>
      <c r="J83" s="19">
        <f>IF(B83="","",IF(H83="TERMINADO","CUMPLIDO",IF(G83="","SIN FECHA",IF(G83&lt;FECHA_CORTE,"VENCIDO",IF(G83-FECHA_CORTE&lt;=2,"POR VENCER","EN TIEMPO")))))</f>
        <v/>
      </c>
      <c r="K83" s="17" t="n"/>
    </row>
    <row r="84">
      <c r="A84" s="46" t="n">
        <v>80</v>
      </c>
      <c r="B84" s="17" t="n"/>
      <c r="C84" s="17" t="n"/>
      <c r="D84" s="17" t="n"/>
      <c r="E84" s="17" t="n"/>
      <c r="F84" s="47" t="n"/>
      <c r="G84" s="47" t="n"/>
      <c r="H84" s="17" t="n"/>
      <c r="I84" s="42">
        <f>IF(OR(B84="",F84=""),"",MAX(0,FECHA_CORTE-F84))</f>
        <v/>
      </c>
      <c r="J84" s="19">
        <f>IF(B84="","",IF(H84="TERMINADO","CUMPLIDO",IF(G84="","SIN FECHA",IF(G84&lt;FECHA_CORTE,"VENCIDO",IF(G84-FECHA_CORTE&lt;=2,"POR VENCER","EN TIEMPO")))))</f>
        <v/>
      </c>
      <c r="K84" s="17" t="n"/>
    </row>
    <row r="85">
      <c r="A85" s="46" t="n">
        <v>81</v>
      </c>
      <c r="B85" s="17" t="n"/>
      <c r="C85" s="17" t="n"/>
      <c r="D85" s="17" t="n"/>
      <c r="E85" s="17" t="n"/>
      <c r="F85" s="47" t="n"/>
      <c r="G85" s="47" t="n"/>
      <c r="H85" s="17" t="n"/>
      <c r="I85" s="42">
        <f>IF(OR(B85="",F85=""),"",MAX(0,FECHA_CORTE-F85))</f>
        <v/>
      </c>
      <c r="J85" s="19">
        <f>IF(B85="","",IF(H85="TERMINADO","CUMPLIDO",IF(G85="","SIN FECHA",IF(G85&lt;FECHA_CORTE,"VENCIDO",IF(G85-FECHA_CORTE&lt;=2,"POR VENCER","EN TIEMPO")))))</f>
        <v/>
      </c>
      <c r="K85" s="17" t="n"/>
    </row>
    <row r="86">
      <c r="A86" s="46" t="n">
        <v>82</v>
      </c>
      <c r="B86" s="17" t="n"/>
      <c r="C86" s="17" t="n"/>
      <c r="D86" s="17" t="n"/>
      <c r="E86" s="17" t="n"/>
      <c r="F86" s="47" t="n"/>
      <c r="G86" s="47" t="n"/>
      <c r="H86" s="17" t="n"/>
      <c r="I86" s="42">
        <f>IF(OR(B86="",F86=""),"",MAX(0,FECHA_CORTE-F86))</f>
        <v/>
      </c>
      <c r="J86" s="19">
        <f>IF(B86="","",IF(H86="TERMINADO","CUMPLIDO",IF(G86="","SIN FECHA",IF(G86&lt;FECHA_CORTE,"VENCIDO",IF(G86-FECHA_CORTE&lt;=2,"POR VENCER","EN TIEMPO")))))</f>
        <v/>
      </c>
      <c r="K86" s="17" t="n"/>
    </row>
    <row r="87">
      <c r="A87" s="46" t="n">
        <v>83</v>
      </c>
      <c r="B87" s="17" t="n"/>
      <c r="C87" s="17" t="n"/>
      <c r="D87" s="17" t="n"/>
      <c r="E87" s="17" t="n"/>
      <c r="F87" s="47" t="n"/>
      <c r="G87" s="47" t="n"/>
      <c r="H87" s="17" t="n"/>
      <c r="I87" s="42">
        <f>IF(OR(B87="",F87=""),"",MAX(0,FECHA_CORTE-F87))</f>
        <v/>
      </c>
      <c r="J87" s="19">
        <f>IF(B87="","",IF(H87="TERMINADO","CUMPLIDO",IF(G87="","SIN FECHA",IF(G87&lt;FECHA_CORTE,"VENCIDO",IF(G87-FECHA_CORTE&lt;=2,"POR VENCER","EN TIEMPO")))))</f>
        <v/>
      </c>
      <c r="K87" s="17" t="n"/>
    </row>
    <row r="88">
      <c r="A88" s="46" t="n">
        <v>84</v>
      </c>
      <c r="B88" s="17" t="n"/>
      <c r="C88" s="17" t="n"/>
      <c r="D88" s="17" t="n"/>
      <c r="E88" s="17" t="n"/>
      <c r="F88" s="47" t="n"/>
      <c r="G88" s="47" t="n"/>
      <c r="H88" s="17" t="n"/>
      <c r="I88" s="42">
        <f>IF(OR(B88="",F88=""),"",MAX(0,FECHA_CORTE-F88))</f>
        <v/>
      </c>
      <c r="J88" s="19">
        <f>IF(B88="","",IF(H88="TERMINADO","CUMPLIDO",IF(G88="","SIN FECHA",IF(G88&lt;FECHA_CORTE,"VENCIDO",IF(G88-FECHA_CORTE&lt;=2,"POR VENCER","EN TIEMPO")))))</f>
        <v/>
      </c>
      <c r="K88" s="17" t="n"/>
    </row>
    <row r="89">
      <c r="A89" s="46" t="n">
        <v>85</v>
      </c>
      <c r="B89" s="17" t="n"/>
      <c r="C89" s="17" t="n"/>
      <c r="D89" s="17" t="n"/>
      <c r="E89" s="17" t="n"/>
      <c r="F89" s="47" t="n"/>
      <c r="G89" s="47" t="n"/>
      <c r="H89" s="17" t="n"/>
      <c r="I89" s="42">
        <f>IF(OR(B89="",F89=""),"",MAX(0,FECHA_CORTE-F89))</f>
        <v/>
      </c>
      <c r="J89" s="19">
        <f>IF(B89="","",IF(H89="TERMINADO","CUMPLIDO",IF(G89="","SIN FECHA",IF(G89&lt;FECHA_CORTE,"VENCIDO",IF(G89-FECHA_CORTE&lt;=2,"POR VENCER","EN TIEMPO")))))</f>
        <v/>
      </c>
      <c r="K89" s="17" t="n"/>
    </row>
    <row r="90">
      <c r="A90" s="46" t="n">
        <v>86</v>
      </c>
      <c r="B90" s="17" t="n"/>
      <c r="C90" s="17" t="n"/>
      <c r="D90" s="17" t="n"/>
      <c r="E90" s="17" t="n"/>
      <c r="F90" s="47" t="n"/>
      <c r="G90" s="47" t="n"/>
      <c r="H90" s="17" t="n"/>
      <c r="I90" s="42">
        <f>IF(OR(B90="",F90=""),"",MAX(0,FECHA_CORTE-F90))</f>
        <v/>
      </c>
      <c r="J90" s="19">
        <f>IF(B90="","",IF(H90="TERMINADO","CUMPLIDO",IF(G90="","SIN FECHA",IF(G90&lt;FECHA_CORTE,"VENCIDO",IF(G90-FECHA_CORTE&lt;=2,"POR VENCER","EN TIEMPO")))))</f>
        <v/>
      </c>
      <c r="K90" s="17" t="n"/>
    </row>
    <row r="91">
      <c r="A91" s="46" t="n">
        <v>87</v>
      </c>
      <c r="B91" s="17" t="n"/>
      <c r="C91" s="17" t="n"/>
      <c r="D91" s="17" t="n"/>
      <c r="E91" s="17" t="n"/>
      <c r="F91" s="47" t="n"/>
      <c r="G91" s="47" t="n"/>
      <c r="H91" s="17" t="n"/>
      <c r="I91" s="42">
        <f>IF(OR(B91="",F91=""),"",MAX(0,FECHA_CORTE-F91))</f>
        <v/>
      </c>
      <c r="J91" s="19">
        <f>IF(B91="","",IF(H91="TERMINADO","CUMPLIDO",IF(G91="","SIN FECHA",IF(G91&lt;FECHA_CORTE,"VENCIDO",IF(G91-FECHA_CORTE&lt;=2,"POR VENCER","EN TIEMPO")))))</f>
        <v/>
      </c>
      <c r="K91" s="17" t="n"/>
    </row>
    <row r="92">
      <c r="A92" s="46" t="n">
        <v>88</v>
      </c>
      <c r="B92" s="17" t="n"/>
      <c r="C92" s="17" t="n"/>
      <c r="D92" s="17" t="n"/>
      <c r="E92" s="17" t="n"/>
      <c r="F92" s="47" t="n"/>
      <c r="G92" s="47" t="n"/>
      <c r="H92" s="17" t="n"/>
      <c r="I92" s="42">
        <f>IF(OR(B92="",F92=""),"",MAX(0,FECHA_CORTE-F92))</f>
        <v/>
      </c>
      <c r="J92" s="19">
        <f>IF(B92="","",IF(H92="TERMINADO","CUMPLIDO",IF(G92="","SIN FECHA",IF(G92&lt;FECHA_CORTE,"VENCIDO",IF(G92-FECHA_CORTE&lt;=2,"POR VENCER","EN TIEMPO")))))</f>
        <v/>
      </c>
      <c r="K92" s="17" t="n"/>
    </row>
    <row r="93">
      <c r="A93" s="46" t="n">
        <v>89</v>
      </c>
      <c r="B93" s="17" t="n"/>
      <c r="C93" s="17" t="n"/>
      <c r="D93" s="17" t="n"/>
      <c r="E93" s="17" t="n"/>
      <c r="F93" s="47" t="n"/>
      <c r="G93" s="47" t="n"/>
      <c r="H93" s="17" t="n"/>
      <c r="I93" s="42">
        <f>IF(OR(B93="",F93=""),"",MAX(0,FECHA_CORTE-F93))</f>
        <v/>
      </c>
      <c r="J93" s="19">
        <f>IF(B93="","",IF(H93="TERMINADO","CUMPLIDO",IF(G93="","SIN FECHA",IF(G93&lt;FECHA_CORTE,"VENCIDO",IF(G93-FECHA_CORTE&lt;=2,"POR VENCER","EN TIEMPO")))))</f>
        <v/>
      </c>
      <c r="K93" s="17" t="n"/>
    </row>
    <row r="94">
      <c r="A94" s="46" t="n">
        <v>90</v>
      </c>
      <c r="B94" s="17" t="n"/>
      <c r="C94" s="17" t="n"/>
      <c r="D94" s="17" t="n"/>
      <c r="E94" s="17" t="n"/>
      <c r="F94" s="47" t="n"/>
      <c r="G94" s="47" t="n"/>
      <c r="H94" s="17" t="n"/>
      <c r="I94" s="42">
        <f>IF(OR(B94="",F94=""),"",MAX(0,FECHA_CORTE-F94))</f>
        <v/>
      </c>
      <c r="J94" s="19">
        <f>IF(B94="","",IF(H94="TERMINADO","CUMPLIDO",IF(G94="","SIN FECHA",IF(G94&lt;FECHA_CORTE,"VENCIDO",IF(G94-FECHA_CORTE&lt;=2,"POR VENCER","EN TIEMPO")))))</f>
        <v/>
      </c>
      <c r="K94" s="17" t="n"/>
    </row>
    <row r="95">
      <c r="A95" s="46" t="n">
        <v>91</v>
      </c>
      <c r="B95" s="17" t="n"/>
      <c r="C95" s="17" t="n"/>
      <c r="D95" s="17" t="n"/>
      <c r="E95" s="17" t="n"/>
      <c r="F95" s="47" t="n"/>
      <c r="G95" s="47" t="n"/>
      <c r="H95" s="17" t="n"/>
      <c r="I95" s="42">
        <f>IF(OR(B95="",F95=""),"",MAX(0,FECHA_CORTE-F95))</f>
        <v/>
      </c>
      <c r="J95" s="19">
        <f>IF(B95="","",IF(H95="TERMINADO","CUMPLIDO",IF(G95="","SIN FECHA",IF(G95&lt;FECHA_CORTE,"VENCIDO",IF(G95-FECHA_CORTE&lt;=2,"POR VENCER","EN TIEMPO")))))</f>
        <v/>
      </c>
      <c r="K95" s="17" t="n"/>
    </row>
    <row r="96">
      <c r="A96" s="46" t="n">
        <v>92</v>
      </c>
      <c r="B96" s="17" t="n"/>
      <c r="C96" s="17" t="n"/>
      <c r="D96" s="17" t="n"/>
      <c r="E96" s="17" t="n"/>
      <c r="F96" s="47" t="n"/>
      <c r="G96" s="47" t="n"/>
      <c r="H96" s="17" t="n"/>
      <c r="I96" s="42">
        <f>IF(OR(B96="",F96=""),"",MAX(0,FECHA_CORTE-F96))</f>
        <v/>
      </c>
      <c r="J96" s="19">
        <f>IF(B96="","",IF(H96="TERMINADO","CUMPLIDO",IF(G96="","SIN FECHA",IF(G96&lt;FECHA_CORTE,"VENCIDO",IF(G96-FECHA_CORTE&lt;=2,"POR VENCER","EN TIEMPO")))))</f>
        <v/>
      </c>
      <c r="K96" s="17" t="n"/>
    </row>
    <row r="97">
      <c r="A97" s="46" t="n">
        <v>93</v>
      </c>
      <c r="B97" s="17" t="n"/>
      <c r="C97" s="17" t="n"/>
      <c r="D97" s="17" t="n"/>
      <c r="E97" s="17" t="n"/>
      <c r="F97" s="47" t="n"/>
      <c r="G97" s="47" t="n"/>
      <c r="H97" s="17" t="n"/>
      <c r="I97" s="42">
        <f>IF(OR(B97="",F97=""),"",MAX(0,FECHA_CORTE-F97))</f>
        <v/>
      </c>
      <c r="J97" s="19">
        <f>IF(B97="","",IF(H97="TERMINADO","CUMPLIDO",IF(G97="","SIN FECHA",IF(G97&lt;FECHA_CORTE,"VENCIDO",IF(G97-FECHA_CORTE&lt;=2,"POR VENCER","EN TIEMPO")))))</f>
        <v/>
      </c>
      <c r="K97" s="17" t="n"/>
    </row>
    <row r="98">
      <c r="A98" s="46" t="n">
        <v>94</v>
      </c>
      <c r="B98" s="17" t="n"/>
      <c r="C98" s="17" t="n"/>
      <c r="D98" s="17" t="n"/>
      <c r="E98" s="17" t="n"/>
      <c r="F98" s="47" t="n"/>
      <c r="G98" s="47" t="n"/>
      <c r="H98" s="17" t="n"/>
      <c r="I98" s="42">
        <f>IF(OR(B98="",F98=""),"",MAX(0,FECHA_CORTE-F98))</f>
        <v/>
      </c>
      <c r="J98" s="19">
        <f>IF(B98="","",IF(H98="TERMINADO","CUMPLIDO",IF(G98="","SIN FECHA",IF(G98&lt;FECHA_CORTE,"VENCIDO",IF(G98-FECHA_CORTE&lt;=2,"POR VENCER","EN TIEMPO")))))</f>
        <v/>
      </c>
      <c r="K98" s="17" t="n"/>
    </row>
    <row r="99">
      <c r="A99" s="46" t="n">
        <v>95</v>
      </c>
      <c r="B99" s="17" t="n"/>
      <c r="C99" s="17" t="n"/>
      <c r="D99" s="17" t="n"/>
      <c r="E99" s="17" t="n"/>
      <c r="F99" s="47" t="n"/>
      <c r="G99" s="47" t="n"/>
      <c r="H99" s="17" t="n"/>
      <c r="I99" s="42">
        <f>IF(OR(B99="",F99=""),"",MAX(0,FECHA_CORTE-F99))</f>
        <v/>
      </c>
      <c r="J99" s="19">
        <f>IF(B99="","",IF(H99="TERMINADO","CUMPLIDO",IF(G99="","SIN FECHA",IF(G99&lt;FECHA_CORTE,"VENCIDO",IF(G99-FECHA_CORTE&lt;=2,"POR VENCER","EN TIEMPO")))))</f>
        <v/>
      </c>
      <c r="K99" s="17" t="n"/>
    </row>
    <row r="100">
      <c r="A100" s="46" t="n">
        <v>96</v>
      </c>
      <c r="B100" s="17" t="n"/>
      <c r="C100" s="17" t="n"/>
      <c r="D100" s="17" t="n"/>
      <c r="E100" s="17" t="n"/>
      <c r="F100" s="47" t="n"/>
      <c r="G100" s="47" t="n"/>
      <c r="H100" s="17" t="n"/>
      <c r="I100" s="42">
        <f>IF(OR(B100="",F100=""),"",MAX(0,FECHA_CORTE-F100))</f>
        <v/>
      </c>
      <c r="J100" s="19">
        <f>IF(B100="","",IF(H100="TERMINADO","CUMPLIDO",IF(G100="","SIN FECHA",IF(G100&lt;FECHA_CORTE,"VENCIDO",IF(G100-FECHA_CORTE&lt;=2,"POR VENCER","EN TIEMPO")))))</f>
        <v/>
      </c>
      <c r="K100" s="17" t="n"/>
    </row>
    <row r="101">
      <c r="A101" s="46" t="n">
        <v>97</v>
      </c>
      <c r="B101" s="17" t="n"/>
      <c r="C101" s="17" t="n"/>
      <c r="D101" s="17" t="n"/>
      <c r="E101" s="17" t="n"/>
      <c r="F101" s="47" t="n"/>
      <c r="G101" s="47" t="n"/>
      <c r="H101" s="17" t="n"/>
      <c r="I101" s="42">
        <f>IF(OR(B101="",F101=""),"",MAX(0,FECHA_CORTE-F101))</f>
        <v/>
      </c>
      <c r="J101" s="19">
        <f>IF(B101="","",IF(H101="TERMINADO","CUMPLIDO",IF(G101="","SIN FECHA",IF(G101&lt;FECHA_CORTE,"VENCIDO",IF(G101-FECHA_CORTE&lt;=2,"POR VENCER","EN TIEMPO")))))</f>
        <v/>
      </c>
      <c r="K101" s="17" t="n"/>
    </row>
    <row r="102">
      <c r="A102" s="46" t="n">
        <v>98</v>
      </c>
      <c r="B102" s="17" t="n"/>
      <c r="C102" s="17" t="n"/>
      <c r="D102" s="17" t="n"/>
      <c r="E102" s="17" t="n"/>
      <c r="F102" s="47" t="n"/>
      <c r="G102" s="47" t="n"/>
      <c r="H102" s="17" t="n"/>
      <c r="I102" s="42">
        <f>IF(OR(B102="",F102=""),"",MAX(0,FECHA_CORTE-F102))</f>
        <v/>
      </c>
      <c r="J102" s="19">
        <f>IF(B102="","",IF(H102="TERMINADO","CUMPLIDO",IF(G102="","SIN FECHA",IF(G102&lt;FECHA_CORTE,"VENCIDO",IF(G102-FECHA_CORTE&lt;=2,"POR VENCER","EN TIEMPO")))))</f>
        <v/>
      </c>
      <c r="K102" s="17" t="n"/>
    </row>
    <row r="103">
      <c r="A103" s="46" t="n">
        <v>99</v>
      </c>
      <c r="B103" s="17" t="n"/>
      <c r="C103" s="17" t="n"/>
      <c r="D103" s="17" t="n"/>
      <c r="E103" s="17" t="n"/>
      <c r="F103" s="47" t="n"/>
      <c r="G103" s="47" t="n"/>
      <c r="H103" s="17" t="n"/>
      <c r="I103" s="42">
        <f>IF(OR(B103="",F103=""),"",MAX(0,FECHA_CORTE-F103))</f>
        <v/>
      </c>
      <c r="J103" s="19">
        <f>IF(B103="","",IF(H103="TERMINADO","CUMPLIDO",IF(G103="","SIN FECHA",IF(G103&lt;FECHA_CORTE,"VENCIDO",IF(G103-FECHA_CORTE&lt;=2,"POR VENCER","EN TIEMPO")))))</f>
        <v/>
      </c>
      <c r="K103" s="17" t="n"/>
    </row>
    <row r="104">
      <c r="A104" s="46" t="n">
        <v>100</v>
      </c>
      <c r="B104" s="17" t="n"/>
      <c r="C104" s="17" t="n"/>
      <c r="D104" s="17" t="n"/>
      <c r="E104" s="17" t="n"/>
      <c r="F104" s="47" t="n"/>
      <c r="G104" s="47" t="n"/>
      <c r="H104" s="17" t="n"/>
      <c r="I104" s="42">
        <f>IF(OR(B104="",F104=""),"",MAX(0,FECHA_CORTE-F104))</f>
        <v/>
      </c>
      <c r="J104" s="19">
        <f>IF(B104="","",IF(H104="TERMINADO","CUMPLIDO",IF(G104="","SIN FECHA",IF(G104&lt;FECHA_CORTE,"VENCIDO",IF(G104-FECHA_CORTE&lt;=2,"POR VENCER","EN TIEMPO")))))</f>
        <v/>
      </c>
      <c r="K104" s="17" t="n"/>
    </row>
    <row r="105">
      <c r="A105" s="46" t="n">
        <v>101</v>
      </c>
      <c r="B105" s="17" t="n"/>
      <c r="C105" s="17" t="n"/>
      <c r="D105" s="17" t="n"/>
      <c r="E105" s="17" t="n"/>
      <c r="F105" s="47" t="n"/>
      <c r="G105" s="47" t="n"/>
      <c r="H105" s="17" t="n"/>
      <c r="I105" s="42">
        <f>IF(OR(B105="",F105=""),"",MAX(0,FECHA_CORTE-F105))</f>
        <v/>
      </c>
      <c r="J105" s="19">
        <f>IF(B105="","",IF(H105="TERMINADO","CUMPLIDO",IF(G105="","SIN FECHA",IF(G105&lt;FECHA_CORTE,"VENCIDO",IF(G105-FECHA_CORTE&lt;=2,"POR VENCER","EN TIEMPO")))))</f>
        <v/>
      </c>
      <c r="K105" s="17" t="n"/>
    </row>
    <row r="106">
      <c r="A106" s="46" t="n">
        <v>102</v>
      </c>
      <c r="B106" s="17" t="n"/>
      <c r="C106" s="17" t="n"/>
      <c r="D106" s="17" t="n"/>
      <c r="E106" s="17" t="n"/>
      <c r="F106" s="47" t="n"/>
      <c r="G106" s="47" t="n"/>
      <c r="H106" s="17" t="n"/>
      <c r="I106" s="42">
        <f>IF(OR(B106="",F106=""),"",MAX(0,FECHA_CORTE-F106))</f>
        <v/>
      </c>
      <c r="J106" s="19">
        <f>IF(B106="","",IF(H106="TERMINADO","CUMPLIDO",IF(G106="","SIN FECHA",IF(G106&lt;FECHA_CORTE,"VENCIDO",IF(G106-FECHA_CORTE&lt;=2,"POR VENCER","EN TIEMPO")))))</f>
        <v/>
      </c>
      <c r="K106" s="17" t="n"/>
    </row>
    <row r="107">
      <c r="A107" s="46" t="n">
        <v>103</v>
      </c>
      <c r="B107" s="17" t="n"/>
      <c r="C107" s="17" t="n"/>
      <c r="D107" s="17" t="n"/>
      <c r="E107" s="17" t="n"/>
      <c r="F107" s="47" t="n"/>
      <c r="G107" s="47" t="n"/>
      <c r="H107" s="17" t="n"/>
      <c r="I107" s="42">
        <f>IF(OR(B107="",F107=""),"",MAX(0,FECHA_CORTE-F107))</f>
        <v/>
      </c>
      <c r="J107" s="19">
        <f>IF(B107="","",IF(H107="TERMINADO","CUMPLIDO",IF(G107="","SIN FECHA",IF(G107&lt;FECHA_CORTE,"VENCIDO",IF(G107-FECHA_CORTE&lt;=2,"POR VENCER","EN TIEMPO")))))</f>
        <v/>
      </c>
      <c r="K107" s="17" t="n"/>
    </row>
    <row r="108">
      <c r="A108" s="46" t="n">
        <v>104</v>
      </c>
      <c r="B108" s="17" t="n"/>
      <c r="C108" s="17" t="n"/>
      <c r="D108" s="17" t="n"/>
      <c r="E108" s="17" t="n"/>
      <c r="F108" s="47" t="n"/>
      <c r="G108" s="47" t="n"/>
      <c r="H108" s="17" t="n"/>
      <c r="I108" s="42">
        <f>IF(OR(B108="",F108=""),"",MAX(0,FECHA_CORTE-F108))</f>
        <v/>
      </c>
      <c r="J108" s="19">
        <f>IF(B108="","",IF(H108="TERMINADO","CUMPLIDO",IF(G108="","SIN FECHA",IF(G108&lt;FECHA_CORTE,"VENCIDO",IF(G108-FECHA_CORTE&lt;=2,"POR VENCER","EN TIEMPO")))))</f>
        <v/>
      </c>
      <c r="K108" s="17" t="n"/>
    </row>
    <row r="109">
      <c r="A109" s="46" t="n">
        <v>105</v>
      </c>
      <c r="B109" s="17" t="n"/>
      <c r="C109" s="17" t="n"/>
      <c r="D109" s="17" t="n"/>
      <c r="E109" s="17" t="n"/>
      <c r="F109" s="47" t="n"/>
      <c r="G109" s="47" t="n"/>
      <c r="H109" s="17" t="n"/>
      <c r="I109" s="42">
        <f>IF(OR(B109="",F109=""),"",MAX(0,FECHA_CORTE-F109))</f>
        <v/>
      </c>
      <c r="J109" s="19">
        <f>IF(B109="","",IF(H109="TERMINADO","CUMPLIDO",IF(G109="","SIN FECHA",IF(G109&lt;FECHA_CORTE,"VENCIDO",IF(G109-FECHA_CORTE&lt;=2,"POR VENCER","EN TIEMPO")))))</f>
        <v/>
      </c>
      <c r="K109" s="17" t="n"/>
    </row>
    <row r="110">
      <c r="A110" s="46" t="n">
        <v>106</v>
      </c>
      <c r="B110" s="17" t="n"/>
      <c r="C110" s="17" t="n"/>
      <c r="D110" s="17" t="n"/>
      <c r="E110" s="17" t="n"/>
      <c r="F110" s="47" t="n"/>
      <c r="G110" s="47" t="n"/>
      <c r="H110" s="17" t="n"/>
      <c r="I110" s="42">
        <f>IF(OR(B110="",F110=""),"",MAX(0,FECHA_CORTE-F110))</f>
        <v/>
      </c>
      <c r="J110" s="19">
        <f>IF(B110="","",IF(H110="TERMINADO","CUMPLIDO",IF(G110="","SIN FECHA",IF(G110&lt;FECHA_CORTE,"VENCIDO",IF(G110-FECHA_CORTE&lt;=2,"POR VENCER","EN TIEMPO")))))</f>
        <v/>
      </c>
      <c r="K110" s="17" t="n"/>
    </row>
    <row r="111">
      <c r="A111" s="46" t="n">
        <v>107</v>
      </c>
      <c r="B111" s="17" t="n"/>
      <c r="C111" s="17" t="n"/>
      <c r="D111" s="17" t="n"/>
      <c r="E111" s="17" t="n"/>
      <c r="F111" s="47" t="n"/>
      <c r="G111" s="47" t="n"/>
      <c r="H111" s="17" t="n"/>
      <c r="I111" s="42">
        <f>IF(OR(B111="",F111=""),"",MAX(0,FECHA_CORTE-F111))</f>
        <v/>
      </c>
      <c r="J111" s="19">
        <f>IF(B111="","",IF(H111="TERMINADO","CUMPLIDO",IF(G111="","SIN FECHA",IF(G111&lt;FECHA_CORTE,"VENCIDO",IF(G111-FECHA_CORTE&lt;=2,"POR VENCER","EN TIEMPO")))))</f>
        <v/>
      </c>
      <c r="K111" s="17" t="n"/>
    </row>
    <row r="112">
      <c r="A112" s="46" t="n">
        <v>108</v>
      </c>
      <c r="B112" s="17" t="n"/>
      <c r="C112" s="17" t="n"/>
      <c r="D112" s="17" t="n"/>
      <c r="E112" s="17" t="n"/>
      <c r="F112" s="47" t="n"/>
      <c r="G112" s="47" t="n"/>
      <c r="H112" s="17" t="n"/>
      <c r="I112" s="42">
        <f>IF(OR(B112="",F112=""),"",MAX(0,FECHA_CORTE-F112))</f>
        <v/>
      </c>
      <c r="J112" s="19">
        <f>IF(B112="","",IF(H112="TERMINADO","CUMPLIDO",IF(G112="","SIN FECHA",IF(G112&lt;FECHA_CORTE,"VENCIDO",IF(G112-FECHA_CORTE&lt;=2,"POR VENCER","EN TIEMPO")))))</f>
        <v/>
      </c>
      <c r="K112" s="17" t="n"/>
    </row>
    <row r="113">
      <c r="A113" s="46" t="n">
        <v>109</v>
      </c>
      <c r="B113" s="17" t="n"/>
      <c r="C113" s="17" t="n"/>
      <c r="D113" s="17" t="n"/>
      <c r="E113" s="17" t="n"/>
      <c r="F113" s="47" t="n"/>
      <c r="G113" s="47" t="n"/>
      <c r="H113" s="17" t="n"/>
      <c r="I113" s="42">
        <f>IF(OR(B113="",F113=""),"",MAX(0,FECHA_CORTE-F113))</f>
        <v/>
      </c>
      <c r="J113" s="19">
        <f>IF(B113="","",IF(H113="TERMINADO","CUMPLIDO",IF(G113="","SIN FECHA",IF(G113&lt;FECHA_CORTE,"VENCIDO",IF(G113-FECHA_CORTE&lt;=2,"POR VENCER","EN TIEMPO")))))</f>
        <v/>
      </c>
      <c r="K113" s="17" t="n"/>
    </row>
    <row r="114">
      <c r="A114" s="46" t="n">
        <v>110</v>
      </c>
      <c r="B114" s="17" t="n"/>
      <c r="C114" s="17" t="n"/>
      <c r="D114" s="17" t="n"/>
      <c r="E114" s="17" t="n"/>
      <c r="F114" s="47" t="n"/>
      <c r="G114" s="47" t="n"/>
      <c r="H114" s="17" t="n"/>
      <c r="I114" s="42">
        <f>IF(OR(B114="",F114=""),"",MAX(0,FECHA_CORTE-F114))</f>
        <v/>
      </c>
      <c r="J114" s="19">
        <f>IF(B114="","",IF(H114="TERMINADO","CUMPLIDO",IF(G114="","SIN FECHA",IF(G114&lt;FECHA_CORTE,"VENCIDO",IF(G114-FECHA_CORTE&lt;=2,"POR VENCER","EN TIEMPO")))))</f>
        <v/>
      </c>
      <c r="K114" s="17" t="n"/>
    </row>
    <row r="115">
      <c r="A115" s="46" t="n">
        <v>111</v>
      </c>
      <c r="B115" s="17" t="n"/>
      <c r="C115" s="17" t="n"/>
      <c r="D115" s="17" t="n"/>
      <c r="E115" s="17" t="n"/>
      <c r="F115" s="47" t="n"/>
      <c r="G115" s="47" t="n"/>
      <c r="H115" s="17" t="n"/>
      <c r="I115" s="42">
        <f>IF(OR(B115="",F115=""),"",MAX(0,FECHA_CORTE-F115))</f>
        <v/>
      </c>
      <c r="J115" s="19">
        <f>IF(B115="","",IF(H115="TERMINADO","CUMPLIDO",IF(G115="","SIN FECHA",IF(G115&lt;FECHA_CORTE,"VENCIDO",IF(G115-FECHA_CORTE&lt;=2,"POR VENCER","EN TIEMPO")))))</f>
        <v/>
      </c>
      <c r="K115" s="17" t="n"/>
    </row>
    <row r="116">
      <c r="A116" s="46" t="n">
        <v>112</v>
      </c>
      <c r="B116" s="17" t="n"/>
      <c r="C116" s="17" t="n"/>
      <c r="D116" s="17" t="n"/>
      <c r="E116" s="17" t="n"/>
      <c r="F116" s="47" t="n"/>
      <c r="G116" s="47" t="n"/>
      <c r="H116" s="17" t="n"/>
      <c r="I116" s="42">
        <f>IF(OR(B116="",F116=""),"",MAX(0,FECHA_CORTE-F116))</f>
        <v/>
      </c>
      <c r="J116" s="19">
        <f>IF(B116="","",IF(H116="TERMINADO","CUMPLIDO",IF(G116="","SIN FECHA",IF(G116&lt;FECHA_CORTE,"VENCIDO",IF(G116-FECHA_CORTE&lt;=2,"POR VENCER","EN TIEMPO")))))</f>
        <v/>
      </c>
      <c r="K116" s="17" t="n"/>
    </row>
    <row r="117">
      <c r="A117" s="46" t="n">
        <v>113</v>
      </c>
      <c r="B117" s="17" t="n"/>
      <c r="C117" s="17" t="n"/>
      <c r="D117" s="17" t="n"/>
      <c r="E117" s="17" t="n"/>
      <c r="F117" s="47" t="n"/>
      <c r="G117" s="47" t="n"/>
      <c r="H117" s="17" t="n"/>
      <c r="I117" s="42">
        <f>IF(OR(B117="",F117=""),"",MAX(0,FECHA_CORTE-F117))</f>
        <v/>
      </c>
      <c r="J117" s="19">
        <f>IF(B117="","",IF(H117="TERMINADO","CUMPLIDO",IF(G117="","SIN FECHA",IF(G117&lt;FECHA_CORTE,"VENCIDO",IF(G117-FECHA_CORTE&lt;=2,"POR VENCER","EN TIEMPO")))))</f>
        <v/>
      </c>
      <c r="K117" s="17" t="n"/>
    </row>
    <row r="118">
      <c r="A118" s="46" t="n">
        <v>114</v>
      </c>
      <c r="B118" s="17" t="n"/>
      <c r="C118" s="17" t="n"/>
      <c r="D118" s="17" t="n"/>
      <c r="E118" s="17" t="n"/>
      <c r="F118" s="47" t="n"/>
      <c r="G118" s="47" t="n"/>
      <c r="H118" s="17" t="n"/>
      <c r="I118" s="42">
        <f>IF(OR(B118="",F118=""),"",MAX(0,FECHA_CORTE-F118))</f>
        <v/>
      </c>
      <c r="J118" s="19">
        <f>IF(B118="","",IF(H118="TERMINADO","CUMPLIDO",IF(G118="","SIN FECHA",IF(G118&lt;FECHA_CORTE,"VENCIDO",IF(G118-FECHA_CORTE&lt;=2,"POR VENCER","EN TIEMPO")))))</f>
        <v/>
      </c>
      <c r="K118" s="17" t="n"/>
    </row>
    <row r="119">
      <c r="A119" s="46" t="n">
        <v>115</v>
      </c>
      <c r="B119" s="17" t="n"/>
      <c r="C119" s="17" t="n"/>
      <c r="D119" s="17" t="n"/>
      <c r="E119" s="17" t="n"/>
      <c r="F119" s="47" t="n"/>
      <c r="G119" s="47" t="n"/>
      <c r="H119" s="17" t="n"/>
      <c r="I119" s="42">
        <f>IF(OR(B119="",F119=""),"",MAX(0,FECHA_CORTE-F119))</f>
        <v/>
      </c>
      <c r="J119" s="19">
        <f>IF(B119="","",IF(H119="TERMINADO","CUMPLIDO",IF(G119="","SIN FECHA",IF(G119&lt;FECHA_CORTE,"VENCIDO",IF(G119-FECHA_CORTE&lt;=2,"POR VENCER","EN TIEMPO")))))</f>
        <v/>
      </c>
      <c r="K119" s="17" t="n"/>
    </row>
    <row r="120">
      <c r="A120" s="46" t="n">
        <v>116</v>
      </c>
      <c r="B120" s="17" t="n"/>
      <c r="C120" s="17" t="n"/>
      <c r="D120" s="17" t="n"/>
      <c r="E120" s="17" t="n"/>
      <c r="F120" s="47" t="n"/>
      <c r="G120" s="47" t="n"/>
      <c r="H120" s="17" t="n"/>
      <c r="I120" s="42">
        <f>IF(OR(B120="",F120=""),"",MAX(0,FECHA_CORTE-F120))</f>
        <v/>
      </c>
      <c r="J120" s="19">
        <f>IF(B120="","",IF(H120="TERMINADO","CUMPLIDO",IF(G120="","SIN FECHA",IF(G120&lt;FECHA_CORTE,"VENCIDO",IF(G120-FECHA_CORTE&lt;=2,"POR VENCER","EN TIEMPO")))))</f>
        <v/>
      </c>
      <c r="K120" s="17" t="n"/>
    </row>
    <row r="121">
      <c r="A121" s="46" t="n">
        <v>117</v>
      </c>
      <c r="B121" s="17" t="n"/>
      <c r="C121" s="17" t="n"/>
      <c r="D121" s="17" t="n"/>
      <c r="E121" s="17" t="n"/>
      <c r="F121" s="47" t="n"/>
      <c r="G121" s="47" t="n"/>
      <c r="H121" s="17" t="n"/>
      <c r="I121" s="42">
        <f>IF(OR(B121="",F121=""),"",MAX(0,FECHA_CORTE-F121))</f>
        <v/>
      </c>
      <c r="J121" s="19">
        <f>IF(B121="","",IF(H121="TERMINADO","CUMPLIDO",IF(G121="","SIN FECHA",IF(G121&lt;FECHA_CORTE,"VENCIDO",IF(G121-FECHA_CORTE&lt;=2,"POR VENCER","EN TIEMPO")))))</f>
        <v/>
      </c>
      <c r="K121" s="17" t="n"/>
    </row>
    <row r="122">
      <c r="A122" s="46" t="n">
        <v>118</v>
      </c>
      <c r="B122" s="17" t="n"/>
      <c r="C122" s="17" t="n"/>
      <c r="D122" s="17" t="n"/>
      <c r="E122" s="17" t="n"/>
      <c r="F122" s="47" t="n"/>
      <c r="G122" s="47" t="n"/>
      <c r="H122" s="17" t="n"/>
      <c r="I122" s="42">
        <f>IF(OR(B122="",F122=""),"",MAX(0,FECHA_CORTE-F122))</f>
        <v/>
      </c>
      <c r="J122" s="19">
        <f>IF(B122="","",IF(H122="TERMINADO","CUMPLIDO",IF(G122="","SIN FECHA",IF(G122&lt;FECHA_CORTE,"VENCIDO",IF(G122-FECHA_CORTE&lt;=2,"POR VENCER","EN TIEMPO")))))</f>
        <v/>
      </c>
      <c r="K122" s="17" t="n"/>
    </row>
    <row r="123">
      <c r="A123" s="46" t="n">
        <v>119</v>
      </c>
      <c r="B123" s="17" t="n"/>
      <c r="C123" s="17" t="n"/>
      <c r="D123" s="17" t="n"/>
      <c r="E123" s="17" t="n"/>
      <c r="F123" s="47" t="n"/>
      <c r="G123" s="47" t="n"/>
      <c r="H123" s="17" t="n"/>
      <c r="I123" s="42">
        <f>IF(OR(B123="",F123=""),"",MAX(0,FECHA_CORTE-F123))</f>
        <v/>
      </c>
      <c r="J123" s="19">
        <f>IF(B123="","",IF(H123="TERMINADO","CUMPLIDO",IF(G123="","SIN FECHA",IF(G123&lt;FECHA_CORTE,"VENCIDO",IF(G123-FECHA_CORTE&lt;=2,"POR VENCER","EN TIEMPO")))))</f>
        <v/>
      </c>
      <c r="K123" s="17" t="n"/>
    </row>
    <row r="124">
      <c r="A124" s="46" t="n">
        <v>120</v>
      </c>
      <c r="B124" s="17" t="n"/>
      <c r="C124" s="17" t="n"/>
      <c r="D124" s="17" t="n"/>
      <c r="E124" s="17" t="n"/>
      <c r="F124" s="47" t="n"/>
      <c r="G124" s="47" t="n"/>
      <c r="H124" s="17" t="n"/>
      <c r="I124" s="42">
        <f>IF(OR(B124="",F124=""),"",MAX(0,FECHA_CORTE-F124))</f>
        <v/>
      </c>
      <c r="J124" s="19">
        <f>IF(B124="","",IF(H124="TERMINADO","CUMPLIDO",IF(G124="","SIN FECHA",IF(G124&lt;FECHA_CORTE,"VENCIDO",IF(G124-FECHA_CORTE&lt;=2,"POR VENCER","EN TIEMPO")))))</f>
        <v/>
      </c>
      <c r="K124" s="17" t="n"/>
    </row>
    <row r="125">
      <c r="A125" s="46" t="n">
        <v>121</v>
      </c>
      <c r="B125" s="17" t="n"/>
      <c r="C125" s="17" t="n"/>
      <c r="D125" s="17" t="n"/>
      <c r="E125" s="17" t="n"/>
      <c r="F125" s="47" t="n"/>
      <c r="G125" s="47" t="n"/>
      <c r="H125" s="17" t="n"/>
      <c r="I125" s="42">
        <f>IF(OR(B125="",F125=""),"",MAX(0,FECHA_CORTE-F125))</f>
        <v/>
      </c>
      <c r="J125" s="19">
        <f>IF(B125="","",IF(H125="TERMINADO","CUMPLIDO",IF(G125="","SIN FECHA",IF(G125&lt;FECHA_CORTE,"VENCIDO",IF(G125-FECHA_CORTE&lt;=2,"POR VENCER","EN TIEMPO")))))</f>
        <v/>
      </c>
      <c r="K125" s="17" t="n"/>
    </row>
    <row r="126">
      <c r="A126" s="46" t="n">
        <v>122</v>
      </c>
      <c r="B126" s="17" t="n"/>
      <c r="C126" s="17" t="n"/>
      <c r="D126" s="17" t="n"/>
      <c r="E126" s="17" t="n"/>
      <c r="F126" s="47" t="n"/>
      <c r="G126" s="47" t="n"/>
      <c r="H126" s="17" t="n"/>
      <c r="I126" s="42">
        <f>IF(OR(B126="",F126=""),"",MAX(0,FECHA_CORTE-F126))</f>
        <v/>
      </c>
      <c r="J126" s="19">
        <f>IF(B126="","",IF(H126="TERMINADO","CUMPLIDO",IF(G126="","SIN FECHA",IF(G126&lt;FECHA_CORTE,"VENCIDO",IF(G126-FECHA_CORTE&lt;=2,"POR VENCER","EN TIEMPO")))))</f>
        <v/>
      </c>
      <c r="K126" s="17" t="n"/>
    </row>
    <row r="127">
      <c r="A127" s="46" t="n">
        <v>123</v>
      </c>
      <c r="B127" s="17" t="n"/>
      <c r="C127" s="17" t="n"/>
      <c r="D127" s="17" t="n"/>
      <c r="E127" s="17" t="n"/>
      <c r="F127" s="47" t="n"/>
      <c r="G127" s="47" t="n"/>
      <c r="H127" s="17" t="n"/>
      <c r="I127" s="42">
        <f>IF(OR(B127="",F127=""),"",MAX(0,FECHA_CORTE-F127))</f>
        <v/>
      </c>
      <c r="J127" s="19">
        <f>IF(B127="","",IF(H127="TERMINADO","CUMPLIDO",IF(G127="","SIN FECHA",IF(G127&lt;FECHA_CORTE,"VENCIDO",IF(G127-FECHA_CORTE&lt;=2,"POR VENCER","EN TIEMPO")))))</f>
        <v/>
      </c>
      <c r="K127" s="17" t="n"/>
    </row>
    <row r="128">
      <c r="A128" s="46" t="n">
        <v>124</v>
      </c>
      <c r="B128" s="17" t="n"/>
      <c r="C128" s="17" t="n"/>
      <c r="D128" s="17" t="n"/>
      <c r="E128" s="17" t="n"/>
      <c r="F128" s="47" t="n"/>
      <c r="G128" s="47" t="n"/>
      <c r="H128" s="17" t="n"/>
      <c r="I128" s="42">
        <f>IF(OR(B128="",F128=""),"",MAX(0,FECHA_CORTE-F128))</f>
        <v/>
      </c>
      <c r="J128" s="19">
        <f>IF(B128="","",IF(H128="TERMINADO","CUMPLIDO",IF(G128="","SIN FECHA",IF(G128&lt;FECHA_CORTE,"VENCIDO",IF(G128-FECHA_CORTE&lt;=2,"POR VENCER","EN TIEMPO")))))</f>
        <v/>
      </c>
      <c r="K128" s="17" t="n"/>
    </row>
    <row r="129">
      <c r="A129" s="46" t="n">
        <v>125</v>
      </c>
      <c r="B129" s="17" t="n"/>
      <c r="C129" s="17" t="n"/>
      <c r="D129" s="17" t="n"/>
      <c r="E129" s="17" t="n"/>
      <c r="F129" s="47" t="n"/>
      <c r="G129" s="47" t="n"/>
      <c r="H129" s="17" t="n"/>
      <c r="I129" s="42">
        <f>IF(OR(B129="",F129=""),"",MAX(0,FECHA_CORTE-F129))</f>
        <v/>
      </c>
      <c r="J129" s="19">
        <f>IF(B129="","",IF(H129="TERMINADO","CUMPLIDO",IF(G129="","SIN FECHA",IF(G129&lt;FECHA_CORTE,"VENCIDO",IF(G129-FECHA_CORTE&lt;=2,"POR VENCER","EN TIEMPO")))))</f>
        <v/>
      </c>
      <c r="K129" s="17" t="n"/>
    </row>
    <row r="130">
      <c r="A130" s="46" t="n">
        <v>126</v>
      </c>
      <c r="B130" s="17" t="n"/>
      <c r="C130" s="17" t="n"/>
      <c r="D130" s="17" t="n"/>
      <c r="E130" s="17" t="n"/>
      <c r="F130" s="47" t="n"/>
      <c r="G130" s="47" t="n"/>
      <c r="H130" s="17" t="n"/>
      <c r="I130" s="42">
        <f>IF(OR(B130="",F130=""),"",MAX(0,FECHA_CORTE-F130))</f>
        <v/>
      </c>
      <c r="J130" s="19">
        <f>IF(B130="","",IF(H130="TERMINADO","CUMPLIDO",IF(G130="","SIN FECHA",IF(G130&lt;FECHA_CORTE,"VENCIDO",IF(G130-FECHA_CORTE&lt;=2,"POR VENCER","EN TIEMPO")))))</f>
        <v/>
      </c>
      <c r="K130" s="17" t="n"/>
    </row>
    <row r="131">
      <c r="A131" s="46" t="n">
        <v>127</v>
      </c>
      <c r="B131" s="17" t="n"/>
      <c r="C131" s="17" t="n"/>
      <c r="D131" s="17" t="n"/>
      <c r="E131" s="17" t="n"/>
      <c r="F131" s="47" t="n"/>
      <c r="G131" s="47" t="n"/>
      <c r="H131" s="17" t="n"/>
      <c r="I131" s="42">
        <f>IF(OR(B131="",F131=""),"",MAX(0,FECHA_CORTE-F131))</f>
        <v/>
      </c>
      <c r="J131" s="19">
        <f>IF(B131="","",IF(H131="TERMINADO","CUMPLIDO",IF(G131="","SIN FECHA",IF(G131&lt;FECHA_CORTE,"VENCIDO",IF(G131-FECHA_CORTE&lt;=2,"POR VENCER","EN TIEMPO")))))</f>
        <v/>
      </c>
      <c r="K131" s="17" t="n"/>
    </row>
    <row r="132">
      <c r="A132" s="46" t="n">
        <v>128</v>
      </c>
      <c r="B132" s="17" t="n"/>
      <c r="C132" s="17" t="n"/>
      <c r="D132" s="17" t="n"/>
      <c r="E132" s="17" t="n"/>
      <c r="F132" s="47" t="n"/>
      <c r="G132" s="47" t="n"/>
      <c r="H132" s="17" t="n"/>
      <c r="I132" s="42">
        <f>IF(OR(B132="",F132=""),"",MAX(0,FECHA_CORTE-F132))</f>
        <v/>
      </c>
      <c r="J132" s="19">
        <f>IF(B132="","",IF(H132="TERMINADO","CUMPLIDO",IF(G132="","SIN FECHA",IF(G132&lt;FECHA_CORTE,"VENCIDO",IF(G132-FECHA_CORTE&lt;=2,"POR VENCER","EN TIEMPO")))))</f>
        <v/>
      </c>
      <c r="K132" s="17" t="n"/>
    </row>
    <row r="133">
      <c r="A133" s="46" t="n">
        <v>129</v>
      </c>
      <c r="B133" s="17" t="n"/>
      <c r="C133" s="17" t="n"/>
      <c r="D133" s="17" t="n"/>
      <c r="E133" s="17" t="n"/>
      <c r="F133" s="47" t="n"/>
      <c r="G133" s="47" t="n"/>
      <c r="H133" s="17" t="n"/>
      <c r="I133" s="42">
        <f>IF(OR(B133="",F133=""),"",MAX(0,FECHA_CORTE-F133))</f>
        <v/>
      </c>
      <c r="J133" s="19">
        <f>IF(B133="","",IF(H133="TERMINADO","CUMPLIDO",IF(G133="","SIN FECHA",IF(G133&lt;FECHA_CORTE,"VENCIDO",IF(G133-FECHA_CORTE&lt;=2,"POR VENCER","EN TIEMPO")))))</f>
        <v/>
      </c>
      <c r="K133" s="17" t="n"/>
    </row>
    <row r="134">
      <c r="A134" s="46" t="n">
        <v>130</v>
      </c>
      <c r="B134" s="17" t="n"/>
      <c r="C134" s="17" t="n"/>
      <c r="D134" s="17" t="n"/>
      <c r="E134" s="17" t="n"/>
      <c r="F134" s="47" t="n"/>
      <c r="G134" s="47" t="n"/>
      <c r="H134" s="17" t="n"/>
      <c r="I134" s="42">
        <f>IF(OR(B134="",F134=""),"",MAX(0,FECHA_CORTE-F134))</f>
        <v/>
      </c>
      <c r="J134" s="19">
        <f>IF(B134="","",IF(H134="TERMINADO","CUMPLIDO",IF(G134="","SIN FECHA",IF(G134&lt;FECHA_CORTE,"VENCIDO",IF(G134-FECHA_CORTE&lt;=2,"POR VENCER","EN TIEMPO")))))</f>
        <v/>
      </c>
      <c r="K134" s="17" t="n"/>
    </row>
    <row r="135">
      <c r="A135" s="46" t="n">
        <v>131</v>
      </c>
      <c r="B135" s="17" t="n"/>
      <c r="C135" s="17" t="n"/>
      <c r="D135" s="17" t="n"/>
      <c r="E135" s="17" t="n"/>
      <c r="F135" s="47" t="n"/>
      <c r="G135" s="47" t="n"/>
      <c r="H135" s="17" t="n"/>
      <c r="I135" s="42">
        <f>IF(OR(B135="",F135=""),"",MAX(0,FECHA_CORTE-F135))</f>
        <v/>
      </c>
      <c r="J135" s="19">
        <f>IF(B135="","",IF(H135="TERMINADO","CUMPLIDO",IF(G135="","SIN FECHA",IF(G135&lt;FECHA_CORTE,"VENCIDO",IF(G135-FECHA_CORTE&lt;=2,"POR VENCER","EN TIEMPO")))))</f>
        <v/>
      </c>
      <c r="K135" s="17" t="n"/>
    </row>
    <row r="136">
      <c r="A136" s="46" t="n">
        <v>132</v>
      </c>
      <c r="B136" s="17" t="n"/>
      <c r="C136" s="17" t="n"/>
      <c r="D136" s="17" t="n"/>
      <c r="E136" s="17" t="n"/>
      <c r="F136" s="47" t="n"/>
      <c r="G136" s="47" t="n"/>
      <c r="H136" s="17" t="n"/>
      <c r="I136" s="42">
        <f>IF(OR(B136="",F136=""),"",MAX(0,FECHA_CORTE-F136))</f>
        <v/>
      </c>
      <c r="J136" s="19">
        <f>IF(B136="","",IF(H136="TERMINADO","CUMPLIDO",IF(G136="","SIN FECHA",IF(G136&lt;FECHA_CORTE,"VENCIDO",IF(G136-FECHA_CORTE&lt;=2,"POR VENCER","EN TIEMPO")))))</f>
        <v/>
      </c>
      <c r="K136" s="17" t="n"/>
    </row>
    <row r="137">
      <c r="A137" s="46" t="n">
        <v>133</v>
      </c>
      <c r="B137" s="17" t="n"/>
      <c r="C137" s="17" t="n"/>
      <c r="D137" s="17" t="n"/>
      <c r="E137" s="17" t="n"/>
      <c r="F137" s="47" t="n"/>
      <c r="G137" s="47" t="n"/>
      <c r="H137" s="17" t="n"/>
      <c r="I137" s="42">
        <f>IF(OR(B137="",F137=""),"",MAX(0,FECHA_CORTE-F137))</f>
        <v/>
      </c>
      <c r="J137" s="19">
        <f>IF(B137="","",IF(H137="TERMINADO","CUMPLIDO",IF(G137="","SIN FECHA",IF(G137&lt;FECHA_CORTE,"VENCIDO",IF(G137-FECHA_CORTE&lt;=2,"POR VENCER","EN TIEMPO")))))</f>
        <v/>
      </c>
      <c r="K137" s="17" t="n"/>
    </row>
    <row r="138">
      <c r="A138" s="46" t="n">
        <v>134</v>
      </c>
      <c r="B138" s="17" t="n"/>
      <c r="C138" s="17" t="n"/>
      <c r="D138" s="17" t="n"/>
      <c r="E138" s="17" t="n"/>
      <c r="F138" s="47" t="n"/>
      <c r="G138" s="47" t="n"/>
      <c r="H138" s="17" t="n"/>
      <c r="I138" s="42">
        <f>IF(OR(B138="",F138=""),"",MAX(0,FECHA_CORTE-F138))</f>
        <v/>
      </c>
      <c r="J138" s="19">
        <f>IF(B138="","",IF(H138="TERMINADO","CUMPLIDO",IF(G138="","SIN FECHA",IF(G138&lt;FECHA_CORTE,"VENCIDO",IF(G138-FECHA_CORTE&lt;=2,"POR VENCER","EN TIEMPO")))))</f>
        <v/>
      </c>
      <c r="K138" s="17" t="n"/>
    </row>
    <row r="139">
      <c r="A139" s="46" t="n">
        <v>135</v>
      </c>
      <c r="B139" s="17" t="n"/>
      <c r="C139" s="17" t="n"/>
      <c r="D139" s="17" t="n"/>
      <c r="E139" s="17" t="n"/>
      <c r="F139" s="47" t="n"/>
      <c r="G139" s="47" t="n"/>
      <c r="H139" s="17" t="n"/>
      <c r="I139" s="42">
        <f>IF(OR(B139="",F139=""),"",MAX(0,FECHA_CORTE-F139))</f>
        <v/>
      </c>
      <c r="J139" s="19">
        <f>IF(B139="","",IF(H139="TERMINADO","CUMPLIDO",IF(G139="","SIN FECHA",IF(G139&lt;FECHA_CORTE,"VENCIDO",IF(G139-FECHA_CORTE&lt;=2,"POR VENCER","EN TIEMPO")))))</f>
        <v/>
      </c>
      <c r="K139" s="17" t="n"/>
    </row>
    <row r="140">
      <c r="A140" s="46" t="n">
        <v>136</v>
      </c>
      <c r="B140" s="17" t="n"/>
      <c r="C140" s="17" t="n"/>
      <c r="D140" s="17" t="n"/>
      <c r="E140" s="17" t="n"/>
      <c r="F140" s="47" t="n"/>
      <c r="G140" s="47" t="n"/>
      <c r="H140" s="17" t="n"/>
      <c r="I140" s="42">
        <f>IF(OR(B140="",F140=""),"",MAX(0,FECHA_CORTE-F140))</f>
        <v/>
      </c>
      <c r="J140" s="19">
        <f>IF(B140="","",IF(H140="TERMINADO","CUMPLIDO",IF(G140="","SIN FECHA",IF(G140&lt;FECHA_CORTE,"VENCIDO",IF(G140-FECHA_CORTE&lt;=2,"POR VENCER","EN TIEMPO")))))</f>
        <v/>
      </c>
      <c r="K140" s="17" t="n"/>
    </row>
    <row r="141">
      <c r="A141" s="46" t="n">
        <v>137</v>
      </c>
      <c r="B141" s="17" t="n"/>
      <c r="C141" s="17" t="n"/>
      <c r="D141" s="17" t="n"/>
      <c r="E141" s="17" t="n"/>
      <c r="F141" s="47" t="n"/>
      <c r="G141" s="47" t="n"/>
      <c r="H141" s="17" t="n"/>
      <c r="I141" s="42">
        <f>IF(OR(B141="",F141=""),"",MAX(0,FECHA_CORTE-F141))</f>
        <v/>
      </c>
      <c r="J141" s="19">
        <f>IF(B141="","",IF(H141="TERMINADO","CUMPLIDO",IF(G141="","SIN FECHA",IF(G141&lt;FECHA_CORTE,"VENCIDO",IF(G141-FECHA_CORTE&lt;=2,"POR VENCER","EN TIEMPO")))))</f>
        <v/>
      </c>
      <c r="K141" s="17" t="n"/>
    </row>
    <row r="142">
      <c r="A142" s="46" t="n">
        <v>138</v>
      </c>
      <c r="B142" s="17" t="n"/>
      <c r="C142" s="17" t="n"/>
      <c r="D142" s="17" t="n"/>
      <c r="E142" s="17" t="n"/>
      <c r="F142" s="47" t="n"/>
      <c r="G142" s="47" t="n"/>
      <c r="H142" s="17" t="n"/>
      <c r="I142" s="42">
        <f>IF(OR(B142="",F142=""),"",MAX(0,FECHA_CORTE-F142))</f>
        <v/>
      </c>
      <c r="J142" s="19">
        <f>IF(B142="","",IF(H142="TERMINADO","CUMPLIDO",IF(G142="","SIN FECHA",IF(G142&lt;FECHA_CORTE,"VENCIDO",IF(G142-FECHA_CORTE&lt;=2,"POR VENCER","EN TIEMPO")))))</f>
        <v/>
      </c>
      <c r="K142" s="17" t="n"/>
    </row>
    <row r="143">
      <c r="A143" s="46" t="n">
        <v>139</v>
      </c>
      <c r="B143" s="17" t="n"/>
      <c r="C143" s="17" t="n"/>
      <c r="D143" s="17" t="n"/>
      <c r="E143" s="17" t="n"/>
      <c r="F143" s="47" t="n"/>
      <c r="G143" s="47" t="n"/>
      <c r="H143" s="17" t="n"/>
      <c r="I143" s="42">
        <f>IF(OR(B143="",F143=""),"",MAX(0,FECHA_CORTE-F143))</f>
        <v/>
      </c>
      <c r="J143" s="19">
        <f>IF(B143="","",IF(H143="TERMINADO","CUMPLIDO",IF(G143="","SIN FECHA",IF(G143&lt;FECHA_CORTE,"VENCIDO",IF(G143-FECHA_CORTE&lt;=2,"POR VENCER","EN TIEMPO")))))</f>
        <v/>
      </c>
      <c r="K143" s="17" t="n"/>
    </row>
    <row r="144">
      <c r="A144" s="46" t="n">
        <v>140</v>
      </c>
      <c r="B144" s="17" t="n"/>
      <c r="C144" s="17" t="n"/>
      <c r="D144" s="17" t="n"/>
      <c r="E144" s="17" t="n"/>
      <c r="F144" s="47" t="n"/>
      <c r="G144" s="47" t="n"/>
      <c r="H144" s="17" t="n"/>
      <c r="I144" s="42">
        <f>IF(OR(B144="",F144=""),"",MAX(0,FECHA_CORTE-F144))</f>
        <v/>
      </c>
      <c r="J144" s="19">
        <f>IF(B144="","",IF(H144="TERMINADO","CUMPLIDO",IF(G144="","SIN FECHA",IF(G144&lt;FECHA_CORTE,"VENCIDO",IF(G144-FECHA_CORTE&lt;=2,"POR VENCER","EN TIEMPO")))))</f>
        <v/>
      </c>
      <c r="K144" s="17" t="n"/>
    </row>
    <row r="145">
      <c r="A145" s="46" t="n">
        <v>141</v>
      </c>
      <c r="B145" s="17" t="n"/>
      <c r="C145" s="17" t="n"/>
      <c r="D145" s="17" t="n"/>
      <c r="E145" s="17" t="n"/>
      <c r="F145" s="47" t="n"/>
      <c r="G145" s="47" t="n"/>
      <c r="H145" s="17" t="n"/>
      <c r="I145" s="42">
        <f>IF(OR(B145="",F145=""),"",MAX(0,FECHA_CORTE-F145))</f>
        <v/>
      </c>
      <c r="J145" s="19">
        <f>IF(B145="","",IF(H145="TERMINADO","CUMPLIDO",IF(G145="","SIN FECHA",IF(G145&lt;FECHA_CORTE,"VENCIDO",IF(G145-FECHA_CORTE&lt;=2,"POR VENCER","EN TIEMPO")))))</f>
        <v/>
      </c>
      <c r="K145" s="17" t="n"/>
    </row>
    <row r="146">
      <c r="A146" s="46" t="n">
        <v>142</v>
      </c>
      <c r="B146" s="17" t="n"/>
      <c r="C146" s="17" t="n"/>
      <c r="D146" s="17" t="n"/>
      <c r="E146" s="17" t="n"/>
      <c r="F146" s="47" t="n"/>
      <c r="G146" s="47" t="n"/>
      <c r="H146" s="17" t="n"/>
      <c r="I146" s="42">
        <f>IF(OR(B146="",F146=""),"",MAX(0,FECHA_CORTE-F146))</f>
        <v/>
      </c>
      <c r="J146" s="19">
        <f>IF(B146="","",IF(H146="TERMINADO","CUMPLIDO",IF(G146="","SIN FECHA",IF(G146&lt;FECHA_CORTE,"VENCIDO",IF(G146-FECHA_CORTE&lt;=2,"POR VENCER","EN TIEMPO")))))</f>
        <v/>
      </c>
      <c r="K146" s="17" t="n"/>
    </row>
    <row r="147">
      <c r="A147" s="46" t="n">
        <v>143</v>
      </c>
      <c r="B147" s="17" t="n"/>
      <c r="C147" s="17" t="n"/>
      <c r="D147" s="17" t="n"/>
      <c r="E147" s="17" t="n"/>
      <c r="F147" s="47" t="n"/>
      <c r="G147" s="47" t="n"/>
      <c r="H147" s="17" t="n"/>
      <c r="I147" s="42">
        <f>IF(OR(B147="",F147=""),"",MAX(0,FECHA_CORTE-F147))</f>
        <v/>
      </c>
      <c r="J147" s="19">
        <f>IF(B147="","",IF(H147="TERMINADO","CUMPLIDO",IF(G147="","SIN FECHA",IF(G147&lt;FECHA_CORTE,"VENCIDO",IF(G147-FECHA_CORTE&lt;=2,"POR VENCER","EN TIEMPO")))))</f>
        <v/>
      </c>
      <c r="K147" s="17" t="n"/>
    </row>
    <row r="148">
      <c r="A148" s="46" t="n">
        <v>144</v>
      </c>
      <c r="B148" s="17" t="n"/>
      <c r="C148" s="17" t="n"/>
      <c r="D148" s="17" t="n"/>
      <c r="E148" s="17" t="n"/>
      <c r="F148" s="47" t="n"/>
      <c r="G148" s="47" t="n"/>
      <c r="H148" s="17" t="n"/>
      <c r="I148" s="42">
        <f>IF(OR(B148="",F148=""),"",MAX(0,FECHA_CORTE-F148))</f>
        <v/>
      </c>
      <c r="J148" s="19">
        <f>IF(B148="","",IF(H148="TERMINADO","CUMPLIDO",IF(G148="","SIN FECHA",IF(G148&lt;FECHA_CORTE,"VENCIDO",IF(G148-FECHA_CORTE&lt;=2,"POR VENCER","EN TIEMPO")))))</f>
        <v/>
      </c>
      <c r="K148" s="17" t="n"/>
    </row>
    <row r="149">
      <c r="A149" s="46" t="n">
        <v>145</v>
      </c>
      <c r="B149" s="17" t="n"/>
      <c r="C149" s="17" t="n"/>
      <c r="D149" s="17" t="n"/>
      <c r="E149" s="17" t="n"/>
      <c r="F149" s="47" t="n"/>
      <c r="G149" s="47" t="n"/>
      <c r="H149" s="17" t="n"/>
      <c r="I149" s="42">
        <f>IF(OR(B149="",F149=""),"",MAX(0,FECHA_CORTE-F149))</f>
        <v/>
      </c>
      <c r="J149" s="19">
        <f>IF(B149="","",IF(H149="TERMINADO","CUMPLIDO",IF(G149="","SIN FECHA",IF(G149&lt;FECHA_CORTE,"VENCIDO",IF(G149-FECHA_CORTE&lt;=2,"POR VENCER","EN TIEMPO")))))</f>
        <v/>
      </c>
      <c r="K149" s="17" t="n"/>
    </row>
    <row r="150">
      <c r="A150" s="46" t="n">
        <v>146</v>
      </c>
      <c r="B150" s="17" t="n"/>
      <c r="C150" s="17" t="n"/>
      <c r="D150" s="17" t="n"/>
      <c r="E150" s="17" t="n"/>
      <c r="F150" s="47" t="n"/>
      <c r="G150" s="47" t="n"/>
      <c r="H150" s="17" t="n"/>
      <c r="I150" s="42">
        <f>IF(OR(B150="",F150=""),"",MAX(0,FECHA_CORTE-F150))</f>
        <v/>
      </c>
      <c r="J150" s="19">
        <f>IF(B150="","",IF(H150="TERMINADO","CUMPLIDO",IF(G150="","SIN FECHA",IF(G150&lt;FECHA_CORTE,"VENCIDO",IF(G150-FECHA_CORTE&lt;=2,"POR VENCER","EN TIEMPO")))))</f>
        <v/>
      </c>
      <c r="K150" s="17" t="n"/>
    </row>
    <row r="151">
      <c r="A151" s="46" t="n">
        <v>147</v>
      </c>
      <c r="B151" s="17" t="n"/>
      <c r="C151" s="17" t="n"/>
      <c r="D151" s="17" t="n"/>
      <c r="E151" s="17" t="n"/>
      <c r="F151" s="47" t="n"/>
      <c r="G151" s="47" t="n"/>
      <c r="H151" s="17" t="n"/>
      <c r="I151" s="42">
        <f>IF(OR(B151="",F151=""),"",MAX(0,FECHA_CORTE-F151))</f>
        <v/>
      </c>
      <c r="J151" s="19">
        <f>IF(B151="","",IF(H151="TERMINADO","CUMPLIDO",IF(G151="","SIN FECHA",IF(G151&lt;FECHA_CORTE,"VENCIDO",IF(G151-FECHA_CORTE&lt;=2,"POR VENCER","EN TIEMPO")))))</f>
        <v/>
      </c>
      <c r="K151" s="17" t="n"/>
    </row>
    <row r="152">
      <c r="A152" s="46" t="n">
        <v>148</v>
      </c>
      <c r="B152" s="17" t="n"/>
      <c r="C152" s="17" t="n"/>
      <c r="D152" s="17" t="n"/>
      <c r="E152" s="17" t="n"/>
      <c r="F152" s="47" t="n"/>
      <c r="G152" s="47" t="n"/>
      <c r="H152" s="17" t="n"/>
      <c r="I152" s="42">
        <f>IF(OR(B152="",F152=""),"",MAX(0,FECHA_CORTE-F152))</f>
        <v/>
      </c>
      <c r="J152" s="19">
        <f>IF(B152="","",IF(H152="TERMINADO","CUMPLIDO",IF(G152="","SIN FECHA",IF(G152&lt;FECHA_CORTE,"VENCIDO",IF(G152-FECHA_CORTE&lt;=2,"POR VENCER","EN TIEMPO")))))</f>
        <v/>
      </c>
      <c r="K152" s="17" t="n"/>
    </row>
    <row r="153">
      <c r="A153" s="46" t="n">
        <v>149</v>
      </c>
      <c r="B153" s="17" t="n"/>
      <c r="C153" s="17" t="n"/>
      <c r="D153" s="17" t="n"/>
      <c r="E153" s="17" t="n"/>
      <c r="F153" s="47" t="n"/>
      <c r="G153" s="47" t="n"/>
      <c r="H153" s="17" t="n"/>
      <c r="I153" s="42">
        <f>IF(OR(B153="",F153=""),"",MAX(0,FECHA_CORTE-F153))</f>
        <v/>
      </c>
      <c r="J153" s="19">
        <f>IF(B153="","",IF(H153="TERMINADO","CUMPLIDO",IF(G153="","SIN FECHA",IF(G153&lt;FECHA_CORTE,"VENCIDO",IF(G153-FECHA_CORTE&lt;=2,"POR VENCER","EN TIEMPO")))))</f>
        <v/>
      </c>
      <c r="K153" s="17" t="n"/>
    </row>
    <row r="154">
      <c r="A154" s="46" t="n">
        <v>150</v>
      </c>
      <c r="B154" s="17" t="n"/>
      <c r="C154" s="17" t="n"/>
      <c r="D154" s="17" t="n"/>
      <c r="E154" s="17" t="n"/>
      <c r="F154" s="47" t="n"/>
      <c r="G154" s="47" t="n"/>
      <c r="H154" s="17" t="n"/>
      <c r="I154" s="42">
        <f>IF(OR(B154="",F154=""),"",MAX(0,FECHA_CORTE-F154))</f>
        <v/>
      </c>
      <c r="J154" s="19">
        <f>IF(B154="","",IF(H154="TERMINADO","CUMPLIDO",IF(G154="","SIN FECHA",IF(G154&lt;FECHA_CORTE,"VENCIDO",IF(G154-FECHA_CORTE&lt;=2,"POR VENCER","EN TIEMPO")))))</f>
        <v/>
      </c>
      <c r="K15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154"/>
  <mergeCells count="3">
    <mergeCell ref="K1:K2"/>
    <mergeCell ref="A1:J1"/>
    <mergeCell ref="A2:J2"/>
  </mergeCells>
  <conditionalFormatting sqref="J5:J15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3">
    <dataValidation sqref="D5:D154" showDropDown="0" showInputMessage="0" showErrorMessage="0" allowBlank="1" type="list" errorStyle="warning">
      <formula1>=OFFSET('CATÁLOGOS'!$B$5,0,0,MAX(1,COUNTA('CATÁLOGOS'!$B$5:$B$34)),1)</formula1>
    </dataValidation>
    <dataValidation sqref="E5:E154" showDropDown="0" showInputMessage="0" showErrorMessage="0" allowBlank="1" type="list">
      <formula1>=OFFSET('CATÁLOGOS'!$D$5,0,0,MAX(1,COUNTA('CATÁLOGOS'!$D$5:$D$34)),1)</formula1>
    </dataValidation>
    <dataValidation sqref="H5:H154" showDropDown="0" showInputMessage="0" showErrorMessage="0" allowBlank="1" type="list">
      <formula1>=OFFSET('CATÁLOGOS'!$C$5,0,0,MAX(1,COUNTA('CATÁLOGOS'!$C$5:$C$34)),1)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R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8" customWidth="1" min="3" max="3"/>
    <col width="12" customWidth="1" min="4" max="4"/>
    <col width="12" customWidth="1" min="5" max="5"/>
    <col width="10" customWidth="1" min="6" max="6"/>
    <col width="14" customWidth="1" min="7" max="7"/>
    <col width="22" customWidth="1" min="8" max="8"/>
    <col width="62" customWidth="1" min="9" max="9"/>
    <col width="14" customWidth="1" min="10" max="10"/>
    <col width="16" customWidth="1" min="11" max="11"/>
    <col width="3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44" customHeight="1">
      <c r="A1" s="22" t="inlineStr">
        <is>
          <t>REGISTRO DE RIESGOS</t>
        </is>
      </c>
      <c r="J1" s="68" t="inlineStr">
        <is>
          <t>INSERTE SU LOGO
(clic derecho &gt; Insertar imagen)</t>
        </is>
      </c>
      <c r="K1" s="70" t="n"/>
      <c r="L1" s="4" t="n"/>
      <c r="M1" s="4" t="n"/>
      <c r="N1" s="4" t="n"/>
      <c r="O1" s="4" t="n"/>
      <c r="P1" s="4" t="n"/>
      <c r="Q1" s="4" t="n"/>
      <c r="R1" s="4" t="n"/>
    </row>
    <row r="2" ht="26" customHeight="1">
      <c r="A2" s="71" t="inlineStr">
        <is>
          <t>Probabilidad x impacto con clasificación automática y matriz de calor</t>
        </is>
      </c>
      <c r="B2" s="72" t="n"/>
      <c r="C2" s="72" t="n"/>
      <c r="D2" s="72" t="n"/>
      <c r="E2" s="72" t="n"/>
      <c r="F2" s="72" t="n"/>
      <c r="G2" s="72" t="n"/>
      <c r="H2" s="72" t="n"/>
      <c r="I2" s="72" t="n"/>
      <c r="J2" s="73" t="n"/>
      <c r="K2" s="75" t="n"/>
      <c r="L2" s="4" t="n"/>
      <c r="M2" s="4" t="n"/>
      <c r="N2" s="4" t="n"/>
      <c r="O2" s="4" t="n"/>
      <c r="P2" s="4" t="n"/>
      <c r="Q2" s="4" t="n"/>
      <c r="R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0" t="inlineStr">
        <is>
          <t>MATRIZ DE RIESGOS (CANTIDAD)</t>
        </is>
      </c>
      <c r="N3" s="4" t="n"/>
      <c r="O3" s="4" t="n"/>
      <c r="P3" s="4" t="n"/>
      <c r="Q3" s="4" t="n"/>
      <c r="R3" s="4" t="n"/>
    </row>
    <row r="4" ht="32" customHeight="1">
      <c r="A4" s="40" t="inlineStr">
        <is>
          <t>NO.</t>
        </is>
      </c>
      <c r="B4" s="40" t="inlineStr">
        <is>
          <t>RIESGO</t>
        </is>
      </c>
      <c r="C4" s="40" t="inlineStr">
        <is>
          <t>PROYECTO / ÁREA</t>
        </is>
      </c>
      <c r="D4" s="40" t="inlineStr">
        <is>
          <t>PROBABILIDAD (1-5)</t>
        </is>
      </c>
      <c r="E4" s="40" t="inlineStr">
        <is>
          <t>IMPACTO (1-5)</t>
        </is>
      </c>
      <c r="F4" s="40" t="inlineStr">
        <is>
          <t>NIVEL (P X I)</t>
        </is>
      </c>
      <c r="G4" s="40" t="inlineStr">
        <is>
          <t>CLASIFICACIÓN</t>
        </is>
      </c>
      <c r="H4" s="40" t="inlineStr">
        <is>
          <t>RESPONSABLE</t>
        </is>
      </c>
      <c r="I4" s="40" t="inlineStr">
        <is>
          <t>ACCIÓN DE MITIGACIÓN</t>
        </is>
      </c>
      <c r="J4" s="40" t="inlineStr">
        <is>
          <t>FECHA LÍMITE</t>
        </is>
      </c>
      <c r="K4" s="40" t="inlineStr">
        <is>
          <t>ESTATUS</t>
        </is>
      </c>
      <c r="L4" s="4" t="n"/>
      <c r="M4" s="51" t="inlineStr">
        <is>
          <t>PROB. \ IMPACTO</t>
        </is>
      </c>
      <c r="N4" s="52" t="n">
        <v>1</v>
      </c>
      <c r="O4" s="52" t="n">
        <v>2</v>
      </c>
      <c r="P4" s="52" t="n">
        <v>3</v>
      </c>
      <c r="Q4" s="52" t="n">
        <v>4</v>
      </c>
      <c r="R4" s="52" t="n">
        <v>5</v>
      </c>
    </row>
    <row r="5" ht="24" customHeight="1">
      <c r="A5" s="46" t="n">
        <v>1</v>
      </c>
      <c r="B5" s="17" t="inlineStr">
        <is>
          <t>RETRASO EN ENTREGA DE ACERO ESTRUCTURAL</t>
        </is>
      </c>
      <c r="C5" s="17" t="inlineStr">
        <is>
          <t>NAVE TOLUCA FASE 2</t>
        </is>
      </c>
      <c r="D5" s="17" t="n">
        <v>4</v>
      </c>
      <c r="E5" s="17" t="n">
        <v>5</v>
      </c>
      <c r="F5" s="42">
        <f>IF(OR(D5="",E5=""),"",D5*E5)</f>
        <v/>
      </c>
      <c r="G5" s="19">
        <f>IF(F5="","",IF(F5&gt;=15,"ALTO",IF(F5&gt;=8,"MEDIO","BAJO")))</f>
        <v/>
      </c>
      <c r="H5" s="17" t="inlineStr">
        <is>
          <t>COMPRAS</t>
        </is>
      </c>
      <c r="I5" s="17" t="inlineStr">
        <is>
          <t>COTIZAR CON DOS PROVEEDORES ALTERNOS Y FIJAR PENALIZACIÓN</t>
        </is>
      </c>
      <c r="J5" s="47" t="n">
        <v>46310</v>
      </c>
      <c r="K5" s="17" t="inlineStr">
        <is>
          <t>EN MITIGACIÓN</t>
        </is>
      </c>
      <c r="L5" s="4" t="n"/>
      <c r="M5" s="52" t="n">
        <v>5</v>
      </c>
      <c r="N5" s="53">
        <f>COUNTIFS($D$5:$D$64,5,$E$5:$E$64,1)</f>
        <v/>
      </c>
      <c r="O5" s="54">
        <f>COUNTIFS($D$5:$D$64,5,$E$5:$E$64,2)</f>
        <v/>
      </c>
      <c r="P5" s="55">
        <f>COUNTIFS($D$5:$D$64,5,$E$5:$E$64,3)</f>
        <v/>
      </c>
      <c r="Q5" s="55">
        <f>COUNTIFS($D$5:$D$64,5,$E$5:$E$64,4)</f>
        <v/>
      </c>
      <c r="R5" s="55">
        <f>COUNTIFS($D$5:$D$64,5,$E$5:$E$64,5)</f>
        <v/>
      </c>
    </row>
    <row r="6" ht="24" customHeight="1">
      <c r="A6" s="46" t="n">
        <v>2</v>
      </c>
      <c r="B6" s="17" t="inlineStr">
        <is>
          <t>SOBRECOSTO EN CIERRE DE OBRA QUERÉTARO</t>
        </is>
      </c>
      <c r="C6" s="17" t="inlineStr">
        <is>
          <t>CIERRE DE OBRA QUERÉTARO</t>
        </is>
      </c>
      <c r="D6" s="17" t="n">
        <v>4</v>
      </c>
      <c r="E6" s="17" t="n">
        <v>4</v>
      </c>
      <c r="F6" s="42">
        <f>IF(OR(D6="",E6=""),"",D6*E6)</f>
        <v/>
      </c>
      <c r="G6" s="19">
        <f>IF(F6="","",IF(F6&gt;=15,"ALTO",IF(F6&gt;=8,"MEDIO","BAJO")))</f>
        <v/>
      </c>
      <c r="H6" s="17" t="inlineStr">
        <is>
          <t>PROYECTOS</t>
        </is>
      </c>
      <c r="I6" s="17" t="inlineStr">
        <is>
          <t>CONGELAR ALCANCE Y AUTORIZAR CAMBIOS SOLO POR ESCRITO</t>
        </is>
      </c>
      <c r="J6" s="47" t="n">
        <v>46307</v>
      </c>
      <c r="K6" s="17" t="inlineStr">
        <is>
          <t>ABIERTO</t>
        </is>
      </c>
      <c r="L6" s="4" t="n"/>
      <c r="M6" s="52" t="n">
        <v>4</v>
      </c>
      <c r="N6" s="53">
        <f>COUNTIFS($D$5:$D$64,4,$E$5:$E$64,1)</f>
        <v/>
      </c>
      <c r="O6" s="54">
        <f>COUNTIFS($D$5:$D$64,4,$E$5:$E$64,2)</f>
        <v/>
      </c>
      <c r="P6" s="54">
        <f>COUNTIFS($D$5:$D$64,4,$E$5:$E$64,3)</f>
        <v/>
      </c>
      <c r="Q6" s="55">
        <f>COUNTIFS($D$5:$D$64,4,$E$5:$E$64,4)</f>
        <v/>
      </c>
      <c r="R6" s="55">
        <f>COUNTIFS($D$5:$D$64,4,$E$5:$E$64,5)</f>
        <v/>
      </c>
    </row>
    <row r="7" ht="24" customHeight="1">
      <c r="A7" s="46" t="n">
        <v>3</v>
      </c>
      <c r="B7" s="17" t="inlineStr">
        <is>
          <t>OBSERVACIONES DEL IMSS POR DIFERENCIAS EN CUOTAS</t>
        </is>
      </c>
      <c r="C7" s="17" t="inlineStr">
        <is>
          <t>CUMPLIMIENTO IMSS</t>
        </is>
      </c>
      <c r="D7" s="17" t="n">
        <v>3</v>
      </c>
      <c r="E7" s="17" t="n">
        <v>4</v>
      </c>
      <c r="F7" s="42">
        <f>IF(OR(D7="",E7=""),"",D7*E7)</f>
        <v/>
      </c>
      <c r="G7" s="19">
        <f>IF(F7="","",IF(F7&gt;=15,"ALTO",IF(F7&gt;=8,"MEDIO","BAJO")))</f>
        <v/>
      </c>
      <c r="H7" s="17" t="inlineStr">
        <is>
          <t>RECURSOS HUMANOS</t>
        </is>
      </c>
      <c r="I7" s="17" t="inlineStr">
        <is>
          <t>CONCILIAR CÉDULA DE DETERMINACIÓN CONTRA NÓMINA</t>
        </is>
      </c>
      <c r="J7" s="47" t="n">
        <v>46325</v>
      </c>
      <c r="K7" s="17" t="inlineStr">
        <is>
          <t>EN MITIGACIÓN</t>
        </is>
      </c>
      <c r="L7" s="4" t="n"/>
      <c r="M7" s="52" t="n">
        <v>3</v>
      </c>
      <c r="N7" s="53">
        <f>COUNTIFS($D$5:$D$64,3,$E$5:$E$64,1)</f>
        <v/>
      </c>
      <c r="O7" s="53">
        <f>COUNTIFS($D$5:$D$64,3,$E$5:$E$64,2)</f>
        <v/>
      </c>
      <c r="P7" s="54">
        <f>COUNTIFS($D$5:$D$64,3,$E$5:$E$64,3)</f>
        <v/>
      </c>
      <c r="Q7" s="54">
        <f>COUNTIFS($D$5:$D$64,3,$E$5:$E$64,4)</f>
        <v/>
      </c>
      <c r="R7" s="55">
        <f>COUNTIFS($D$5:$D$64,3,$E$5:$E$64,5)</f>
        <v/>
      </c>
    </row>
    <row r="8" ht="24" customHeight="1">
      <c r="A8" s="46" t="n">
        <v>4</v>
      </c>
      <c r="B8" s="17" t="inlineStr">
        <is>
          <t>COBRANZA VENCIDA MAYOR A 90 DÍAS</t>
        </is>
      </c>
      <c r="C8" s="17" t="inlineStr">
        <is>
          <t>COBRANZA</t>
        </is>
      </c>
      <c r="D8" s="17" t="n">
        <v>3</v>
      </c>
      <c r="E8" s="17" t="n">
        <v>3</v>
      </c>
      <c r="F8" s="42">
        <f>IF(OR(D8="",E8=""),"",D8*E8)</f>
        <v/>
      </c>
      <c r="G8" s="19">
        <f>IF(F8="","",IF(F8&gt;=15,"ALTO",IF(F8&gt;=8,"MEDIO","BAJO")))</f>
        <v/>
      </c>
      <c r="H8" s="17" t="inlineStr">
        <is>
          <t>FINANZAS</t>
        </is>
      </c>
      <c r="I8" s="17" t="inlineStr">
        <is>
          <t>PLAN DE PAGOS Y SUSPENSIÓN DE CRÉDITO</t>
        </is>
      </c>
      <c r="J8" s="47" t="n">
        <v>46315</v>
      </c>
      <c r="K8" s="17" t="inlineStr">
        <is>
          <t>ABIERTO</t>
        </is>
      </c>
      <c r="L8" s="4" t="n"/>
      <c r="M8" s="52" t="n">
        <v>2</v>
      </c>
      <c r="N8" s="53">
        <f>COUNTIFS($D$5:$D$64,2,$E$5:$E$64,1)</f>
        <v/>
      </c>
      <c r="O8" s="53">
        <f>COUNTIFS($D$5:$D$64,2,$E$5:$E$64,2)</f>
        <v/>
      </c>
      <c r="P8" s="53">
        <f>COUNTIFS($D$5:$D$64,2,$E$5:$E$64,3)</f>
        <v/>
      </c>
      <c r="Q8" s="54">
        <f>COUNTIFS($D$5:$D$64,2,$E$5:$E$64,4)</f>
        <v/>
      </c>
      <c r="R8" s="54">
        <f>COUNTIFS($D$5:$D$64,2,$E$5:$E$64,5)</f>
        <v/>
      </c>
    </row>
    <row r="9" ht="24" customHeight="1">
      <c r="A9" s="46" t="n">
        <v>5</v>
      </c>
      <c r="B9" s="17" t="inlineStr">
        <is>
          <t>ROTACIÓN DE PERSONAL CLAVE EN ADMINISTRACIÓN</t>
        </is>
      </c>
      <c r="C9" s="17" t="inlineStr">
        <is>
          <t>ERP ADMINISTRATIVO</t>
        </is>
      </c>
      <c r="D9" s="17" t="n">
        <v>2</v>
      </c>
      <c r="E9" s="17" t="n">
        <v>4</v>
      </c>
      <c r="F9" s="42">
        <f>IF(OR(D9="",E9=""),"",D9*E9)</f>
        <v/>
      </c>
      <c r="G9" s="19">
        <f>IF(F9="","",IF(F9&gt;=15,"ALTO",IF(F9&gt;=8,"MEDIO","BAJO")))</f>
        <v/>
      </c>
      <c r="H9" s="17" t="inlineStr">
        <is>
          <t>RECURSOS HUMANOS</t>
        </is>
      </c>
      <c r="I9" s="17" t="inlineStr">
        <is>
          <t>DOCUMENTAR PROCESOS Y CAPACITAR SUPLENTES</t>
        </is>
      </c>
      <c r="J9" s="47" t="n">
        <v>46341</v>
      </c>
      <c r="K9" s="17" t="inlineStr">
        <is>
          <t>ABIERTO</t>
        </is>
      </c>
      <c r="L9" s="4" t="n"/>
      <c r="M9" s="52" t="n">
        <v>1</v>
      </c>
      <c r="N9" s="53">
        <f>COUNTIFS($D$5:$D$64,1,$E$5:$E$64,1)</f>
        <v/>
      </c>
      <c r="O9" s="53">
        <f>COUNTIFS($D$5:$D$64,1,$E$5:$E$64,2)</f>
        <v/>
      </c>
      <c r="P9" s="53">
        <f>COUNTIFS($D$5:$D$64,1,$E$5:$E$64,3)</f>
        <v/>
      </c>
      <c r="Q9" s="53">
        <f>COUNTIFS($D$5:$D$64,1,$E$5:$E$64,4)</f>
        <v/>
      </c>
      <c r="R9" s="53">
        <f>COUNTIFS($D$5:$D$64,1,$E$5:$E$64,5)</f>
        <v/>
      </c>
    </row>
    <row r="10">
      <c r="A10" s="46" t="n">
        <v>6</v>
      </c>
      <c r="B10" s="17" t="inlineStr">
        <is>
          <t>FALLA EN EL RESPALDO DE INFORMACIÓN</t>
        </is>
      </c>
      <c r="C10" s="17" t="inlineStr">
        <is>
          <t>TECNOLOGÍA</t>
        </is>
      </c>
      <c r="D10" s="17" t="n">
        <v>2</v>
      </c>
      <c r="E10" s="17" t="n">
        <v>5</v>
      </c>
      <c r="F10" s="42">
        <f>IF(OR(D10="",E10=""),"",D10*E10)</f>
        <v/>
      </c>
      <c r="G10" s="19">
        <f>IF(F10="","",IF(F10&gt;=15,"ALTO",IF(F10&gt;=8,"MEDIO","BAJO")))</f>
        <v/>
      </c>
      <c r="H10" s="17" t="inlineStr">
        <is>
          <t>ADMINISTRACIÓN</t>
        </is>
      </c>
      <c r="I10" s="17" t="inlineStr">
        <is>
          <t>RESPALDO DIARIO EN NUBE Y PRUEBA MENSUAL DE RESTAURACIÓN</t>
        </is>
      </c>
      <c r="J10" s="47" t="n">
        <v>46320</v>
      </c>
      <c r="K10" s="17" t="inlineStr">
        <is>
          <t>ABIERTO</t>
        </is>
      </c>
      <c r="L10" s="4" t="n"/>
      <c r="M10" s="4" t="n"/>
      <c r="N10" s="4" t="n"/>
      <c r="O10" s="4" t="n"/>
      <c r="P10" s="4" t="n"/>
      <c r="Q10" s="4" t="n"/>
      <c r="R10" s="4" t="n"/>
    </row>
    <row r="11">
      <c r="A11" s="46" t="n">
        <v>7</v>
      </c>
      <c r="B11" s="17" t="inlineStr">
        <is>
          <t>INFLACIÓN EN MATERIALES DE CONSTRUCCIÓN</t>
        </is>
      </c>
      <c r="C11" s="17" t="inlineStr">
        <is>
          <t>NAVE TOLUCA FASE 2</t>
        </is>
      </c>
      <c r="D11" s="17" t="n">
        <v>3</v>
      </c>
      <c r="E11" s="17" t="n">
        <v>3</v>
      </c>
      <c r="F11" s="42">
        <f>IF(OR(D11="",E11=""),"",D11*E11)</f>
        <v/>
      </c>
      <c r="G11" s="19">
        <f>IF(F11="","",IF(F11&gt;=15,"ALTO",IF(F11&gt;=8,"MEDIO","BAJO")))</f>
        <v/>
      </c>
      <c r="H11" s="17" t="inlineStr">
        <is>
          <t>COMPRAS</t>
        </is>
      </c>
      <c r="I11" s="17" t="inlineStr">
        <is>
          <t>CLÁUSULA DE AJUSTE DE PRECIOS EN CONTRATOS</t>
        </is>
      </c>
      <c r="J11" s="47" t="n">
        <v>46327</v>
      </c>
      <c r="K11" s="17" t="inlineStr">
        <is>
          <t>ABIERTO</t>
        </is>
      </c>
      <c r="L11" s="4" t="n"/>
      <c r="M11" s="4" t="n"/>
      <c r="N11" s="4" t="n"/>
      <c r="O11" s="4" t="n"/>
      <c r="P11" s="4" t="n"/>
      <c r="Q11" s="4" t="n"/>
      <c r="R11" s="4" t="n"/>
    </row>
    <row r="12">
      <c r="A12" s="46" t="n">
        <v>8</v>
      </c>
      <c r="B12" s="17" t="inlineStr">
        <is>
          <t>ERRORES EN TIMBRADO DE FACTURAS</t>
        </is>
      </c>
      <c r="C12" s="17" t="inlineStr">
        <is>
          <t>FACTURACIÓN</t>
        </is>
      </c>
      <c r="D12" s="17" t="n">
        <v>2</v>
      </c>
      <c r="E12" s="17" t="n">
        <v>2</v>
      </c>
      <c r="F12" s="42">
        <f>IF(OR(D12="",E12=""),"",D12*E12)</f>
        <v/>
      </c>
      <c r="G12" s="19">
        <f>IF(F12="","",IF(F12&gt;=15,"ALTO",IF(F12&gt;=8,"MEDIO","BAJO")))</f>
        <v/>
      </c>
      <c r="H12" s="17" t="inlineStr">
        <is>
          <t>ADMINISTRACIÓN</t>
        </is>
      </c>
      <c r="I12" s="17" t="inlineStr">
        <is>
          <t>VALIDACIÓN PREVIA CON LISTA DE VERIFICACIÓN</t>
        </is>
      </c>
      <c r="J12" s="47" t="n">
        <v>46313</v>
      </c>
      <c r="K12" s="17" t="inlineStr">
        <is>
          <t>ABIERTO</t>
        </is>
      </c>
      <c r="L12" s="4" t="n"/>
      <c r="M12" s="4" t="n"/>
      <c r="N12" s="4" t="n"/>
      <c r="O12" s="4" t="n"/>
      <c r="P12" s="4" t="n"/>
      <c r="Q12" s="4" t="n"/>
      <c r="R12" s="4" t="n"/>
    </row>
    <row r="13">
      <c r="A13" s="46" t="n">
        <v>9</v>
      </c>
      <c r="B13" s="17" t="n"/>
      <c r="C13" s="17" t="n"/>
      <c r="D13" s="17" t="n"/>
      <c r="E13" s="17" t="n"/>
      <c r="F13" s="42">
        <f>IF(OR(D13="",E13=""),"",D13*E13)</f>
        <v/>
      </c>
      <c r="G13" s="19">
        <f>IF(F13="","",IF(F13&gt;=15,"ALTO",IF(F13&gt;=8,"MEDIO","BAJO")))</f>
        <v/>
      </c>
      <c r="H13" s="17" t="n"/>
      <c r="I13" s="17" t="n"/>
      <c r="J13" s="47" t="n"/>
      <c r="K13" s="17" t="n"/>
      <c r="L13" s="4" t="n"/>
      <c r="M13" s="4" t="n"/>
      <c r="N13" s="4" t="n"/>
      <c r="O13" s="4" t="n"/>
      <c r="P13" s="4" t="n"/>
      <c r="Q13" s="4" t="n"/>
      <c r="R13" s="4" t="n"/>
    </row>
    <row r="14">
      <c r="A14" s="46" t="n">
        <v>10</v>
      </c>
      <c r="B14" s="17" t="n"/>
      <c r="C14" s="17" t="n"/>
      <c r="D14" s="17" t="n"/>
      <c r="E14" s="17" t="n"/>
      <c r="F14" s="42">
        <f>IF(OR(D14="",E14=""),"",D14*E14)</f>
        <v/>
      </c>
      <c r="G14" s="19">
        <f>IF(F14="","",IF(F14&gt;=15,"ALTO",IF(F14&gt;=8,"MEDIO","BAJO")))</f>
        <v/>
      </c>
      <c r="H14" s="17" t="n"/>
      <c r="I14" s="17" t="n"/>
      <c r="J14" s="47" t="n"/>
      <c r="K14" s="17" t="n"/>
      <c r="L14" s="4" t="n"/>
      <c r="M14" s="4" t="n"/>
      <c r="N14" s="4" t="n"/>
      <c r="O14" s="4" t="n"/>
      <c r="P14" s="4" t="n"/>
      <c r="Q14" s="4" t="n"/>
      <c r="R14" s="4" t="n"/>
    </row>
    <row r="15">
      <c r="A15" s="46" t="n">
        <v>11</v>
      </c>
      <c r="B15" s="17" t="n"/>
      <c r="C15" s="17" t="n"/>
      <c r="D15" s="17" t="n"/>
      <c r="E15" s="17" t="n"/>
      <c r="F15" s="42">
        <f>IF(OR(D15="",E15=""),"",D15*E15)</f>
        <v/>
      </c>
      <c r="G15" s="19">
        <f>IF(F15="","",IF(F15&gt;=15,"ALTO",IF(F15&gt;=8,"MEDIO","BAJO")))</f>
        <v/>
      </c>
      <c r="H15" s="17" t="n"/>
      <c r="I15" s="17" t="n"/>
      <c r="J15" s="47" t="n"/>
      <c r="K15" s="17" t="n"/>
      <c r="L15" s="4" t="n"/>
      <c r="M15" s="4" t="n"/>
      <c r="N15" s="4" t="n"/>
      <c r="O15" s="4" t="n"/>
      <c r="P15" s="4" t="n"/>
      <c r="Q15" s="4" t="n"/>
      <c r="R15" s="4" t="n"/>
    </row>
    <row r="16">
      <c r="A16" s="46" t="n">
        <v>12</v>
      </c>
      <c r="B16" s="17" t="n"/>
      <c r="C16" s="17" t="n"/>
      <c r="D16" s="17" t="n"/>
      <c r="E16" s="17" t="n"/>
      <c r="F16" s="42">
        <f>IF(OR(D16="",E16=""),"",D16*E16)</f>
        <v/>
      </c>
      <c r="G16" s="19">
        <f>IF(F16="","",IF(F16&gt;=15,"ALTO",IF(F16&gt;=8,"MEDIO","BAJO")))</f>
        <v/>
      </c>
      <c r="H16" s="17" t="n"/>
      <c r="I16" s="17" t="n"/>
      <c r="J16" s="47" t="n"/>
      <c r="K16" s="17" t="n"/>
      <c r="L16" s="4" t="n"/>
      <c r="M16" s="4" t="n"/>
      <c r="N16" s="4" t="n"/>
      <c r="O16" s="4" t="n"/>
      <c r="P16" s="4" t="n"/>
      <c r="Q16" s="4" t="n"/>
      <c r="R16" s="4" t="n"/>
    </row>
    <row r="17">
      <c r="A17" s="46" t="n">
        <v>13</v>
      </c>
      <c r="B17" s="17" t="n"/>
      <c r="C17" s="17" t="n"/>
      <c r="D17" s="17" t="n"/>
      <c r="E17" s="17" t="n"/>
      <c r="F17" s="42">
        <f>IF(OR(D17="",E17=""),"",D17*E17)</f>
        <v/>
      </c>
      <c r="G17" s="19">
        <f>IF(F17="","",IF(F17&gt;=15,"ALTO",IF(F17&gt;=8,"MEDIO","BAJO")))</f>
        <v/>
      </c>
      <c r="H17" s="17" t="n"/>
      <c r="I17" s="17" t="n"/>
      <c r="J17" s="47" t="n"/>
      <c r="K17" s="17" t="n"/>
      <c r="L17" s="4" t="n"/>
      <c r="M17" s="4" t="n"/>
      <c r="N17" s="4" t="n"/>
      <c r="O17" s="4" t="n"/>
      <c r="P17" s="4" t="n"/>
      <c r="Q17" s="4" t="n"/>
      <c r="R17" s="4" t="n"/>
    </row>
    <row r="18">
      <c r="A18" s="46" t="n">
        <v>14</v>
      </c>
      <c r="B18" s="17" t="n"/>
      <c r="C18" s="17" t="n"/>
      <c r="D18" s="17" t="n"/>
      <c r="E18" s="17" t="n"/>
      <c r="F18" s="42">
        <f>IF(OR(D18="",E18=""),"",D18*E18)</f>
        <v/>
      </c>
      <c r="G18" s="19">
        <f>IF(F18="","",IF(F18&gt;=15,"ALTO",IF(F18&gt;=8,"MEDIO","BAJO")))</f>
        <v/>
      </c>
      <c r="H18" s="17" t="n"/>
      <c r="I18" s="17" t="n"/>
      <c r="J18" s="47" t="n"/>
      <c r="K18" s="17" t="n"/>
      <c r="L18" s="4" t="n"/>
      <c r="M18" s="4" t="n"/>
      <c r="N18" s="4" t="n"/>
      <c r="O18" s="4" t="n"/>
      <c r="P18" s="4" t="n"/>
      <c r="Q18" s="4" t="n"/>
      <c r="R18" s="4" t="n"/>
    </row>
    <row r="19">
      <c r="A19" s="46" t="n">
        <v>15</v>
      </c>
      <c r="B19" s="17" t="n"/>
      <c r="C19" s="17" t="n"/>
      <c r="D19" s="17" t="n"/>
      <c r="E19" s="17" t="n"/>
      <c r="F19" s="42">
        <f>IF(OR(D19="",E19=""),"",D19*E19)</f>
        <v/>
      </c>
      <c r="G19" s="19">
        <f>IF(F19="","",IF(F19&gt;=15,"ALTO",IF(F19&gt;=8,"MEDIO","BAJO")))</f>
        <v/>
      </c>
      <c r="H19" s="17" t="n"/>
      <c r="I19" s="17" t="n"/>
      <c r="J19" s="47" t="n"/>
      <c r="K19" s="17" t="n"/>
      <c r="L19" s="4" t="n"/>
      <c r="M19" s="4" t="n"/>
      <c r="N19" s="4" t="n"/>
      <c r="O19" s="4" t="n"/>
      <c r="P19" s="4" t="n"/>
      <c r="Q19" s="4" t="n"/>
      <c r="R19" s="4" t="n"/>
    </row>
    <row r="20">
      <c r="A20" s="46" t="n">
        <v>16</v>
      </c>
      <c r="B20" s="17" t="n"/>
      <c r="C20" s="17" t="n"/>
      <c r="D20" s="17" t="n"/>
      <c r="E20" s="17" t="n"/>
      <c r="F20" s="42">
        <f>IF(OR(D20="",E20=""),"",D20*E20)</f>
        <v/>
      </c>
      <c r="G20" s="19">
        <f>IF(F20="","",IF(F20&gt;=15,"ALTO",IF(F20&gt;=8,"MEDIO","BAJO")))</f>
        <v/>
      </c>
      <c r="H20" s="17" t="n"/>
      <c r="I20" s="17" t="n"/>
      <c r="J20" s="47" t="n"/>
      <c r="K20" s="17" t="n"/>
      <c r="L20" s="4" t="n"/>
      <c r="M20" s="4" t="n"/>
      <c r="N20" s="4" t="n"/>
      <c r="O20" s="4" t="n"/>
      <c r="P20" s="4" t="n"/>
      <c r="Q20" s="4" t="n"/>
      <c r="R20" s="4" t="n"/>
    </row>
    <row r="21">
      <c r="A21" s="46" t="n">
        <v>17</v>
      </c>
      <c r="B21" s="17" t="n"/>
      <c r="C21" s="17" t="n"/>
      <c r="D21" s="17" t="n"/>
      <c r="E21" s="17" t="n"/>
      <c r="F21" s="42">
        <f>IF(OR(D21="",E21=""),"",D21*E21)</f>
        <v/>
      </c>
      <c r="G21" s="19">
        <f>IF(F21="","",IF(F21&gt;=15,"ALTO",IF(F21&gt;=8,"MEDIO","BAJO")))</f>
        <v/>
      </c>
      <c r="H21" s="17" t="n"/>
      <c r="I21" s="17" t="n"/>
      <c r="J21" s="47" t="n"/>
      <c r="K21" s="17" t="n"/>
      <c r="L21" s="4" t="n"/>
      <c r="M21" s="4" t="n"/>
      <c r="N21" s="4" t="n"/>
      <c r="O21" s="4" t="n"/>
      <c r="P21" s="4" t="n"/>
      <c r="Q21" s="4" t="n"/>
      <c r="R21" s="4" t="n"/>
    </row>
    <row r="22">
      <c r="A22" s="46" t="n">
        <v>18</v>
      </c>
      <c r="B22" s="17" t="n"/>
      <c r="C22" s="17" t="n"/>
      <c r="D22" s="17" t="n"/>
      <c r="E22" s="17" t="n"/>
      <c r="F22" s="42">
        <f>IF(OR(D22="",E22=""),"",D22*E22)</f>
        <v/>
      </c>
      <c r="G22" s="19">
        <f>IF(F22="","",IF(F22&gt;=15,"ALTO",IF(F22&gt;=8,"MEDIO","BAJO")))</f>
        <v/>
      </c>
      <c r="H22" s="17" t="n"/>
      <c r="I22" s="17" t="n"/>
      <c r="J22" s="47" t="n"/>
      <c r="K22" s="17" t="n"/>
      <c r="L22" s="4" t="n"/>
      <c r="M22" s="4" t="n"/>
      <c r="N22" s="4" t="n"/>
      <c r="O22" s="4" t="n"/>
      <c r="P22" s="4" t="n"/>
      <c r="Q22" s="4" t="n"/>
      <c r="R22" s="4" t="n"/>
    </row>
    <row r="23">
      <c r="A23" s="46" t="n">
        <v>19</v>
      </c>
      <c r="B23" s="17" t="n"/>
      <c r="C23" s="17" t="n"/>
      <c r="D23" s="17" t="n"/>
      <c r="E23" s="17" t="n"/>
      <c r="F23" s="42">
        <f>IF(OR(D23="",E23=""),"",D23*E23)</f>
        <v/>
      </c>
      <c r="G23" s="19">
        <f>IF(F23="","",IF(F23&gt;=15,"ALTO",IF(F23&gt;=8,"MEDIO","BAJO")))</f>
        <v/>
      </c>
      <c r="H23" s="17" t="n"/>
      <c r="I23" s="17" t="n"/>
      <c r="J23" s="47" t="n"/>
      <c r="K23" s="17" t="n"/>
      <c r="L23" s="4" t="n"/>
      <c r="M23" s="4" t="n"/>
      <c r="N23" s="4" t="n"/>
      <c r="O23" s="4" t="n"/>
      <c r="P23" s="4" t="n"/>
      <c r="Q23" s="4" t="n"/>
      <c r="R23" s="4" t="n"/>
    </row>
    <row r="24">
      <c r="A24" s="46" t="n">
        <v>20</v>
      </c>
      <c r="B24" s="17" t="n"/>
      <c r="C24" s="17" t="n"/>
      <c r="D24" s="17" t="n"/>
      <c r="E24" s="17" t="n"/>
      <c r="F24" s="42">
        <f>IF(OR(D24="",E24=""),"",D24*E24)</f>
        <v/>
      </c>
      <c r="G24" s="19">
        <f>IF(F24="","",IF(F24&gt;=15,"ALTO",IF(F24&gt;=8,"MEDIO","BAJO")))</f>
        <v/>
      </c>
      <c r="H24" s="17" t="n"/>
      <c r="I24" s="17" t="n"/>
      <c r="J24" s="47" t="n"/>
      <c r="K24" s="17" t="n"/>
      <c r="L24" s="4" t="n"/>
      <c r="M24" s="4" t="n"/>
      <c r="N24" s="4" t="n"/>
      <c r="O24" s="4" t="n"/>
      <c r="P24" s="4" t="n"/>
      <c r="Q24" s="4" t="n"/>
      <c r="R24" s="4" t="n"/>
    </row>
    <row r="25">
      <c r="A25" s="46" t="n">
        <v>21</v>
      </c>
      <c r="B25" s="17" t="n"/>
      <c r="C25" s="17" t="n"/>
      <c r="D25" s="17" t="n"/>
      <c r="E25" s="17" t="n"/>
      <c r="F25" s="42">
        <f>IF(OR(D25="",E25=""),"",D25*E25)</f>
        <v/>
      </c>
      <c r="G25" s="19">
        <f>IF(F25="","",IF(F25&gt;=15,"ALTO",IF(F25&gt;=8,"MEDIO","BAJO")))</f>
        <v/>
      </c>
      <c r="H25" s="17" t="n"/>
      <c r="I25" s="17" t="n"/>
      <c r="J25" s="47" t="n"/>
      <c r="K25" s="17" t="n"/>
      <c r="L25" s="4" t="n"/>
      <c r="M25" s="4" t="n"/>
      <c r="N25" s="4" t="n"/>
      <c r="O25" s="4" t="n"/>
      <c r="P25" s="4" t="n"/>
      <c r="Q25" s="4" t="n"/>
      <c r="R25" s="4" t="n"/>
    </row>
    <row r="26">
      <c r="A26" s="46" t="n">
        <v>22</v>
      </c>
      <c r="B26" s="17" t="n"/>
      <c r="C26" s="17" t="n"/>
      <c r="D26" s="17" t="n"/>
      <c r="E26" s="17" t="n"/>
      <c r="F26" s="42">
        <f>IF(OR(D26="",E26=""),"",D26*E26)</f>
        <v/>
      </c>
      <c r="G26" s="19">
        <f>IF(F26="","",IF(F26&gt;=15,"ALTO",IF(F26&gt;=8,"MEDIO","BAJO")))</f>
        <v/>
      </c>
      <c r="H26" s="17" t="n"/>
      <c r="I26" s="17" t="n"/>
      <c r="J26" s="47" t="n"/>
      <c r="K26" s="17" t="n"/>
      <c r="L26" s="4" t="n"/>
      <c r="M26" s="4" t="n"/>
      <c r="N26" s="4" t="n"/>
      <c r="O26" s="4" t="n"/>
      <c r="P26" s="4" t="n"/>
      <c r="Q26" s="4" t="n"/>
      <c r="R26" s="4" t="n"/>
    </row>
    <row r="27">
      <c r="A27" s="46" t="n">
        <v>23</v>
      </c>
      <c r="B27" s="17" t="n"/>
      <c r="C27" s="17" t="n"/>
      <c r="D27" s="17" t="n"/>
      <c r="E27" s="17" t="n"/>
      <c r="F27" s="42">
        <f>IF(OR(D27="",E27=""),"",D27*E27)</f>
        <v/>
      </c>
      <c r="G27" s="19">
        <f>IF(F27="","",IF(F27&gt;=15,"ALTO",IF(F27&gt;=8,"MEDIO","BAJO")))</f>
        <v/>
      </c>
      <c r="H27" s="17" t="n"/>
      <c r="I27" s="17" t="n"/>
      <c r="J27" s="47" t="n"/>
      <c r="K27" s="17" t="n"/>
      <c r="L27" s="4" t="n"/>
      <c r="M27" s="4" t="n"/>
      <c r="N27" s="4" t="n"/>
      <c r="O27" s="4" t="n"/>
      <c r="P27" s="4" t="n"/>
      <c r="Q27" s="4" t="n"/>
      <c r="R27" s="4" t="n"/>
    </row>
    <row r="28">
      <c r="A28" s="46" t="n">
        <v>24</v>
      </c>
      <c r="B28" s="17" t="n"/>
      <c r="C28" s="17" t="n"/>
      <c r="D28" s="17" t="n"/>
      <c r="E28" s="17" t="n"/>
      <c r="F28" s="42">
        <f>IF(OR(D28="",E28=""),"",D28*E28)</f>
        <v/>
      </c>
      <c r="G28" s="19">
        <f>IF(F28="","",IF(F28&gt;=15,"ALTO",IF(F28&gt;=8,"MEDIO","BAJO")))</f>
        <v/>
      </c>
      <c r="H28" s="17" t="n"/>
      <c r="I28" s="17" t="n"/>
      <c r="J28" s="47" t="n"/>
      <c r="K28" s="17" t="n"/>
      <c r="L28" s="4" t="n"/>
      <c r="M28" s="4" t="n"/>
      <c r="N28" s="4" t="n"/>
      <c r="O28" s="4" t="n"/>
      <c r="P28" s="4" t="n"/>
      <c r="Q28" s="4" t="n"/>
      <c r="R28" s="4" t="n"/>
    </row>
    <row r="29">
      <c r="A29" s="46" t="n">
        <v>25</v>
      </c>
      <c r="B29" s="17" t="n"/>
      <c r="C29" s="17" t="n"/>
      <c r="D29" s="17" t="n"/>
      <c r="E29" s="17" t="n"/>
      <c r="F29" s="42">
        <f>IF(OR(D29="",E29=""),"",D29*E29)</f>
        <v/>
      </c>
      <c r="G29" s="19">
        <f>IF(F29="","",IF(F29&gt;=15,"ALTO",IF(F29&gt;=8,"MEDIO","BAJO")))</f>
        <v/>
      </c>
      <c r="H29" s="17" t="n"/>
      <c r="I29" s="17" t="n"/>
      <c r="J29" s="47" t="n"/>
      <c r="K29" s="17" t="n"/>
      <c r="L29" s="4" t="n"/>
      <c r="M29" s="4" t="n"/>
      <c r="N29" s="4" t="n"/>
      <c r="O29" s="4" t="n"/>
      <c r="P29" s="4" t="n"/>
      <c r="Q29" s="4" t="n"/>
      <c r="R29" s="4" t="n"/>
    </row>
    <row r="30">
      <c r="A30" s="46" t="n">
        <v>26</v>
      </c>
      <c r="B30" s="17" t="n"/>
      <c r="C30" s="17" t="n"/>
      <c r="D30" s="17" t="n"/>
      <c r="E30" s="17" t="n"/>
      <c r="F30" s="42">
        <f>IF(OR(D30="",E30=""),"",D30*E30)</f>
        <v/>
      </c>
      <c r="G30" s="19">
        <f>IF(F30="","",IF(F30&gt;=15,"ALTO",IF(F30&gt;=8,"MEDIO","BAJO")))</f>
        <v/>
      </c>
      <c r="H30" s="17" t="n"/>
      <c r="I30" s="17" t="n"/>
      <c r="J30" s="47" t="n"/>
      <c r="K30" s="17" t="n"/>
      <c r="L30" s="4" t="n"/>
      <c r="M30" s="4" t="n"/>
      <c r="N30" s="4" t="n"/>
      <c r="O30" s="4" t="n"/>
      <c r="P30" s="4" t="n"/>
      <c r="Q30" s="4" t="n"/>
      <c r="R30" s="4" t="n"/>
    </row>
    <row r="31">
      <c r="A31" s="46" t="n">
        <v>27</v>
      </c>
      <c r="B31" s="17" t="n"/>
      <c r="C31" s="17" t="n"/>
      <c r="D31" s="17" t="n"/>
      <c r="E31" s="17" t="n"/>
      <c r="F31" s="42">
        <f>IF(OR(D31="",E31=""),"",D31*E31)</f>
        <v/>
      </c>
      <c r="G31" s="19">
        <f>IF(F31="","",IF(F31&gt;=15,"ALTO",IF(F31&gt;=8,"MEDIO","BAJO")))</f>
        <v/>
      </c>
      <c r="H31" s="17" t="n"/>
      <c r="I31" s="17" t="n"/>
      <c r="J31" s="47" t="n"/>
      <c r="K31" s="17" t="n"/>
      <c r="L31" s="4" t="n"/>
      <c r="M31" s="4" t="n"/>
      <c r="N31" s="4" t="n"/>
      <c r="O31" s="4" t="n"/>
      <c r="P31" s="4" t="n"/>
      <c r="Q31" s="4" t="n"/>
      <c r="R31" s="4" t="n"/>
    </row>
    <row r="32">
      <c r="A32" s="46" t="n">
        <v>28</v>
      </c>
      <c r="B32" s="17" t="n"/>
      <c r="C32" s="17" t="n"/>
      <c r="D32" s="17" t="n"/>
      <c r="E32" s="17" t="n"/>
      <c r="F32" s="42">
        <f>IF(OR(D32="",E32=""),"",D32*E32)</f>
        <v/>
      </c>
      <c r="G32" s="19">
        <f>IF(F32="","",IF(F32&gt;=15,"ALTO",IF(F32&gt;=8,"MEDIO","BAJO")))</f>
        <v/>
      </c>
      <c r="H32" s="17" t="n"/>
      <c r="I32" s="17" t="n"/>
      <c r="J32" s="47" t="n"/>
      <c r="K32" s="17" t="n"/>
      <c r="L32" s="4" t="n"/>
      <c r="M32" s="4" t="n"/>
      <c r="N32" s="4" t="n"/>
      <c r="O32" s="4" t="n"/>
      <c r="P32" s="4" t="n"/>
      <c r="Q32" s="4" t="n"/>
      <c r="R32" s="4" t="n"/>
    </row>
    <row r="33">
      <c r="A33" s="46" t="n">
        <v>29</v>
      </c>
      <c r="B33" s="17" t="n"/>
      <c r="C33" s="17" t="n"/>
      <c r="D33" s="17" t="n"/>
      <c r="E33" s="17" t="n"/>
      <c r="F33" s="42">
        <f>IF(OR(D33="",E33=""),"",D33*E33)</f>
        <v/>
      </c>
      <c r="G33" s="19">
        <f>IF(F33="","",IF(F33&gt;=15,"ALTO",IF(F33&gt;=8,"MEDIO","BAJO")))</f>
        <v/>
      </c>
      <c r="H33" s="17" t="n"/>
      <c r="I33" s="17" t="n"/>
      <c r="J33" s="47" t="n"/>
      <c r="K33" s="17" t="n"/>
      <c r="L33" s="4" t="n"/>
      <c r="M33" s="4" t="n"/>
      <c r="N33" s="4" t="n"/>
      <c r="O33" s="4" t="n"/>
      <c r="P33" s="4" t="n"/>
      <c r="Q33" s="4" t="n"/>
      <c r="R33" s="4" t="n"/>
    </row>
    <row r="34">
      <c r="A34" s="46" t="n">
        <v>30</v>
      </c>
      <c r="B34" s="17" t="n"/>
      <c r="C34" s="17" t="n"/>
      <c r="D34" s="17" t="n"/>
      <c r="E34" s="17" t="n"/>
      <c r="F34" s="42">
        <f>IF(OR(D34="",E34=""),"",D34*E34)</f>
        <v/>
      </c>
      <c r="G34" s="19">
        <f>IF(F34="","",IF(F34&gt;=15,"ALTO",IF(F34&gt;=8,"MEDIO","BAJO")))</f>
        <v/>
      </c>
      <c r="H34" s="17" t="n"/>
      <c r="I34" s="17" t="n"/>
      <c r="J34" s="47" t="n"/>
      <c r="K34" s="17" t="n"/>
      <c r="L34" s="4" t="n"/>
      <c r="M34" s="4" t="n"/>
      <c r="N34" s="4" t="n"/>
      <c r="O34" s="4" t="n"/>
      <c r="P34" s="4" t="n"/>
      <c r="Q34" s="4" t="n"/>
      <c r="R34" s="4" t="n"/>
    </row>
    <row r="35">
      <c r="A35" s="46" t="n">
        <v>31</v>
      </c>
      <c r="B35" s="17" t="n"/>
      <c r="C35" s="17" t="n"/>
      <c r="D35" s="17" t="n"/>
      <c r="E35" s="17" t="n"/>
      <c r="F35" s="42">
        <f>IF(OR(D35="",E35=""),"",D35*E35)</f>
        <v/>
      </c>
      <c r="G35" s="19">
        <f>IF(F35="","",IF(F35&gt;=15,"ALTO",IF(F35&gt;=8,"MEDIO","BAJO")))</f>
        <v/>
      </c>
      <c r="H35" s="17" t="n"/>
      <c r="I35" s="17" t="n"/>
      <c r="J35" s="47" t="n"/>
      <c r="K35" s="17" t="n"/>
      <c r="L35" s="4" t="n"/>
      <c r="M35" s="4" t="n"/>
      <c r="N35" s="4" t="n"/>
      <c r="O35" s="4" t="n"/>
      <c r="P35" s="4" t="n"/>
      <c r="Q35" s="4" t="n"/>
      <c r="R35" s="4" t="n"/>
    </row>
    <row r="36">
      <c r="A36" s="46" t="n">
        <v>32</v>
      </c>
      <c r="B36" s="17" t="n"/>
      <c r="C36" s="17" t="n"/>
      <c r="D36" s="17" t="n"/>
      <c r="E36" s="17" t="n"/>
      <c r="F36" s="42">
        <f>IF(OR(D36="",E36=""),"",D36*E36)</f>
        <v/>
      </c>
      <c r="G36" s="19">
        <f>IF(F36="","",IF(F36&gt;=15,"ALTO",IF(F36&gt;=8,"MEDIO","BAJO")))</f>
        <v/>
      </c>
      <c r="H36" s="17" t="n"/>
      <c r="I36" s="17" t="n"/>
      <c r="J36" s="47" t="n"/>
      <c r="K36" s="17" t="n"/>
      <c r="L36" s="4" t="n"/>
      <c r="M36" s="4" t="n"/>
      <c r="N36" s="4" t="n"/>
      <c r="O36" s="4" t="n"/>
      <c r="P36" s="4" t="n"/>
      <c r="Q36" s="4" t="n"/>
      <c r="R36" s="4" t="n"/>
    </row>
    <row r="37">
      <c r="A37" s="46" t="n">
        <v>33</v>
      </c>
      <c r="B37" s="17" t="n"/>
      <c r="C37" s="17" t="n"/>
      <c r="D37" s="17" t="n"/>
      <c r="E37" s="17" t="n"/>
      <c r="F37" s="42">
        <f>IF(OR(D37="",E37=""),"",D37*E37)</f>
        <v/>
      </c>
      <c r="G37" s="19">
        <f>IF(F37="","",IF(F37&gt;=15,"ALTO",IF(F37&gt;=8,"MEDIO","BAJO")))</f>
        <v/>
      </c>
      <c r="H37" s="17" t="n"/>
      <c r="I37" s="17" t="n"/>
      <c r="J37" s="47" t="n"/>
      <c r="K37" s="17" t="n"/>
      <c r="L37" s="4" t="n"/>
      <c r="M37" s="4" t="n"/>
      <c r="N37" s="4" t="n"/>
      <c r="O37" s="4" t="n"/>
      <c r="P37" s="4" t="n"/>
      <c r="Q37" s="4" t="n"/>
      <c r="R37" s="4" t="n"/>
    </row>
    <row r="38">
      <c r="A38" s="46" t="n">
        <v>34</v>
      </c>
      <c r="B38" s="17" t="n"/>
      <c r="C38" s="17" t="n"/>
      <c r="D38" s="17" t="n"/>
      <c r="E38" s="17" t="n"/>
      <c r="F38" s="42">
        <f>IF(OR(D38="",E38=""),"",D38*E38)</f>
        <v/>
      </c>
      <c r="G38" s="19">
        <f>IF(F38="","",IF(F38&gt;=15,"ALTO",IF(F38&gt;=8,"MEDIO","BAJO")))</f>
        <v/>
      </c>
      <c r="H38" s="17" t="n"/>
      <c r="I38" s="17" t="n"/>
      <c r="J38" s="47" t="n"/>
      <c r="K38" s="17" t="n"/>
      <c r="L38" s="4" t="n"/>
      <c r="M38" s="4" t="n"/>
      <c r="N38" s="4" t="n"/>
      <c r="O38" s="4" t="n"/>
      <c r="P38" s="4" t="n"/>
      <c r="Q38" s="4" t="n"/>
      <c r="R38" s="4" t="n"/>
    </row>
    <row r="39">
      <c r="A39" s="46" t="n">
        <v>35</v>
      </c>
      <c r="B39" s="17" t="n"/>
      <c r="C39" s="17" t="n"/>
      <c r="D39" s="17" t="n"/>
      <c r="E39" s="17" t="n"/>
      <c r="F39" s="42">
        <f>IF(OR(D39="",E39=""),"",D39*E39)</f>
        <v/>
      </c>
      <c r="G39" s="19">
        <f>IF(F39="","",IF(F39&gt;=15,"ALTO",IF(F39&gt;=8,"MEDIO","BAJO")))</f>
        <v/>
      </c>
      <c r="H39" s="17" t="n"/>
      <c r="I39" s="17" t="n"/>
      <c r="J39" s="47" t="n"/>
      <c r="K39" s="17" t="n"/>
      <c r="L39" s="4" t="n"/>
      <c r="M39" s="4" t="n"/>
      <c r="N39" s="4" t="n"/>
      <c r="O39" s="4" t="n"/>
      <c r="P39" s="4" t="n"/>
      <c r="Q39" s="4" t="n"/>
      <c r="R39" s="4" t="n"/>
    </row>
    <row r="40">
      <c r="A40" s="46" t="n">
        <v>36</v>
      </c>
      <c r="B40" s="17" t="n"/>
      <c r="C40" s="17" t="n"/>
      <c r="D40" s="17" t="n"/>
      <c r="E40" s="17" t="n"/>
      <c r="F40" s="42">
        <f>IF(OR(D40="",E40=""),"",D40*E40)</f>
        <v/>
      </c>
      <c r="G40" s="19">
        <f>IF(F40="","",IF(F40&gt;=15,"ALTO",IF(F40&gt;=8,"MEDIO","BAJO")))</f>
        <v/>
      </c>
      <c r="H40" s="17" t="n"/>
      <c r="I40" s="17" t="n"/>
      <c r="J40" s="47" t="n"/>
      <c r="K40" s="17" t="n"/>
      <c r="L40" s="4" t="n"/>
      <c r="M40" s="4" t="n"/>
      <c r="N40" s="4" t="n"/>
      <c r="O40" s="4" t="n"/>
      <c r="P40" s="4" t="n"/>
      <c r="Q40" s="4" t="n"/>
      <c r="R40" s="4" t="n"/>
    </row>
    <row r="41">
      <c r="A41" s="46" t="n">
        <v>37</v>
      </c>
      <c r="B41" s="17" t="n"/>
      <c r="C41" s="17" t="n"/>
      <c r="D41" s="17" t="n"/>
      <c r="E41" s="17" t="n"/>
      <c r="F41" s="42">
        <f>IF(OR(D41="",E41=""),"",D41*E41)</f>
        <v/>
      </c>
      <c r="G41" s="19">
        <f>IF(F41="","",IF(F41&gt;=15,"ALTO",IF(F41&gt;=8,"MEDIO","BAJO")))</f>
        <v/>
      </c>
      <c r="H41" s="17" t="n"/>
      <c r="I41" s="17" t="n"/>
      <c r="J41" s="47" t="n"/>
      <c r="K41" s="17" t="n"/>
      <c r="L41" s="4" t="n"/>
      <c r="M41" s="4" t="n"/>
      <c r="N41" s="4" t="n"/>
      <c r="O41" s="4" t="n"/>
      <c r="P41" s="4" t="n"/>
      <c r="Q41" s="4" t="n"/>
      <c r="R41" s="4" t="n"/>
    </row>
    <row r="42">
      <c r="A42" s="46" t="n">
        <v>38</v>
      </c>
      <c r="B42" s="17" t="n"/>
      <c r="C42" s="17" t="n"/>
      <c r="D42" s="17" t="n"/>
      <c r="E42" s="17" t="n"/>
      <c r="F42" s="42">
        <f>IF(OR(D42="",E42=""),"",D42*E42)</f>
        <v/>
      </c>
      <c r="G42" s="19">
        <f>IF(F42="","",IF(F42&gt;=15,"ALTO",IF(F42&gt;=8,"MEDIO","BAJO")))</f>
        <v/>
      </c>
      <c r="H42" s="17" t="n"/>
      <c r="I42" s="17" t="n"/>
      <c r="J42" s="47" t="n"/>
      <c r="K42" s="17" t="n"/>
      <c r="L42" s="4" t="n"/>
      <c r="M42" s="4" t="n"/>
      <c r="N42" s="4" t="n"/>
      <c r="O42" s="4" t="n"/>
      <c r="P42" s="4" t="n"/>
      <c r="Q42" s="4" t="n"/>
      <c r="R42" s="4" t="n"/>
    </row>
    <row r="43">
      <c r="A43" s="46" t="n">
        <v>39</v>
      </c>
      <c r="B43" s="17" t="n"/>
      <c r="C43" s="17" t="n"/>
      <c r="D43" s="17" t="n"/>
      <c r="E43" s="17" t="n"/>
      <c r="F43" s="42">
        <f>IF(OR(D43="",E43=""),"",D43*E43)</f>
        <v/>
      </c>
      <c r="G43" s="19">
        <f>IF(F43="","",IF(F43&gt;=15,"ALTO",IF(F43&gt;=8,"MEDIO","BAJO")))</f>
        <v/>
      </c>
      <c r="H43" s="17" t="n"/>
      <c r="I43" s="17" t="n"/>
      <c r="J43" s="47" t="n"/>
      <c r="K43" s="17" t="n"/>
      <c r="L43" s="4" t="n"/>
      <c r="M43" s="4" t="n"/>
      <c r="N43" s="4" t="n"/>
      <c r="O43" s="4" t="n"/>
      <c r="P43" s="4" t="n"/>
      <c r="Q43" s="4" t="n"/>
      <c r="R43" s="4" t="n"/>
    </row>
    <row r="44">
      <c r="A44" s="46" t="n">
        <v>40</v>
      </c>
      <c r="B44" s="17" t="n"/>
      <c r="C44" s="17" t="n"/>
      <c r="D44" s="17" t="n"/>
      <c r="E44" s="17" t="n"/>
      <c r="F44" s="42">
        <f>IF(OR(D44="",E44=""),"",D44*E44)</f>
        <v/>
      </c>
      <c r="G44" s="19">
        <f>IF(F44="","",IF(F44&gt;=15,"ALTO",IF(F44&gt;=8,"MEDIO","BAJO")))</f>
        <v/>
      </c>
      <c r="H44" s="17" t="n"/>
      <c r="I44" s="17" t="n"/>
      <c r="J44" s="47" t="n"/>
      <c r="K44" s="17" t="n"/>
      <c r="L44" s="4" t="n"/>
      <c r="M44" s="4" t="n"/>
      <c r="N44" s="4" t="n"/>
      <c r="O44" s="4" t="n"/>
      <c r="P44" s="4" t="n"/>
      <c r="Q44" s="4" t="n"/>
      <c r="R44" s="4" t="n"/>
    </row>
    <row r="45">
      <c r="A45" s="46" t="n">
        <v>41</v>
      </c>
      <c r="B45" s="17" t="n"/>
      <c r="C45" s="17" t="n"/>
      <c r="D45" s="17" t="n"/>
      <c r="E45" s="17" t="n"/>
      <c r="F45" s="42">
        <f>IF(OR(D45="",E45=""),"",D45*E45)</f>
        <v/>
      </c>
      <c r="G45" s="19">
        <f>IF(F45="","",IF(F45&gt;=15,"ALTO",IF(F45&gt;=8,"MEDIO","BAJO")))</f>
        <v/>
      </c>
      <c r="H45" s="17" t="n"/>
      <c r="I45" s="17" t="n"/>
      <c r="J45" s="47" t="n"/>
      <c r="K45" s="17" t="n"/>
      <c r="L45" s="4" t="n"/>
      <c r="M45" s="4" t="n"/>
      <c r="N45" s="4" t="n"/>
      <c r="O45" s="4" t="n"/>
      <c r="P45" s="4" t="n"/>
      <c r="Q45" s="4" t="n"/>
      <c r="R45" s="4" t="n"/>
    </row>
    <row r="46">
      <c r="A46" s="46" t="n">
        <v>42</v>
      </c>
      <c r="B46" s="17" t="n"/>
      <c r="C46" s="17" t="n"/>
      <c r="D46" s="17" t="n"/>
      <c r="E46" s="17" t="n"/>
      <c r="F46" s="42">
        <f>IF(OR(D46="",E46=""),"",D46*E46)</f>
        <v/>
      </c>
      <c r="G46" s="19">
        <f>IF(F46="","",IF(F46&gt;=15,"ALTO",IF(F46&gt;=8,"MEDIO","BAJO")))</f>
        <v/>
      </c>
      <c r="H46" s="17" t="n"/>
      <c r="I46" s="17" t="n"/>
      <c r="J46" s="47" t="n"/>
      <c r="K46" s="17" t="n"/>
      <c r="L46" s="4" t="n"/>
      <c r="M46" s="4" t="n"/>
      <c r="N46" s="4" t="n"/>
      <c r="O46" s="4" t="n"/>
      <c r="P46" s="4" t="n"/>
      <c r="Q46" s="4" t="n"/>
      <c r="R46" s="4" t="n"/>
    </row>
    <row r="47">
      <c r="A47" s="46" t="n">
        <v>43</v>
      </c>
      <c r="B47" s="17" t="n"/>
      <c r="C47" s="17" t="n"/>
      <c r="D47" s="17" t="n"/>
      <c r="E47" s="17" t="n"/>
      <c r="F47" s="42">
        <f>IF(OR(D47="",E47=""),"",D47*E47)</f>
        <v/>
      </c>
      <c r="G47" s="19">
        <f>IF(F47="","",IF(F47&gt;=15,"ALTO",IF(F47&gt;=8,"MEDIO","BAJO")))</f>
        <v/>
      </c>
      <c r="H47" s="17" t="n"/>
      <c r="I47" s="17" t="n"/>
      <c r="J47" s="47" t="n"/>
      <c r="K47" s="17" t="n"/>
      <c r="L47" s="4" t="n"/>
      <c r="M47" s="4" t="n"/>
      <c r="N47" s="4" t="n"/>
      <c r="O47" s="4" t="n"/>
      <c r="P47" s="4" t="n"/>
      <c r="Q47" s="4" t="n"/>
      <c r="R47" s="4" t="n"/>
    </row>
    <row r="48">
      <c r="A48" s="46" t="n">
        <v>44</v>
      </c>
      <c r="B48" s="17" t="n"/>
      <c r="C48" s="17" t="n"/>
      <c r="D48" s="17" t="n"/>
      <c r="E48" s="17" t="n"/>
      <c r="F48" s="42">
        <f>IF(OR(D48="",E48=""),"",D48*E48)</f>
        <v/>
      </c>
      <c r="G48" s="19">
        <f>IF(F48="","",IF(F48&gt;=15,"ALTO",IF(F48&gt;=8,"MEDIO","BAJO")))</f>
        <v/>
      </c>
      <c r="H48" s="17" t="n"/>
      <c r="I48" s="17" t="n"/>
      <c r="J48" s="47" t="n"/>
      <c r="K48" s="17" t="n"/>
      <c r="L48" s="4" t="n"/>
      <c r="M48" s="4" t="n"/>
      <c r="N48" s="4" t="n"/>
      <c r="O48" s="4" t="n"/>
      <c r="P48" s="4" t="n"/>
      <c r="Q48" s="4" t="n"/>
      <c r="R48" s="4" t="n"/>
    </row>
    <row r="49">
      <c r="A49" s="46" t="n">
        <v>45</v>
      </c>
      <c r="B49" s="17" t="n"/>
      <c r="C49" s="17" t="n"/>
      <c r="D49" s="17" t="n"/>
      <c r="E49" s="17" t="n"/>
      <c r="F49" s="42">
        <f>IF(OR(D49="",E49=""),"",D49*E49)</f>
        <v/>
      </c>
      <c r="G49" s="19">
        <f>IF(F49="","",IF(F49&gt;=15,"ALTO",IF(F49&gt;=8,"MEDIO","BAJO")))</f>
        <v/>
      </c>
      <c r="H49" s="17" t="n"/>
      <c r="I49" s="17" t="n"/>
      <c r="J49" s="47" t="n"/>
      <c r="K49" s="17" t="n"/>
      <c r="L49" s="4" t="n"/>
      <c r="M49" s="4" t="n"/>
      <c r="N49" s="4" t="n"/>
      <c r="O49" s="4" t="n"/>
      <c r="P49" s="4" t="n"/>
      <c r="Q49" s="4" t="n"/>
      <c r="R49" s="4" t="n"/>
    </row>
    <row r="50">
      <c r="A50" s="46" t="n">
        <v>46</v>
      </c>
      <c r="B50" s="17" t="n"/>
      <c r="C50" s="17" t="n"/>
      <c r="D50" s="17" t="n"/>
      <c r="E50" s="17" t="n"/>
      <c r="F50" s="42">
        <f>IF(OR(D50="",E50=""),"",D50*E50)</f>
        <v/>
      </c>
      <c r="G50" s="19">
        <f>IF(F50="","",IF(F50&gt;=15,"ALTO",IF(F50&gt;=8,"MEDIO","BAJO")))</f>
        <v/>
      </c>
      <c r="H50" s="17" t="n"/>
      <c r="I50" s="17" t="n"/>
      <c r="J50" s="47" t="n"/>
      <c r="K50" s="17" t="n"/>
      <c r="L50" s="4" t="n"/>
      <c r="M50" s="4" t="n"/>
      <c r="N50" s="4" t="n"/>
      <c r="O50" s="4" t="n"/>
      <c r="P50" s="4" t="n"/>
      <c r="Q50" s="4" t="n"/>
      <c r="R50" s="4" t="n"/>
    </row>
    <row r="51">
      <c r="A51" s="46" t="n">
        <v>47</v>
      </c>
      <c r="B51" s="17" t="n"/>
      <c r="C51" s="17" t="n"/>
      <c r="D51" s="17" t="n"/>
      <c r="E51" s="17" t="n"/>
      <c r="F51" s="42">
        <f>IF(OR(D51="",E51=""),"",D51*E51)</f>
        <v/>
      </c>
      <c r="G51" s="19">
        <f>IF(F51="","",IF(F51&gt;=15,"ALTO",IF(F51&gt;=8,"MEDIO","BAJO")))</f>
        <v/>
      </c>
      <c r="H51" s="17" t="n"/>
      <c r="I51" s="17" t="n"/>
      <c r="J51" s="47" t="n"/>
      <c r="K51" s="17" t="n"/>
      <c r="L51" s="4" t="n"/>
      <c r="M51" s="4" t="n"/>
      <c r="N51" s="4" t="n"/>
      <c r="O51" s="4" t="n"/>
      <c r="P51" s="4" t="n"/>
      <c r="Q51" s="4" t="n"/>
      <c r="R51" s="4" t="n"/>
    </row>
    <row r="52">
      <c r="A52" s="46" t="n">
        <v>48</v>
      </c>
      <c r="B52" s="17" t="n"/>
      <c r="C52" s="17" t="n"/>
      <c r="D52" s="17" t="n"/>
      <c r="E52" s="17" t="n"/>
      <c r="F52" s="42">
        <f>IF(OR(D52="",E52=""),"",D52*E52)</f>
        <v/>
      </c>
      <c r="G52" s="19">
        <f>IF(F52="","",IF(F52&gt;=15,"ALTO",IF(F52&gt;=8,"MEDIO","BAJO")))</f>
        <v/>
      </c>
      <c r="H52" s="17" t="n"/>
      <c r="I52" s="17" t="n"/>
      <c r="J52" s="47" t="n"/>
      <c r="K52" s="17" t="n"/>
      <c r="L52" s="4" t="n"/>
      <c r="M52" s="4" t="n"/>
      <c r="N52" s="4" t="n"/>
      <c r="O52" s="4" t="n"/>
      <c r="P52" s="4" t="n"/>
      <c r="Q52" s="4" t="n"/>
      <c r="R52" s="4" t="n"/>
    </row>
    <row r="53">
      <c r="A53" s="46" t="n">
        <v>49</v>
      </c>
      <c r="B53" s="17" t="n"/>
      <c r="C53" s="17" t="n"/>
      <c r="D53" s="17" t="n"/>
      <c r="E53" s="17" t="n"/>
      <c r="F53" s="42">
        <f>IF(OR(D53="",E53=""),"",D53*E53)</f>
        <v/>
      </c>
      <c r="G53" s="19">
        <f>IF(F53="","",IF(F53&gt;=15,"ALTO",IF(F53&gt;=8,"MEDIO","BAJO")))</f>
        <v/>
      </c>
      <c r="H53" s="17" t="n"/>
      <c r="I53" s="17" t="n"/>
      <c r="J53" s="47" t="n"/>
      <c r="K53" s="17" t="n"/>
      <c r="L53" s="4" t="n"/>
      <c r="M53" s="4" t="n"/>
      <c r="N53" s="4" t="n"/>
      <c r="O53" s="4" t="n"/>
      <c r="P53" s="4" t="n"/>
      <c r="Q53" s="4" t="n"/>
      <c r="R53" s="4" t="n"/>
    </row>
    <row r="54">
      <c r="A54" s="46" t="n">
        <v>50</v>
      </c>
      <c r="B54" s="17" t="n"/>
      <c r="C54" s="17" t="n"/>
      <c r="D54" s="17" t="n"/>
      <c r="E54" s="17" t="n"/>
      <c r="F54" s="42">
        <f>IF(OR(D54="",E54=""),"",D54*E54)</f>
        <v/>
      </c>
      <c r="G54" s="19">
        <f>IF(F54="","",IF(F54&gt;=15,"ALTO",IF(F54&gt;=8,"MEDIO","BAJO")))</f>
        <v/>
      </c>
      <c r="H54" s="17" t="n"/>
      <c r="I54" s="17" t="n"/>
      <c r="J54" s="47" t="n"/>
      <c r="K54" s="17" t="n"/>
      <c r="L54" s="4" t="n"/>
      <c r="M54" s="4" t="n"/>
      <c r="N54" s="4" t="n"/>
      <c r="O54" s="4" t="n"/>
      <c r="P54" s="4" t="n"/>
      <c r="Q54" s="4" t="n"/>
      <c r="R54" s="4" t="n"/>
    </row>
    <row r="55">
      <c r="A55" s="46" t="n">
        <v>51</v>
      </c>
      <c r="B55" s="17" t="n"/>
      <c r="C55" s="17" t="n"/>
      <c r="D55" s="17" t="n"/>
      <c r="E55" s="17" t="n"/>
      <c r="F55" s="42">
        <f>IF(OR(D55="",E55=""),"",D55*E55)</f>
        <v/>
      </c>
      <c r="G55" s="19">
        <f>IF(F55="","",IF(F55&gt;=15,"ALTO",IF(F55&gt;=8,"MEDIO","BAJO")))</f>
        <v/>
      </c>
      <c r="H55" s="17" t="n"/>
      <c r="I55" s="17" t="n"/>
      <c r="J55" s="47" t="n"/>
      <c r="K55" s="17" t="n"/>
      <c r="L55" s="4" t="n"/>
      <c r="M55" s="4" t="n"/>
      <c r="N55" s="4" t="n"/>
      <c r="O55" s="4" t="n"/>
      <c r="P55" s="4" t="n"/>
      <c r="Q55" s="4" t="n"/>
      <c r="R55" s="4" t="n"/>
    </row>
    <row r="56">
      <c r="A56" s="46" t="n">
        <v>52</v>
      </c>
      <c r="B56" s="17" t="n"/>
      <c r="C56" s="17" t="n"/>
      <c r="D56" s="17" t="n"/>
      <c r="E56" s="17" t="n"/>
      <c r="F56" s="42">
        <f>IF(OR(D56="",E56=""),"",D56*E56)</f>
        <v/>
      </c>
      <c r="G56" s="19">
        <f>IF(F56="","",IF(F56&gt;=15,"ALTO",IF(F56&gt;=8,"MEDIO","BAJO")))</f>
        <v/>
      </c>
      <c r="H56" s="17" t="n"/>
      <c r="I56" s="17" t="n"/>
      <c r="J56" s="47" t="n"/>
      <c r="K56" s="17" t="n"/>
      <c r="L56" s="4" t="n"/>
      <c r="M56" s="4" t="n"/>
      <c r="N56" s="4" t="n"/>
      <c r="O56" s="4" t="n"/>
      <c r="P56" s="4" t="n"/>
      <c r="Q56" s="4" t="n"/>
      <c r="R56" s="4" t="n"/>
    </row>
    <row r="57">
      <c r="A57" s="46" t="n">
        <v>53</v>
      </c>
      <c r="B57" s="17" t="n"/>
      <c r="C57" s="17" t="n"/>
      <c r="D57" s="17" t="n"/>
      <c r="E57" s="17" t="n"/>
      <c r="F57" s="42">
        <f>IF(OR(D57="",E57=""),"",D57*E57)</f>
        <v/>
      </c>
      <c r="G57" s="19">
        <f>IF(F57="","",IF(F57&gt;=15,"ALTO",IF(F57&gt;=8,"MEDIO","BAJO")))</f>
        <v/>
      </c>
      <c r="H57" s="17" t="n"/>
      <c r="I57" s="17" t="n"/>
      <c r="J57" s="47" t="n"/>
      <c r="K57" s="17" t="n"/>
      <c r="L57" s="4" t="n"/>
      <c r="M57" s="4" t="n"/>
      <c r="N57" s="4" t="n"/>
      <c r="O57" s="4" t="n"/>
      <c r="P57" s="4" t="n"/>
      <c r="Q57" s="4" t="n"/>
      <c r="R57" s="4" t="n"/>
    </row>
    <row r="58">
      <c r="A58" s="46" t="n">
        <v>54</v>
      </c>
      <c r="B58" s="17" t="n"/>
      <c r="C58" s="17" t="n"/>
      <c r="D58" s="17" t="n"/>
      <c r="E58" s="17" t="n"/>
      <c r="F58" s="42">
        <f>IF(OR(D58="",E58=""),"",D58*E58)</f>
        <v/>
      </c>
      <c r="G58" s="19">
        <f>IF(F58="","",IF(F58&gt;=15,"ALTO",IF(F58&gt;=8,"MEDIO","BAJO")))</f>
        <v/>
      </c>
      <c r="H58" s="17" t="n"/>
      <c r="I58" s="17" t="n"/>
      <c r="J58" s="47" t="n"/>
      <c r="K58" s="17" t="n"/>
      <c r="L58" s="4" t="n"/>
      <c r="M58" s="4" t="n"/>
      <c r="N58" s="4" t="n"/>
      <c r="O58" s="4" t="n"/>
      <c r="P58" s="4" t="n"/>
      <c r="Q58" s="4" t="n"/>
      <c r="R58" s="4" t="n"/>
    </row>
    <row r="59">
      <c r="A59" s="46" t="n">
        <v>55</v>
      </c>
      <c r="B59" s="17" t="n"/>
      <c r="C59" s="17" t="n"/>
      <c r="D59" s="17" t="n"/>
      <c r="E59" s="17" t="n"/>
      <c r="F59" s="42">
        <f>IF(OR(D59="",E59=""),"",D59*E59)</f>
        <v/>
      </c>
      <c r="G59" s="19">
        <f>IF(F59="","",IF(F59&gt;=15,"ALTO",IF(F59&gt;=8,"MEDIO","BAJO")))</f>
        <v/>
      </c>
      <c r="H59" s="17" t="n"/>
      <c r="I59" s="17" t="n"/>
      <c r="J59" s="47" t="n"/>
      <c r="K59" s="17" t="n"/>
      <c r="L59" s="4" t="n"/>
      <c r="M59" s="4" t="n"/>
      <c r="N59" s="4" t="n"/>
      <c r="O59" s="4" t="n"/>
      <c r="P59" s="4" t="n"/>
      <c r="Q59" s="4" t="n"/>
      <c r="R59" s="4" t="n"/>
    </row>
    <row r="60">
      <c r="A60" s="46" t="n">
        <v>56</v>
      </c>
      <c r="B60" s="17" t="n"/>
      <c r="C60" s="17" t="n"/>
      <c r="D60" s="17" t="n"/>
      <c r="E60" s="17" t="n"/>
      <c r="F60" s="42">
        <f>IF(OR(D60="",E60=""),"",D60*E60)</f>
        <v/>
      </c>
      <c r="G60" s="19">
        <f>IF(F60="","",IF(F60&gt;=15,"ALTO",IF(F60&gt;=8,"MEDIO","BAJO")))</f>
        <v/>
      </c>
      <c r="H60" s="17" t="n"/>
      <c r="I60" s="17" t="n"/>
      <c r="J60" s="47" t="n"/>
      <c r="K60" s="17" t="n"/>
      <c r="L60" s="4" t="n"/>
      <c r="M60" s="4" t="n"/>
      <c r="N60" s="4" t="n"/>
      <c r="O60" s="4" t="n"/>
      <c r="P60" s="4" t="n"/>
      <c r="Q60" s="4" t="n"/>
      <c r="R60" s="4" t="n"/>
    </row>
    <row r="61">
      <c r="A61" s="46" t="n">
        <v>57</v>
      </c>
      <c r="B61" s="17" t="n"/>
      <c r="C61" s="17" t="n"/>
      <c r="D61" s="17" t="n"/>
      <c r="E61" s="17" t="n"/>
      <c r="F61" s="42">
        <f>IF(OR(D61="",E61=""),"",D61*E61)</f>
        <v/>
      </c>
      <c r="G61" s="19">
        <f>IF(F61="","",IF(F61&gt;=15,"ALTO",IF(F61&gt;=8,"MEDIO","BAJO")))</f>
        <v/>
      </c>
      <c r="H61" s="17" t="n"/>
      <c r="I61" s="17" t="n"/>
      <c r="J61" s="47" t="n"/>
      <c r="K61" s="17" t="n"/>
      <c r="L61" s="4" t="n"/>
      <c r="M61" s="4" t="n"/>
      <c r="N61" s="4" t="n"/>
      <c r="O61" s="4" t="n"/>
      <c r="P61" s="4" t="n"/>
      <c r="Q61" s="4" t="n"/>
      <c r="R61" s="4" t="n"/>
    </row>
    <row r="62">
      <c r="A62" s="46" t="n">
        <v>58</v>
      </c>
      <c r="B62" s="17" t="n"/>
      <c r="C62" s="17" t="n"/>
      <c r="D62" s="17" t="n"/>
      <c r="E62" s="17" t="n"/>
      <c r="F62" s="42">
        <f>IF(OR(D62="",E62=""),"",D62*E62)</f>
        <v/>
      </c>
      <c r="G62" s="19">
        <f>IF(F62="","",IF(F62&gt;=15,"ALTO",IF(F62&gt;=8,"MEDIO","BAJO")))</f>
        <v/>
      </c>
      <c r="H62" s="17" t="n"/>
      <c r="I62" s="17" t="n"/>
      <c r="J62" s="47" t="n"/>
      <c r="K62" s="17" t="n"/>
      <c r="L62" s="4" t="n"/>
      <c r="M62" s="4" t="n"/>
      <c r="N62" s="4" t="n"/>
      <c r="O62" s="4" t="n"/>
      <c r="P62" s="4" t="n"/>
      <c r="Q62" s="4" t="n"/>
      <c r="R62" s="4" t="n"/>
    </row>
    <row r="63">
      <c r="A63" s="46" t="n">
        <v>59</v>
      </c>
      <c r="B63" s="17" t="n"/>
      <c r="C63" s="17" t="n"/>
      <c r="D63" s="17" t="n"/>
      <c r="E63" s="17" t="n"/>
      <c r="F63" s="42">
        <f>IF(OR(D63="",E63=""),"",D63*E63)</f>
        <v/>
      </c>
      <c r="G63" s="19">
        <f>IF(F63="","",IF(F63&gt;=15,"ALTO",IF(F63&gt;=8,"MEDIO","BAJO")))</f>
        <v/>
      </c>
      <c r="H63" s="17" t="n"/>
      <c r="I63" s="17" t="n"/>
      <c r="J63" s="47" t="n"/>
      <c r="K63" s="17" t="n"/>
      <c r="L63" s="4" t="n"/>
      <c r="M63" s="4" t="n"/>
      <c r="N63" s="4" t="n"/>
      <c r="O63" s="4" t="n"/>
      <c r="P63" s="4" t="n"/>
      <c r="Q63" s="4" t="n"/>
      <c r="R63" s="4" t="n"/>
    </row>
    <row r="64">
      <c r="A64" s="46" t="n">
        <v>60</v>
      </c>
      <c r="B64" s="17" t="n"/>
      <c r="C64" s="17" t="n"/>
      <c r="D64" s="17" t="n"/>
      <c r="E64" s="17" t="n"/>
      <c r="F64" s="42">
        <f>IF(OR(D64="",E64=""),"",D64*E64)</f>
        <v/>
      </c>
      <c r="G64" s="19">
        <f>IF(F64="","",IF(F64&gt;=15,"ALTO",IF(F64&gt;=8,"MEDIO","BAJO")))</f>
        <v/>
      </c>
      <c r="H64" s="17" t="n"/>
      <c r="I64" s="17" t="n"/>
      <c r="J64" s="47" t="n"/>
      <c r="K64" s="17" t="n"/>
      <c r="L64" s="4" t="n"/>
      <c r="M64" s="4" t="n"/>
      <c r="N64" s="4" t="n"/>
      <c r="O64" s="4" t="n"/>
      <c r="P64" s="4" t="n"/>
      <c r="Q64" s="4" t="n"/>
      <c r="R6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64"/>
  <mergeCells count="3">
    <mergeCell ref="A1:I1"/>
    <mergeCell ref="J1:K2"/>
    <mergeCell ref="A2:I2"/>
  </mergeCells>
  <conditionalFormatting sqref="G5:G6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3">
    <dataValidation sqref="D5:E64" showDropDown="0" showInputMessage="0" showErrorMessage="0" allowBlank="1" type="list">
      <formula1>=OFFSET('CATÁLOGOS'!$F$5,0,0,MAX(1,COUNTA('CATÁLOGOS'!$F$5:$F$34)),1)</formula1>
    </dataValidation>
    <dataValidation sqref="H5:H64" showDropDown="0" showInputMessage="0" showErrorMessage="0" allowBlank="1" type="list" errorStyle="warning">
      <formula1>=OFFSET('CATÁLOGOS'!$B$5,0,0,MAX(1,COUNTA('CATÁLOGOS'!$B$5:$B$34)),1)</formula1>
    </dataValidation>
    <dataValidation sqref="K5:K64" showDropDown="0" showInputMessage="0" showErrorMessage="0" allowBlank="1" type="list">
      <formula1>"ABIERTO,EN MITIGACIÓN,CERRADO,MATERIALIZADO"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K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46" customWidth="1" min="4" max="4"/>
    <col width="38" customWidth="1" min="5" max="5"/>
    <col width="20" customWidth="1" min="6" max="6"/>
    <col width="14" customWidth="1" min="7" max="7"/>
    <col width="14" customWidth="1" min="8" max="8"/>
    <col width="14" customWidth="1" min="9" max="9"/>
    <col width="11" customWidth="1" min="10" max="10"/>
    <col width="15" customWidth="1" min="11" max="11"/>
  </cols>
  <sheetData>
    <row r="1" ht="44" customHeight="1">
      <c r="A1" s="22" t="inlineStr">
        <is>
          <t>DECISIONES REQUERIDAS A DIRECCIÓN</t>
        </is>
      </c>
      <c r="J1" s="68" t="inlineStr">
        <is>
          <t>INSERTE SU LOGO
(clic derecho &gt; Insertar imagen)</t>
        </is>
      </c>
      <c r="K1" s="70" t="n"/>
    </row>
    <row r="2" ht="26" customHeight="1">
      <c r="A2" s="71" t="inlineStr">
        <is>
          <t>Contexto, opciones y recomendación para decidir rápido</t>
        </is>
      </c>
      <c r="B2" s="72" t="n"/>
      <c r="C2" s="72" t="n"/>
      <c r="D2" s="72" t="n"/>
      <c r="E2" s="72" t="n"/>
      <c r="F2" s="72" t="n"/>
      <c r="G2" s="72" t="n"/>
      <c r="H2" s="72" t="n"/>
      <c r="I2" s="72" t="n"/>
      <c r="J2" s="73" t="n"/>
      <c r="K2" s="7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32" customHeight="1">
      <c r="A4" s="40" t="inlineStr">
        <is>
          <t>NO.</t>
        </is>
      </c>
      <c r="B4" s="40" t="inlineStr">
        <is>
          <t>DECISIÓN REQUERIDA</t>
        </is>
      </c>
      <c r="C4" s="40" t="inlineStr">
        <is>
          <t>CONTEXTO</t>
        </is>
      </c>
      <c r="D4" s="40" t="inlineStr">
        <is>
          <t>OPCIONES</t>
        </is>
      </c>
      <c r="E4" s="40" t="inlineStr">
        <is>
          <t>RECOMENDACIÓN</t>
        </is>
      </c>
      <c r="F4" s="40" t="inlineStr">
        <is>
          <t>QUIÉN DECIDE</t>
        </is>
      </c>
      <c r="G4" s="40" t="inlineStr">
        <is>
          <t>FECHA REQUERIDA</t>
        </is>
      </c>
      <c r="H4" s="40" t="inlineStr">
        <is>
          <t>ESTATUS</t>
        </is>
      </c>
      <c r="I4" s="40" t="inlineStr">
        <is>
          <t>FECHA DE DECISIÓN</t>
        </is>
      </c>
      <c r="J4" s="40" t="inlineStr">
        <is>
          <t>DÍAS DE RETRASO</t>
        </is>
      </c>
      <c r="K4" s="40" t="inlineStr">
        <is>
          <t>SEMÁFORO</t>
        </is>
      </c>
    </row>
    <row r="5">
      <c r="A5" s="46" t="n">
        <v>1</v>
      </c>
      <c r="B5" s="17" t="inlineStr">
        <is>
          <t>AUTORIZAR AMPLIACIÓN DE PRESUPUESTO DE CIERRE DE OBRA</t>
        </is>
      </c>
      <c r="C5" s="56" t="inlineStr">
        <is>
          <t>SOBRECOSTO DE 4.8% POR OBRA ADICIONAL SOLICITADA POR EL CLIENTE</t>
        </is>
      </c>
      <c r="D5" s="56" t="inlineStr">
        <is>
          <t>A) AUTORIZAR $150,000; B) NEGOCIAR COSTO CON CLIENTE; C) ABSORBER</t>
        </is>
      </c>
      <c r="E5" s="56" t="inlineStr">
        <is>
          <t>OPCIÓN B CON RESPALDO DE ORDEN DE CAMBIO</t>
        </is>
      </c>
      <c r="F5" s="17" t="inlineStr">
        <is>
          <t>DIRECCIÓN</t>
        </is>
      </c>
      <c r="G5" s="47" t="n">
        <v>46301</v>
      </c>
      <c r="H5" s="17" t="inlineStr">
        <is>
          <t>PENDIENTE</t>
        </is>
      </c>
      <c r="I5" s="47" t="n"/>
      <c r="J5" s="42">
        <f>IF(OR(B5="",G5="",H5&lt;&gt;"PENDIENTE"),"",MAX(0,FECHA_CORTE-G5))</f>
        <v/>
      </c>
      <c r="K5" s="19">
        <f>IF(B5="","",IF(H5&lt;&gt;"PENDIENTE","CUMPLIDO",IF(G5="","SIN FECHA",IF(G5&lt;FECHA_CORTE,"VENCIDO",IF(G5-FECHA_CORTE&lt;=2,"POR VENCER","EN TIEMPO")))))</f>
        <v/>
      </c>
    </row>
    <row r="6">
      <c r="A6" s="46" t="n">
        <v>2</v>
      </c>
      <c r="B6" s="17" t="inlineStr">
        <is>
          <t>SELECCIONAR PROVEEDOR DE ACERO ESTRUCTURAL</t>
        </is>
      </c>
      <c r="C6" s="56" t="inlineStr">
        <is>
          <t>TRES COTIZACIONES CON DIFERENCIAS DE PRECIO Y TIEMPO DE ENTREGA</t>
        </is>
      </c>
      <c r="D6" s="56" t="inlineStr">
        <is>
          <t>A) PROVEEDOR LOCAL; B) IMPORTADO; C) DIVIDIR PEDIDO</t>
        </is>
      </c>
      <c r="E6" s="56" t="inlineStr">
        <is>
          <t>OPCIÓN C PARA MITIGAR RETRASO</t>
        </is>
      </c>
      <c r="F6" s="17" t="inlineStr">
        <is>
          <t>DIRECCIÓN</t>
        </is>
      </c>
      <c r="G6" s="47" t="n">
        <v>46304</v>
      </c>
      <c r="H6" s="17" t="inlineStr">
        <is>
          <t>PENDIENTE</t>
        </is>
      </c>
      <c r="I6" s="47" t="n"/>
      <c r="J6" s="42">
        <f>IF(OR(B6="",G6="",H6&lt;&gt;"PENDIENTE"),"",MAX(0,FECHA_CORTE-G6))</f>
        <v/>
      </c>
      <c r="K6" s="19">
        <f>IF(B6="","",IF(H6&lt;&gt;"PENDIENTE","CUMPLIDO",IF(G6="","SIN FECHA",IF(G6&lt;FECHA_CORTE,"VENCIDO",IF(G6-FECHA_CORTE&lt;=2,"POR VENCER","EN TIEMPO")))))</f>
        <v/>
      </c>
    </row>
    <row r="7">
      <c r="A7" s="46" t="n">
        <v>3</v>
      </c>
      <c r="B7" s="17" t="inlineStr">
        <is>
          <t>CONTRATAR APOYO TEMPORAL PARA CIERRE FISCAL</t>
        </is>
      </c>
      <c r="C7" s="56" t="inlineStr">
        <is>
          <t>CARGA DE TRABAJO DEL CIERRE DE SEPTIEMBRE</t>
        </is>
      </c>
      <c r="D7" s="56" t="inlineStr">
        <is>
          <t>A) CONTRATAR; B) HORAS EXTRA</t>
        </is>
      </c>
      <c r="E7" s="56" t="inlineStr">
        <is>
          <t>OPCIÓN A POR 4 SEMANAS</t>
        </is>
      </c>
      <c r="F7" s="17" t="inlineStr">
        <is>
          <t>DIRECCIÓN</t>
        </is>
      </c>
      <c r="G7" s="47" t="n">
        <v>46298</v>
      </c>
      <c r="H7" s="17" t="inlineStr">
        <is>
          <t>APROBADA</t>
        </is>
      </c>
      <c r="I7" s="47" t="n"/>
      <c r="J7" s="42">
        <f>IF(OR(B7="",G7="",H7&lt;&gt;"PENDIENTE"),"",MAX(0,FECHA_CORTE-G7))</f>
        <v/>
      </c>
      <c r="K7" s="19">
        <f>IF(B7="","",IF(H7&lt;&gt;"PENDIENTE","CUMPLIDO",IF(G7="","SIN FECHA",IF(G7&lt;FECHA_CORTE,"VENCIDO",IF(G7-FECHA_CORTE&lt;=2,"POR VENCER","EN TIEMPO")))))</f>
        <v/>
      </c>
    </row>
    <row r="8">
      <c r="A8" s="46" t="n">
        <v>4</v>
      </c>
      <c r="B8" s="17" t="inlineStr">
        <is>
          <t>CAMBIAR PROCESO DE AUTORIZACIÓN DE COMPRAS MAYORES A $50,000</t>
        </is>
      </c>
      <c r="C8" s="56" t="inlineStr">
        <is>
          <t>COMPRAS SIN SOPORTE COMPLETO</t>
        </is>
      </c>
      <c r="D8" s="56" t="inlineStr">
        <is>
          <t>A) DOBLE FIRMA; B) COMITÉ SEMANAL</t>
        </is>
      </c>
      <c r="E8" s="56" t="inlineStr">
        <is>
          <t>OPCIÓN A</t>
        </is>
      </c>
      <c r="F8" s="17" t="inlineStr">
        <is>
          <t>DIRECCIÓN</t>
        </is>
      </c>
      <c r="G8" s="47" t="n">
        <v>46307</v>
      </c>
      <c r="H8" s="17" t="inlineStr">
        <is>
          <t>PENDIENTE</t>
        </is>
      </c>
      <c r="I8" s="47" t="n"/>
      <c r="J8" s="42">
        <f>IF(OR(B8="",G8="",H8&lt;&gt;"PENDIENTE"),"",MAX(0,FECHA_CORTE-G8))</f>
        <v/>
      </c>
      <c r="K8" s="19">
        <f>IF(B8="","",IF(H8&lt;&gt;"PENDIENTE","CUMPLIDO",IF(G8="","SIN FECHA",IF(G8&lt;FECHA_CORTE,"VENCIDO",IF(G8-FECHA_CORTE&lt;=2,"POR VENCER","EN TIEMPO")))))</f>
        <v/>
      </c>
    </row>
    <row r="9">
      <c r="A9" s="46" t="n">
        <v>5</v>
      </c>
      <c r="B9" s="17" t="n"/>
      <c r="C9" s="56" t="n"/>
      <c r="D9" s="56" t="n"/>
      <c r="E9" s="56" t="n"/>
      <c r="F9" s="17" t="n"/>
      <c r="G9" s="47" t="n"/>
      <c r="H9" s="17" t="n"/>
      <c r="I9" s="47" t="n"/>
      <c r="J9" s="42">
        <f>IF(OR(B9="",G9="",H9&lt;&gt;"PENDIENTE"),"",MAX(0,FECHA_CORTE-G9))</f>
        <v/>
      </c>
      <c r="K9" s="19">
        <f>IF(B9="","",IF(H9&lt;&gt;"PENDIENTE","CUMPLIDO",IF(G9="","SIN FECHA",IF(G9&lt;FECHA_CORTE,"VENCIDO",IF(G9-FECHA_CORTE&lt;=2,"POR VENCER","EN TIEMPO")))))</f>
        <v/>
      </c>
    </row>
    <row r="10">
      <c r="A10" s="46" t="n">
        <v>6</v>
      </c>
      <c r="B10" s="17" t="n"/>
      <c r="C10" s="56" t="n"/>
      <c r="D10" s="56" t="n"/>
      <c r="E10" s="56" t="n"/>
      <c r="F10" s="17" t="n"/>
      <c r="G10" s="47" t="n"/>
      <c r="H10" s="17" t="n"/>
      <c r="I10" s="47" t="n"/>
      <c r="J10" s="42">
        <f>IF(OR(B10="",G10="",H10&lt;&gt;"PENDIENTE"),"",MAX(0,FECHA_CORTE-G10))</f>
        <v/>
      </c>
      <c r="K10" s="19">
        <f>IF(B10="","",IF(H10&lt;&gt;"PENDIENTE","CUMPLIDO",IF(G10="","SIN FECHA",IF(G10&lt;FECHA_CORTE,"VENCIDO",IF(G10-FECHA_CORTE&lt;=2,"POR VENCER","EN TIEMPO")))))</f>
        <v/>
      </c>
    </row>
    <row r="11">
      <c r="A11" s="46" t="n">
        <v>7</v>
      </c>
      <c r="B11" s="17" t="n"/>
      <c r="C11" s="56" t="n"/>
      <c r="D11" s="56" t="n"/>
      <c r="E11" s="56" t="n"/>
      <c r="F11" s="17" t="n"/>
      <c r="G11" s="47" t="n"/>
      <c r="H11" s="17" t="n"/>
      <c r="I11" s="47" t="n"/>
      <c r="J11" s="42">
        <f>IF(OR(B11="",G11="",H11&lt;&gt;"PENDIENTE"),"",MAX(0,FECHA_CORTE-G11))</f>
        <v/>
      </c>
      <c r="K11" s="19">
        <f>IF(B11="","",IF(H11&lt;&gt;"PENDIENTE","CUMPLIDO",IF(G11="","SIN FECHA",IF(G11&lt;FECHA_CORTE,"VENCIDO",IF(G11-FECHA_CORTE&lt;=2,"POR VENCER","EN TIEMPO")))))</f>
        <v/>
      </c>
    </row>
    <row r="12">
      <c r="A12" s="46" t="n">
        <v>8</v>
      </c>
      <c r="B12" s="17" t="n"/>
      <c r="C12" s="56" t="n"/>
      <c r="D12" s="56" t="n"/>
      <c r="E12" s="56" t="n"/>
      <c r="F12" s="17" t="n"/>
      <c r="G12" s="47" t="n"/>
      <c r="H12" s="17" t="n"/>
      <c r="I12" s="47" t="n"/>
      <c r="J12" s="42">
        <f>IF(OR(B12="",G12="",H12&lt;&gt;"PENDIENTE"),"",MAX(0,FECHA_CORTE-G12))</f>
        <v/>
      </c>
      <c r="K12" s="19">
        <f>IF(B12="","",IF(H12&lt;&gt;"PENDIENTE","CUMPLIDO",IF(G12="","SIN FECHA",IF(G12&lt;FECHA_CORTE,"VENCIDO",IF(G12-FECHA_CORTE&lt;=2,"POR VENCER","EN TIEMPO")))))</f>
        <v/>
      </c>
    </row>
    <row r="13">
      <c r="A13" s="46" t="n">
        <v>9</v>
      </c>
      <c r="B13" s="17" t="n"/>
      <c r="C13" s="56" t="n"/>
      <c r="D13" s="56" t="n"/>
      <c r="E13" s="56" t="n"/>
      <c r="F13" s="17" t="n"/>
      <c r="G13" s="47" t="n"/>
      <c r="H13" s="17" t="n"/>
      <c r="I13" s="47" t="n"/>
      <c r="J13" s="42">
        <f>IF(OR(B13="",G13="",H13&lt;&gt;"PENDIENTE"),"",MAX(0,FECHA_CORTE-G13))</f>
        <v/>
      </c>
      <c r="K13" s="19">
        <f>IF(B13="","",IF(H13&lt;&gt;"PENDIENTE","CUMPLIDO",IF(G13="","SIN FECHA",IF(G13&lt;FECHA_CORTE,"VENCIDO",IF(G13-FECHA_CORTE&lt;=2,"POR VENCER","EN TIEMPO")))))</f>
        <v/>
      </c>
    </row>
    <row r="14">
      <c r="A14" s="46" t="n">
        <v>10</v>
      </c>
      <c r="B14" s="17" t="n"/>
      <c r="C14" s="56" t="n"/>
      <c r="D14" s="56" t="n"/>
      <c r="E14" s="56" t="n"/>
      <c r="F14" s="17" t="n"/>
      <c r="G14" s="47" t="n"/>
      <c r="H14" s="17" t="n"/>
      <c r="I14" s="47" t="n"/>
      <c r="J14" s="42">
        <f>IF(OR(B14="",G14="",H14&lt;&gt;"PENDIENTE"),"",MAX(0,FECHA_CORTE-G14))</f>
        <v/>
      </c>
      <c r="K14" s="19">
        <f>IF(B14="","",IF(H14&lt;&gt;"PENDIENTE","CUMPLIDO",IF(G14="","SIN FECHA",IF(G14&lt;FECHA_CORTE,"VENCIDO",IF(G14-FECHA_CORTE&lt;=2,"POR VENCER","EN TIEMPO")))))</f>
        <v/>
      </c>
    </row>
    <row r="15">
      <c r="A15" s="46" t="n">
        <v>11</v>
      </c>
      <c r="B15" s="17" t="n"/>
      <c r="C15" s="56" t="n"/>
      <c r="D15" s="56" t="n"/>
      <c r="E15" s="56" t="n"/>
      <c r="F15" s="17" t="n"/>
      <c r="G15" s="47" t="n"/>
      <c r="H15" s="17" t="n"/>
      <c r="I15" s="47" t="n"/>
      <c r="J15" s="42">
        <f>IF(OR(B15="",G15="",H15&lt;&gt;"PENDIENTE"),"",MAX(0,FECHA_CORTE-G15))</f>
        <v/>
      </c>
      <c r="K15" s="19">
        <f>IF(B15="","",IF(H15&lt;&gt;"PENDIENTE","CUMPLIDO",IF(G15="","SIN FECHA",IF(G15&lt;FECHA_CORTE,"VENCIDO",IF(G15-FECHA_CORTE&lt;=2,"POR VENCER","EN TIEMPO")))))</f>
        <v/>
      </c>
    </row>
    <row r="16">
      <c r="A16" s="46" t="n">
        <v>12</v>
      </c>
      <c r="B16" s="17" t="n"/>
      <c r="C16" s="56" t="n"/>
      <c r="D16" s="56" t="n"/>
      <c r="E16" s="56" t="n"/>
      <c r="F16" s="17" t="n"/>
      <c r="G16" s="47" t="n"/>
      <c r="H16" s="17" t="n"/>
      <c r="I16" s="47" t="n"/>
      <c r="J16" s="42">
        <f>IF(OR(B16="",G16="",H16&lt;&gt;"PENDIENTE"),"",MAX(0,FECHA_CORTE-G16))</f>
        <v/>
      </c>
      <c r="K16" s="19">
        <f>IF(B16="","",IF(H16&lt;&gt;"PENDIENTE","CUMPLIDO",IF(G16="","SIN FECHA",IF(G16&lt;FECHA_CORTE,"VENCIDO",IF(G16-FECHA_CORTE&lt;=2,"POR VENCER","EN TIEMPO")))))</f>
        <v/>
      </c>
    </row>
    <row r="17">
      <c r="A17" s="46" t="n">
        <v>13</v>
      </c>
      <c r="B17" s="17" t="n"/>
      <c r="C17" s="56" t="n"/>
      <c r="D17" s="56" t="n"/>
      <c r="E17" s="56" t="n"/>
      <c r="F17" s="17" t="n"/>
      <c r="G17" s="47" t="n"/>
      <c r="H17" s="17" t="n"/>
      <c r="I17" s="47" t="n"/>
      <c r="J17" s="42">
        <f>IF(OR(B17="",G17="",H17&lt;&gt;"PENDIENTE"),"",MAX(0,FECHA_CORTE-G17))</f>
        <v/>
      </c>
      <c r="K17" s="19">
        <f>IF(B17="","",IF(H17&lt;&gt;"PENDIENTE","CUMPLIDO",IF(G17="","SIN FECHA",IF(G17&lt;FECHA_CORTE,"VENCIDO",IF(G17-FECHA_CORTE&lt;=2,"POR VENCER","EN TIEMPO")))))</f>
        <v/>
      </c>
    </row>
    <row r="18">
      <c r="A18" s="46" t="n">
        <v>14</v>
      </c>
      <c r="B18" s="17" t="n"/>
      <c r="C18" s="56" t="n"/>
      <c r="D18" s="56" t="n"/>
      <c r="E18" s="56" t="n"/>
      <c r="F18" s="17" t="n"/>
      <c r="G18" s="47" t="n"/>
      <c r="H18" s="17" t="n"/>
      <c r="I18" s="47" t="n"/>
      <c r="J18" s="42">
        <f>IF(OR(B18="",G18="",H18&lt;&gt;"PENDIENTE"),"",MAX(0,FECHA_CORTE-G18))</f>
        <v/>
      </c>
      <c r="K18" s="19">
        <f>IF(B18="","",IF(H18&lt;&gt;"PENDIENTE","CUMPLIDO",IF(G18="","SIN FECHA",IF(G18&lt;FECHA_CORTE,"VENCIDO",IF(G18-FECHA_CORTE&lt;=2,"POR VENCER","EN TIEMPO")))))</f>
        <v/>
      </c>
    </row>
    <row r="19">
      <c r="A19" s="46" t="n">
        <v>15</v>
      </c>
      <c r="B19" s="17" t="n"/>
      <c r="C19" s="56" t="n"/>
      <c r="D19" s="56" t="n"/>
      <c r="E19" s="56" t="n"/>
      <c r="F19" s="17" t="n"/>
      <c r="G19" s="47" t="n"/>
      <c r="H19" s="17" t="n"/>
      <c r="I19" s="47" t="n"/>
      <c r="J19" s="42">
        <f>IF(OR(B19="",G19="",H19&lt;&gt;"PENDIENTE"),"",MAX(0,FECHA_CORTE-G19))</f>
        <v/>
      </c>
      <c r="K19" s="19">
        <f>IF(B19="","",IF(H19&lt;&gt;"PENDIENTE","CUMPLIDO",IF(G19="","SIN FECHA",IF(G19&lt;FECHA_CORTE,"VENCIDO",IF(G19-FECHA_CORTE&lt;=2,"POR VENCER","EN TIEMPO")))))</f>
        <v/>
      </c>
    </row>
    <row r="20">
      <c r="A20" s="46" t="n">
        <v>16</v>
      </c>
      <c r="B20" s="17" t="n"/>
      <c r="C20" s="56" t="n"/>
      <c r="D20" s="56" t="n"/>
      <c r="E20" s="56" t="n"/>
      <c r="F20" s="17" t="n"/>
      <c r="G20" s="47" t="n"/>
      <c r="H20" s="17" t="n"/>
      <c r="I20" s="47" t="n"/>
      <c r="J20" s="42">
        <f>IF(OR(B20="",G20="",H20&lt;&gt;"PENDIENTE"),"",MAX(0,FECHA_CORTE-G20))</f>
        <v/>
      </c>
      <c r="K20" s="19">
        <f>IF(B20="","",IF(H20&lt;&gt;"PENDIENTE","CUMPLIDO",IF(G20="","SIN FECHA",IF(G20&lt;FECHA_CORTE,"VENCIDO",IF(G20-FECHA_CORTE&lt;=2,"POR VENCER","EN TIEMPO")))))</f>
        <v/>
      </c>
    </row>
    <row r="21">
      <c r="A21" s="46" t="n">
        <v>17</v>
      </c>
      <c r="B21" s="17" t="n"/>
      <c r="C21" s="56" t="n"/>
      <c r="D21" s="56" t="n"/>
      <c r="E21" s="56" t="n"/>
      <c r="F21" s="17" t="n"/>
      <c r="G21" s="47" t="n"/>
      <c r="H21" s="17" t="n"/>
      <c r="I21" s="47" t="n"/>
      <c r="J21" s="42">
        <f>IF(OR(B21="",G21="",H21&lt;&gt;"PENDIENTE"),"",MAX(0,FECHA_CORTE-G21))</f>
        <v/>
      </c>
      <c r="K21" s="19">
        <f>IF(B21="","",IF(H21&lt;&gt;"PENDIENTE","CUMPLIDO",IF(G21="","SIN FECHA",IF(G21&lt;FECHA_CORTE,"VENCIDO",IF(G21-FECHA_CORTE&lt;=2,"POR VENCER","EN TIEMPO")))))</f>
        <v/>
      </c>
    </row>
    <row r="22">
      <c r="A22" s="46" t="n">
        <v>18</v>
      </c>
      <c r="B22" s="17" t="n"/>
      <c r="C22" s="56" t="n"/>
      <c r="D22" s="56" t="n"/>
      <c r="E22" s="56" t="n"/>
      <c r="F22" s="17" t="n"/>
      <c r="G22" s="47" t="n"/>
      <c r="H22" s="17" t="n"/>
      <c r="I22" s="47" t="n"/>
      <c r="J22" s="42">
        <f>IF(OR(B22="",G22="",H22&lt;&gt;"PENDIENTE"),"",MAX(0,FECHA_CORTE-G22))</f>
        <v/>
      </c>
      <c r="K22" s="19">
        <f>IF(B22="","",IF(H22&lt;&gt;"PENDIENTE","CUMPLIDO",IF(G22="","SIN FECHA",IF(G22&lt;FECHA_CORTE,"VENCIDO",IF(G22-FECHA_CORTE&lt;=2,"POR VENCER","EN TIEMPO")))))</f>
        <v/>
      </c>
    </row>
    <row r="23">
      <c r="A23" s="46" t="n">
        <v>19</v>
      </c>
      <c r="B23" s="17" t="n"/>
      <c r="C23" s="56" t="n"/>
      <c r="D23" s="56" t="n"/>
      <c r="E23" s="56" t="n"/>
      <c r="F23" s="17" t="n"/>
      <c r="G23" s="47" t="n"/>
      <c r="H23" s="17" t="n"/>
      <c r="I23" s="47" t="n"/>
      <c r="J23" s="42">
        <f>IF(OR(B23="",G23="",H23&lt;&gt;"PENDIENTE"),"",MAX(0,FECHA_CORTE-G23))</f>
        <v/>
      </c>
      <c r="K23" s="19">
        <f>IF(B23="","",IF(H23&lt;&gt;"PENDIENTE","CUMPLIDO",IF(G23="","SIN FECHA",IF(G23&lt;FECHA_CORTE,"VENCIDO",IF(G23-FECHA_CORTE&lt;=2,"POR VENCER","EN TIEMPO")))))</f>
        <v/>
      </c>
    </row>
    <row r="24">
      <c r="A24" s="46" t="n">
        <v>20</v>
      </c>
      <c r="B24" s="17" t="n"/>
      <c r="C24" s="56" t="n"/>
      <c r="D24" s="56" t="n"/>
      <c r="E24" s="56" t="n"/>
      <c r="F24" s="17" t="n"/>
      <c r="G24" s="47" t="n"/>
      <c r="H24" s="17" t="n"/>
      <c r="I24" s="47" t="n"/>
      <c r="J24" s="42">
        <f>IF(OR(B24="",G24="",H24&lt;&gt;"PENDIENTE"),"",MAX(0,FECHA_CORTE-G24))</f>
        <v/>
      </c>
      <c r="K24" s="19">
        <f>IF(B24="","",IF(H24&lt;&gt;"PENDIENTE","CUMPLIDO",IF(G24="","SIN FECHA",IF(G24&lt;FECHA_CORTE,"VENCIDO",IF(G24-FECHA_CORTE&lt;=2,"POR VENCER","EN TIEMPO")))))</f>
        <v/>
      </c>
    </row>
    <row r="25">
      <c r="A25" s="46" t="n">
        <v>21</v>
      </c>
      <c r="B25" s="17" t="n"/>
      <c r="C25" s="56" t="n"/>
      <c r="D25" s="56" t="n"/>
      <c r="E25" s="56" t="n"/>
      <c r="F25" s="17" t="n"/>
      <c r="G25" s="47" t="n"/>
      <c r="H25" s="17" t="n"/>
      <c r="I25" s="47" t="n"/>
      <c r="J25" s="42">
        <f>IF(OR(B25="",G25="",H25&lt;&gt;"PENDIENTE"),"",MAX(0,FECHA_CORTE-G25))</f>
        <v/>
      </c>
      <c r="K25" s="19">
        <f>IF(B25="","",IF(H25&lt;&gt;"PENDIENTE","CUMPLIDO",IF(G25="","SIN FECHA",IF(G25&lt;FECHA_CORTE,"VENCIDO",IF(G25-FECHA_CORTE&lt;=2,"POR VENCER","EN TIEMPO")))))</f>
        <v/>
      </c>
    </row>
    <row r="26">
      <c r="A26" s="46" t="n">
        <v>22</v>
      </c>
      <c r="B26" s="17" t="n"/>
      <c r="C26" s="56" t="n"/>
      <c r="D26" s="56" t="n"/>
      <c r="E26" s="56" t="n"/>
      <c r="F26" s="17" t="n"/>
      <c r="G26" s="47" t="n"/>
      <c r="H26" s="17" t="n"/>
      <c r="I26" s="47" t="n"/>
      <c r="J26" s="42">
        <f>IF(OR(B26="",G26="",H26&lt;&gt;"PENDIENTE"),"",MAX(0,FECHA_CORTE-G26))</f>
        <v/>
      </c>
      <c r="K26" s="19">
        <f>IF(B26="","",IF(H26&lt;&gt;"PENDIENTE","CUMPLIDO",IF(G26="","SIN FECHA",IF(G26&lt;FECHA_CORTE,"VENCIDO",IF(G26-FECHA_CORTE&lt;=2,"POR VENCER","EN TIEMPO")))))</f>
        <v/>
      </c>
    </row>
    <row r="27">
      <c r="A27" s="46" t="n">
        <v>23</v>
      </c>
      <c r="B27" s="17" t="n"/>
      <c r="C27" s="56" t="n"/>
      <c r="D27" s="56" t="n"/>
      <c r="E27" s="56" t="n"/>
      <c r="F27" s="17" t="n"/>
      <c r="G27" s="47" t="n"/>
      <c r="H27" s="17" t="n"/>
      <c r="I27" s="47" t="n"/>
      <c r="J27" s="42">
        <f>IF(OR(B27="",G27="",H27&lt;&gt;"PENDIENTE"),"",MAX(0,FECHA_CORTE-G27))</f>
        <v/>
      </c>
      <c r="K27" s="19">
        <f>IF(B27="","",IF(H27&lt;&gt;"PENDIENTE","CUMPLIDO",IF(G27="","SIN FECHA",IF(G27&lt;FECHA_CORTE,"VENCIDO",IF(G27-FECHA_CORTE&lt;=2,"POR VENCER","EN TIEMPO")))))</f>
        <v/>
      </c>
    </row>
    <row r="28">
      <c r="A28" s="46" t="n">
        <v>24</v>
      </c>
      <c r="B28" s="17" t="n"/>
      <c r="C28" s="56" t="n"/>
      <c r="D28" s="56" t="n"/>
      <c r="E28" s="56" t="n"/>
      <c r="F28" s="17" t="n"/>
      <c r="G28" s="47" t="n"/>
      <c r="H28" s="17" t="n"/>
      <c r="I28" s="47" t="n"/>
      <c r="J28" s="42">
        <f>IF(OR(B28="",G28="",H28&lt;&gt;"PENDIENTE"),"",MAX(0,FECHA_CORTE-G28))</f>
        <v/>
      </c>
      <c r="K28" s="19">
        <f>IF(B28="","",IF(H28&lt;&gt;"PENDIENTE","CUMPLIDO",IF(G28="","SIN FECHA",IF(G28&lt;FECHA_CORTE,"VENCIDO",IF(G28-FECHA_CORTE&lt;=2,"POR VENCER","EN TIEMPO")))))</f>
        <v/>
      </c>
    </row>
    <row r="29">
      <c r="A29" s="46" t="n">
        <v>25</v>
      </c>
      <c r="B29" s="17" t="n"/>
      <c r="C29" s="56" t="n"/>
      <c r="D29" s="56" t="n"/>
      <c r="E29" s="56" t="n"/>
      <c r="F29" s="17" t="n"/>
      <c r="G29" s="47" t="n"/>
      <c r="H29" s="17" t="n"/>
      <c r="I29" s="47" t="n"/>
      <c r="J29" s="42">
        <f>IF(OR(B29="",G29="",H29&lt;&gt;"PENDIENTE"),"",MAX(0,FECHA_CORTE-G29))</f>
        <v/>
      </c>
      <c r="K29" s="19">
        <f>IF(B29="","",IF(H29&lt;&gt;"PENDIENTE","CUMPLIDO",IF(G29="","SIN FECHA",IF(G29&lt;FECHA_CORTE,"VENCIDO",IF(G29-FECHA_CORTE&lt;=2,"POR VENCER","EN TIEMPO")))))</f>
        <v/>
      </c>
    </row>
    <row r="30">
      <c r="A30" s="46" t="n">
        <v>26</v>
      </c>
      <c r="B30" s="17" t="n"/>
      <c r="C30" s="56" t="n"/>
      <c r="D30" s="56" t="n"/>
      <c r="E30" s="56" t="n"/>
      <c r="F30" s="17" t="n"/>
      <c r="G30" s="47" t="n"/>
      <c r="H30" s="17" t="n"/>
      <c r="I30" s="47" t="n"/>
      <c r="J30" s="42">
        <f>IF(OR(B30="",G30="",H30&lt;&gt;"PENDIENTE"),"",MAX(0,FECHA_CORTE-G30))</f>
        <v/>
      </c>
      <c r="K30" s="19">
        <f>IF(B30="","",IF(H30&lt;&gt;"PENDIENTE","CUMPLIDO",IF(G30="","SIN FECHA",IF(G30&lt;FECHA_CORTE,"VENCIDO",IF(G30-FECHA_CORTE&lt;=2,"POR VENCER","EN TIEMPO")))))</f>
        <v/>
      </c>
    </row>
    <row r="31">
      <c r="A31" s="46" t="n">
        <v>27</v>
      </c>
      <c r="B31" s="17" t="n"/>
      <c r="C31" s="56" t="n"/>
      <c r="D31" s="56" t="n"/>
      <c r="E31" s="56" t="n"/>
      <c r="F31" s="17" t="n"/>
      <c r="G31" s="47" t="n"/>
      <c r="H31" s="17" t="n"/>
      <c r="I31" s="47" t="n"/>
      <c r="J31" s="42">
        <f>IF(OR(B31="",G31="",H31&lt;&gt;"PENDIENTE"),"",MAX(0,FECHA_CORTE-G31))</f>
        <v/>
      </c>
      <c r="K31" s="19">
        <f>IF(B31="","",IF(H31&lt;&gt;"PENDIENTE","CUMPLIDO",IF(G31="","SIN FECHA",IF(G31&lt;FECHA_CORTE,"VENCIDO",IF(G31-FECHA_CORTE&lt;=2,"POR VENCER","EN TIEMPO")))))</f>
        <v/>
      </c>
    </row>
    <row r="32">
      <c r="A32" s="46" t="n">
        <v>28</v>
      </c>
      <c r="B32" s="17" t="n"/>
      <c r="C32" s="56" t="n"/>
      <c r="D32" s="56" t="n"/>
      <c r="E32" s="56" t="n"/>
      <c r="F32" s="17" t="n"/>
      <c r="G32" s="47" t="n"/>
      <c r="H32" s="17" t="n"/>
      <c r="I32" s="47" t="n"/>
      <c r="J32" s="42">
        <f>IF(OR(B32="",G32="",H32&lt;&gt;"PENDIENTE"),"",MAX(0,FECHA_CORTE-G32))</f>
        <v/>
      </c>
      <c r="K32" s="19">
        <f>IF(B32="","",IF(H32&lt;&gt;"PENDIENTE","CUMPLIDO",IF(G32="","SIN FECHA",IF(G32&lt;FECHA_CORTE,"VENCIDO",IF(G32-FECHA_CORTE&lt;=2,"POR VENCER","EN TIEMPO")))))</f>
        <v/>
      </c>
    </row>
    <row r="33">
      <c r="A33" s="46" t="n">
        <v>29</v>
      </c>
      <c r="B33" s="17" t="n"/>
      <c r="C33" s="56" t="n"/>
      <c r="D33" s="56" t="n"/>
      <c r="E33" s="56" t="n"/>
      <c r="F33" s="17" t="n"/>
      <c r="G33" s="47" t="n"/>
      <c r="H33" s="17" t="n"/>
      <c r="I33" s="47" t="n"/>
      <c r="J33" s="42">
        <f>IF(OR(B33="",G33="",H33&lt;&gt;"PENDIENTE"),"",MAX(0,FECHA_CORTE-G33))</f>
        <v/>
      </c>
      <c r="K33" s="19">
        <f>IF(B33="","",IF(H33&lt;&gt;"PENDIENTE","CUMPLIDO",IF(G33="","SIN FECHA",IF(G33&lt;FECHA_CORTE,"VENCIDO",IF(G33-FECHA_CORTE&lt;=2,"POR VENCER","EN TIEMPO")))))</f>
        <v/>
      </c>
    </row>
    <row r="34">
      <c r="A34" s="46" t="n">
        <v>30</v>
      </c>
      <c r="B34" s="17" t="n"/>
      <c r="C34" s="56" t="n"/>
      <c r="D34" s="56" t="n"/>
      <c r="E34" s="56" t="n"/>
      <c r="F34" s="17" t="n"/>
      <c r="G34" s="47" t="n"/>
      <c r="H34" s="17" t="n"/>
      <c r="I34" s="47" t="n"/>
      <c r="J34" s="42">
        <f>IF(OR(B34="",G34="",H34&lt;&gt;"PENDIENTE"),"",MAX(0,FECHA_CORTE-G34))</f>
        <v/>
      </c>
      <c r="K34" s="19">
        <f>IF(B34="","",IF(H34&lt;&gt;"PENDIENTE","CUMPLIDO",IF(G34="","SIN FECHA",IF(G34&lt;FECHA_CORTE,"VENCIDO",IF(G34-FECHA_CORTE&lt;=2,"POR VENCER","EN TIEMPO")))))</f>
        <v/>
      </c>
    </row>
    <row r="35">
      <c r="A35" s="46" t="n">
        <v>31</v>
      </c>
      <c r="B35" s="17" t="n"/>
      <c r="C35" s="56" t="n"/>
      <c r="D35" s="56" t="n"/>
      <c r="E35" s="56" t="n"/>
      <c r="F35" s="17" t="n"/>
      <c r="G35" s="47" t="n"/>
      <c r="H35" s="17" t="n"/>
      <c r="I35" s="47" t="n"/>
      <c r="J35" s="42">
        <f>IF(OR(B35="",G35="",H35&lt;&gt;"PENDIENTE"),"",MAX(0,FECHA_CORTE-G35))</f>
        <v/>
      </c>
      <c r="K35" s="19">
        <f>IF(B35="","",IF(H35&lt;&gt;"PENDIENTE","CUMPLIDO",IF(G35="","SIN FECHA",IF(G35&lt;FECHA_CORTE,"VENCIDO",IF(G35-FECHA_CORTE&lt;=2,"POR VENCER","EN TIEMPO")))))</f>
        <v/>
      </c>
    </row>
    <row r="36">
      <c r="A36" s="46" t="n">
        <v>32</v>
      </c>
      <c r="B36" s="17" t="n"/>
      <c r="C36" s="56" t="n"/>
      <c r="D36" s="56" t="n"/>
      <c r="E36" s="56" t="n"/>
      <c r="F36" s="17" t="n"/>
      <c r="G36" s="47" t="n"/>
      <c r="H36" s="17" t="n"/>
      <c r="I36" s="47" t="n"/>
      <c r="J36" s="42">
        <f>IF(OR(B36="",G36="",H36&lt;&gt;"PENDIENTE"),"",MAX(0,FECHA_CORTE-G36))</f>
        <v/>
      </c>
      <c r="K36" s="19">
        <f>IF(B36="","",IF(H36&lt;&gt;"PENDIENTE","CUMPLIDO",IF(G36="","SIN FECHA",IF(G36&lt;FECHA_CORTE,"VENCIDO",IF(G36-FECHA_CORTE&lt;=2,"POR VENCER","EN TIEMPO")))))</f>
        <v/>
      </c>
    </row>
    <row r="37">
      <c r="A37" s="46" t="n">
        <v>33</v>
      </c>
      <c r="B37" s="17" t="n"/>
      <c r="C37" s="56" t="n"/>
      <c r="D37" s="56" t="n"/>
      <c r="E37" s="56" t="n"/>
      <c r="F37" s="17" t="n"/>
      <c r="G37" s="47" t="n"/>
      <c r="H37" s="17" t="n"/>
      <c r="I37" s="47" t="n"/>
      <c r="J37" s="42">
        <f>IF(OR(B37="",G37="",H37&lt;&gt;"PENDIENTE"),"",MAX(0,FECHA_CORTE-G37))</f>
        <v/>
      </c>
      <c r="K37" s="19">
        <f>IF(B37="","",IF(H37&lt;&gt;"PENDIENTE","CUMPLIDO",IF(G37="","SIN FECHA",IF(G37&lt;FECHA_CORTE,"VENCIDO",IF(G37-FECHA_CORTE&lt;=2,"POR VENCER","EN TIEMPO")))))</f>
        <v/>
      </c>
    </row>
    <row r="38">
      <c r="A38" s="46" t="n">
        <v>34</v>
      </c>
      <c r="B38" s="17" t="n"/>
      <c r="C38" s="56" t="n"/>
      <c r="D38" s="56" t="n"/>
      <c r="E38" s="56" t="n"/>
      <c r="F38" s="17" t="n"/>
      <c r="G38" s="47" t="n"/>
      <c r="H38" s="17" t="n"/>
      <c r="I38" s="47" t="n"/>
      <c r="J38" s="42">
        <f>IF(OR(B38="",G38="",H38&lt;&gt;"PENDIENTE"),"",MAX(0,FECHA_CORTE-G38))</f>
        <v/>
      </c>
      <c r="K38" s="19">
        <f>IF(B38="","",IF(H38&lt;&gt;"PENDIENTE","CUMPLIDO",IF(G38="","SIN FECHA",IF(G38&lt;FECHA_CORTE,"VENCIDO",IF(G38-FECHA_CORTE&lt;=2,"POR VENCER","EN TIEMPO")))))</f>
        <v/>
      </c>
    </row>
    <row r="39">
      <c r="A39" s="46" t="n">
        <v>35</v>
      </c>
      <c r="B39" s="17" t="n"/>
      <c r="C39" s="56" t="n"/>
      <c r="D39" s="56" t="n"/>
      <c r="E39" s="56" t="n"/>
      <c r="F39" s="17" t="n"/>
      <c r="G39" s="47" t="n"/>
      <c r="H39" s="17" t="n"/>
      <c r="I39" s="47" t="n"/>
      <c r="J39" s="42">
        <f>IF(OR(B39="",G39="",H39&lt;&gt;"PENDIENTE"),"",MAX(0,FECHA_CORTE-G39))</f>
        <v/>
      </c>
      <c r="K39" s="19">
        <f>IF(B39="","",IF(H39&lt;&gt;"PENDIENTE","CUMPLIDO",IF(G39="","SIN FECHA",IF(G39&lt;FECHA_CORTE,"VENCIDO",IF(G39-FECHA_CORTE&lt;=2,"POR VENCER","EN TIEMPO")))))</f>
        <v/>
      </c>
    </row>
    <row r="40">
      <c r="A40" s="46" t="n">
        <v>36</v>
      </c>
      <c r="B40" s="17" t="n"/>
      <c r="C40" s="56" t="n"/>
      <c r="D40" s="56" t="n"/>
      <c r="E40" s="56" t="n"/>
      <c r="F40" s="17" t="n"/>
      <c r="G40" s="47" t="n"/>
      <c r="H40" s="17" t="n"/>
      <c r="I40" s="47" t="n"/>
      <c r="J40" s="42">
        <f>IF(OR(B40="",G40="",H40&lt;&gt;"PENDIENTE"),"",MAX(0,FECHA_CORTE-G40))</f>
        <v/>
      </c>
      <c r="K40" s="19">
        <f>IF(B40="","",IF(H40&lt;&gt;"PENDIENTE","CUMPLIDO",IF(G40="","SIN FECHA",IF(G40&lt;FECHA_CORTE,"VENCIDO",IF(G40-FECHA_CORTE&lt;=2,"POR VENCER","EN TIEMPO")))))</f>
        <v/>
      </c>
    </row>
    <row r="41">
      <c r="A41" s="46" t="n">
        <v>37</v>
      </c>
      <c r="B41" s="17" t="n"/>
      <c r="C41" s="56" t="n"/>
      <c r="D41" s="56" t="n"/>
      <c r="E41" s="56" t="n"/>
      <c r="F41" s="17" t="n"/>
      <c r="G41" s="47" t="n"/>
      <c r="H41" s="17" t="n"/>
      <c r="I41" s="47" t="n"/>
      <c r="J41" s="42">
        <f>IF(OR(B41="",G41="",H41&lt;&gt;"PENDIENTE"),"",MAX(0,FECHA_CORTE-G41))</f>
        <v/>
      </c>
      <c r="K41" s="19">
        <f>IF(B41="","",IF(H41&lt;&gt;"PENDIENTE","CUMPLIDO",IF(G41="","SIN FECHA",IF(G41&lt;FECHA_CORTE,"VENCIDO",IF(G41-FECHA_CORTE&lt;=2,"POR VENCER","EN TIEMPO")))))</f>
        <v/>
      </c>
    </row>
    <row r="42">
      <c r="A42" s="46" t="n">
        <v>38</v>
      </c>
      <c r="B42" s="17" t="n"/>
      <c r="C42" s="56" t="n"/>
      <c r="D42" s="56" t="n"/>
      <c r="E42" s="56" t="n"/>
      <c r="F42" s="17" t="n"/>
      <c r="G42" s="47" t="n"/>
      <c r="H42" s="17" t="n"/>
      <c r="I42" s="47" t="n"/>
      <c r="J42" s="42">
        <f>IF(OR(B42="",G42="",H42&lt;&gt;"PENDIENTE"),"",MAX(0,FECHA_CORTE-G42))</f>
        <v/>
      </c>
      <c r="K42" s="19">
        <f>IF(B42="","",IF(H42&lt;&gt;"PENDIENTE","CUMPLIDO",IF(G42="","SIN FECHA",IF(G42&lt;FECHA_CORTE,"VENCIDO",IF(G42-FECHA_CORTE&lt;=2,"POR VENCER","EN TIEMPO")))))</f>
        <v/>
      </c>
    </row>
    <row r="43">
      <c r="A43" s="46" t="n">
        <v>39</v>
      </c>
      <c r="B43" s="17" t="n"/>
      <c r="C43" s="56" t="n"/>
      <c r="D43" s="56" t="n"/>
      <c r="E43" s="56" t="n"/>
      <c r="F43" s="17" t="n"/>
      <c r="G43" s="47" t="n"/>
      <c r="H43" s="17" t="n"/>
      <c r="I43" s="47" t="n"/>
      <c r="J43" s="42">
        <f>IF(OR(B43="",G43="",H43&lt;&gt;"PENDIENTE"),"",MAX(0,FECHA_CORTE-G43))</f>
        <v/>
      </c>
      <c r="K43" s="19">
        <f>IF(B43="","",IF(H43&lt;&gt;"PENDIENTE","CUMPLIDO",IF(G43="","SIN FECHA",IF(G43&lt;FECHA_CORTE,"VENCIDO",IF(G43-FECHA_CORTE&lt;=2,"POR VENCER","EN TIEMPO")))))</f>
        <v/>
      </c>
    </row>
    <row r="44">
      <c r="A44" s="46" t="n">
        <v>40</v>
      </c>
      <c r="B44" s="17" t="n"/>
      <c r="C44" s="56" t="n"/>
      <c r="D44" s="56" t="n"/>
      <c r="E44" s="56" t="n"/>
      <c r="F44" s="17" t="n"/>
      <c r="G44" s="47" t="n"/>
      <c r="H44" s="17" t="n"/>
      <c r="I44" s="47" t="n"/>
      <c r="J44" s="42">
        <f>IF(OR(B44="",G44="",H44&lt;&gt;"PENDIENTE"),"",MAX(0,FECHA_CORTE-G44))</f>
        <v/>
      </c>
      <c r="K44" s="19">
        <f>IF(B44="","",IF(H44&lt;&gt;"PENDIENTE","CUMPLIDO",IF(G44="","SIN FECHA",IF(G44&lt;FECHA_CORTE,"VENCIDO",IF(G44-FECHA_CORTE&lt;=2,"POR VENCER","EN TIEMPO")))))</f>
        <v/>
      </c>
    </row>
    <row r="45">
      <c r="A45" s="46" t="n">
        <v>41</v>
      </c>
      <c r="B45" s="17" t="n"/>
      <c r="C45" s="56" t="n"/>
      <c r="D45" s="56" t="n"/>
      <c r="E45" s="56" t="n"/>
      <c r="F45" s="17" t="n"/>
      <c r="G45" s="47" t="n"/>
      <c r="H45" s="17" t="n"/>
      <c r="I45" s="47" t="n"/>
      <c r="J45" s="42">
        <f>IF(OR(B45="",G45="",H45&lt;&gt;"PENDIENTE"),"",MAX(0,FECHA_CORTE-G45))</f>
        <v/>
      </c>
      <c r="K45" s="19">
        <f>IF(B45="","",IF(H45&lt;&gt;"PENDIENTE","CUMPLIDO",IF(G45="","SIN FECHA",IF(G45&lt;FECHA_CORTE,"VENCIDO",IF(G45-FECHA_CORTE&lt;=2,"POR VENCER","EN TIEMPO")))))</f>
        <v/>
      </c>
    </row>
    <row r="46">
      <c r="A46" s="46" t="n">
        <v>42</v>
      </c>
      <c r="B46" s="17" t="n"/>
      <c r="C46" s="56" t="n"/>
      <c r="D46" s="56" t="n"/>
      <c r="E46" s="56" t="n"/>
      <c r="F46" s="17" t="n"/>
      <c r="G46" s="47" t="n"/>
      <c r="H46" s="17" t="n"/>
      <c r="I46" s="47" t="n"/>
      <c r="J46" s="42">
        <f>IF(OR(B46="",G46="",H46&lt;&gt;"PENDIENTE"),"",MAX(0,FECHA_CORTE-G46))</f>
        <v/>
      </c>
      <c r="K46" s="19">
        <f>IF(B46="","",IF(H46&lt;&gt;"PENDIENTE","CUMPLIDO",IF(G46="","SIN FECHA",IF(G46&lt;FECHA_CORTE,"VENCIDO",IF(G46-FECHA_CORTE&lt;=2,"POR VENCER","EN TIEMPO")))))</f>
        <v/>
      </c>
    </row>
    <row r="47">
      <c r="A47" s="46" t="n">
        <v>43</v>
      </c>
      <c r="B47" s="17" t="n"/>
      <c r="C47" s="56" t="n"/>
      <c r="D47" s="56" t="n"/>
      <c r="E47" s="56" t="n"/>
      <c r="F47" s="17" t="n"/>
      <c r="G47" s="47" t="n"/>
      <c r="H47" s="17" t="n"/>
      <c r="I47" s="47" t="n"/>
      <c r="J47" s="42">
        <f>IF(OR(B47="",G47="",H47&lt;&gt;"PENDIENTE"),"",MAX(0,FECHA_CORTE-G47))</f>
        <v/>
      </c>
      <c r="K47" s="19">
        <f>IF(B47="","",IF(H47&lt;&gt;"PENDIENTE","CUMPLIDO",IF(G47="","SIN FECHA",IF(G47&lt;FECHA_CORTE,"VENCIDO",IF(G47-FECHA_CORTE&lt;=2,"POR VENCER","EN TIEMPO")))))</f>
        <v/>
      </c>
    </row>
    <row r="48">
      <c r="A48" s="46" t="n">
        <v>44</v>
      </c>
      <c r="B48" s="17" t="n"/>
      <c r="C48" s="56" t="n"/>
      <c r="D48" s="56" t="n"/>
      <c r="E48" s="56" t="n"/>
      <c r="F48" s="17" t="n"/>
      <c r="G48" s="47" t="n"/>
      <c r="H48" s="17" t="n"/>
      <c r="I48" s="47" t="n"/>
      <c r="J48" s="42">
        <f>IF(OR(B48="",G48="",H48&lt;&gt;"PENDIENTE"),"",MAX(0,FECHA_CORTE-G48))</f>
        <v/>
      </c>
      <c r="K48" s="19">
        <f>IF(B48="","",IF(H48&lt;&gt;"PENDIENTE","CUMPLIDO",IF(G48="","SIN FECHA",IF(G48&lt;FECHA_CORTE,"VENCIDO",IF(G48-FECHA_CORTE&lt;=2,"POR VENCER","EN TIEMPO")))))</f>
        <v/>
      </c>
    </row>
    <row r="49">
      <c r="A49" s="46" t="n">
        <v>45</v>
      </c>
      <c r="B49" s="17" t="n"/>
      <c r="C49" s="56" t="n"/>
      <c r="D49" s="56" t="n"/>
      <c r="E49" s="56" t="n"/>
      <c r="F49" s="17" t="n"/>
      <c r="G49" s="47" t="n"/>
      <c r="H49" s="17" t="n"/>
      <c r="I49" s="47" t="n"/>
      <c r="J49" s="42">
        <f>IF(OR(B49="",G49="",H49&lt;&gt;"PENDIENTE"),"",MAX(0,FECHA_CORTE-G49))</f>
        <v/>
      </c>
      <c r="K49" s="19">
        <f>IF(B49="","",IF(H49&lt;&gt;"PENDIENTE","CUMPLIDO",IF(G49="","SIN FECHA",IF(G49&lt;FECHA_CORTE,"VENCIDO",IF(G49-FECHA_CORTE&lt;=2,"POR VENCER","EN TIEMPO")))))</f>
        <v/>
      </c>
    </row>
    <row r="50">
      <c r="A50" s="46" t="n">
        <v>46</v>
      </c>
      <c r="B50" s="17" t="n"/>
      <c r="C50" s="56" t="n"/>
      <c r="D50" s="56" t="n"/>
      <c r="E50" s="56" t="n"/>
      <c r="F50" s="17" t="n"/>
      <c r="G50" s="47" t="n"/>
      <c r="H50" s="17" t="n"/>
      <c r="I50" s="47" t="n"/>
      <c r="J50" s="42">
        <f>IF(OR(B50="",G50="",H50&lt;&gt;"PENDIENTE"),"",MAX(0,FECHA_CORTE-G50))</f>
        <v/>
      </c>
      <c r="K50" s="19">
        <f>IF(B50="","",IF(H50&lt;&gt;"PENDIENTE","CUMPLIDO",IF(G50="","SIN FECHA",IF(G50&lt;FECHA_CORTE,"VENCIDO",IF(G50-FECHA_CORTE&lt;=2,"POR VENCER","EN TIEMPO")))))</f>
        <v/>
      </c>
    </row>
    <row r="51">
      <c r="A51" s="46" t="n">
        <v>47</v>
      </c>
      <c r="B51" s="17" t="n"/>
      <c r="C51" s="56" t="n"/>
      <c r="D51" s="56" t="n"/>
      <c r="E51" s="56" t="n"/>
      <c r="F51" s="17" t="n"/>
      <c r="G51" s="47" t="n"/>
      <c r="H51" s="17" t="n"/>
      <c r="I51" s="47" t="n"/>
      <c r="J51" s="42">
        <f>IF(OR(B51="",G51="",H51&lt;&gt;"PENDIENTE"),"",MAX(0,FECHA_CORTE-G51))</f>
        <v/>
      </c>
      <c r="K51" s="19">
        <f>IF(B51="","",IF(H51&lt;&gt;"PENDIENTE","CUMPLIDO",IF(G51="","SIN FECHA",IF(G51&lt;FECHA_CORTE,"VENCIDO",IF(G51-FECHA_CORTE&lt;=2,"POR VENCER","EN TIEMPO")))))</f>
        <v/>
      </c>
    </row>
    <row r="52">
      <c r="A52" s="46" t="n">
        <v>48</v>
      </c>
      <c r="B52" s="17" t="n"/>
      <c r="C52" s="56" t="n"/>
      <c r="D52" s="56" t="n"/>
      <c r="E52" s="56" t="n"/>
      <c r="F52" s="17" t="n"/>
      <c r="G52" s="47" t="n"/>
      <c r="H52" s="17" t="n"/>
      <c r="I52" s="47" t="n"/>
      <c r="J52" s="42">
        <f>IF(OR(B52="",G52="",H52&lt;&gt;"PENDIENTE"),"",MAX(0,FECHA_CORTE-G52))</f>
        <v/>
      </c>
      <c r="K52" s="19">
        <f>IF(B52="","",IF(H52&lt;&gt;"PENDIENTE","CUMPLIDO",IF(G52="","SIN FECHA",IF(G52&lt;FECHA_CORTE,"VENCIDO",IF(G52-FECHA_CORTE&lt;=2,"POR VENCER","EN TIEMPO")))))</f>
        <v/>
      </c>
    </row>
    <row r="53">
      <c r="A53" s="46" t="n">
        <v>49</v>
      </c>
      <c r="B53" s="17" t="n"/>
      <c r="C53" s="56" t="n"/>
      <c r="D53" s="56" t="n"/>
      <c r="E53" s="56" t="n"/>
      <c r="F53" s="17" t="n"/>
      <c r="G53" s="47" t="n"/>
      <c r="H53" s="17" t="n"/>
      <c r="I53" s="47" t="n"/>
      <c r="J53" s="42">
        <f>IF(OR(B53="",G53="",H53&lt;&gt;"PENDIENTE"),"",MAX(0,FECHA_CORTE-G53))</f>
        <v/>
      </c>
      <c r="K53" s="19">
        <f>IF(B53="","",IF(H53&lt;&gt;"PENDIENTE","CUMPLIDO",IF(G53="","SIN FECHA",IF(G53&lt;FECHA_CORTE,"VENCIDO",IF(G53-FECHA_CORTE&lt;=2,"POR VENCER","EN TIEMPO")))))</f>
        <v/>
      </c>
    </row>
    <row r="54">
      <c r="A54" s="46" t="n">
        <v>50</v>
      </c>
      <c r="B54" s="17" t="n"/>
      <c r="C54" s="56" t="n"/>
      <c r="D54" s="56" t="n"/>
      <c r="E54" s="56" t="n"/>
      <c r="F54" s="17" t="n"/>
      <c r="G54" s="47" t="n"/>
      <c r="H54" s="17" t="n"/>
      <c r="I54" s="47" t="n"/>
      <c r="J54" s="42">
        <f>IF(OR(B54="",G54="",H54&lt;&gt;"PENDIENTE"),"",MAX(0,FECHA_CORTE-G54))</f>
        <v/>
      </c>
      <c r="K54" s="19">
        <f>IF(B54="","",IF(H54&lt;&gt;"PENDIENTE","CUMPLIDO",IF(G54="","SIN FECHA",IF(G54&lt;FECHA_CORTE,"VENCIDO",IF(G54-FECHA_CORTE&lt;=2,"POR VENCER","EN TIEMPO")))))</f>
        <v/>
      </c>
    </row>
    <row r="55">
      <c r="A55" s="46" t="n">
        <v>51</v>
      </c>
      <c r="B55" s="17" t="n"/>
      <c r="C55" s="56" t="n"/>
      <c r="D55" s="56" t="n"/>
      <c r="E55" s="56" t="n"/>
      <c r="F55" s="17" t="n"/>
      <c r="G55" s="47" t="n"/>
      <c r="H55" s="17" t="n"/>
      <c r="I55" s="47" t="n"/>
      <c r="J55" s="42">
        <f>IF(OR(B55="",G55="",H55&lt;&gt;"PENDIENTE"),"",MAX(0,FECHA_CORTE-G55))</f>
        <v/>
      </c>
      <c r="K55" s="19">
        <f>IF(B55="","",IF(H55&lt;&gt;"PENDIENTE","CUMPLIDO",IF(G55="","SIN FECHA",IF(G55&lt;FECHA_CORTE,"VENCIDO",IF(G55-FECHA_CORTE&lt;=2,"POR VENCER","EN TIEMPO")))))</f>
        <v/>
      </c>
    </row>
    <row r="56">
      <c r="A56" s="46" t="n">
        <v>52</v>
      </c>
      <c r="B56" s="17" t="n"/>
      <c r="C56" s="56" t="n"/>
      <c r="D56" s="56" t="n"/>
      <c r="E56" s="56" t="n"/>
      <c r="F56" s="17" t="n"/>
      <c r="G56" s="47" t="n"/>
      <c r="H56" s="17" t="n"/>
      <c r="I56" s="47" t="n"/>
      <c r="J56" s="42">
        <f>IF(OR(B56="",G56="",H56&lt;&gt;"PENDIENTE"),"",MAX(0,FECHA_CORTE-G56))</f>
        <v/>
      </c>
      <c r="K56" s="19">
        <f>IF(B56="","",IF(H56&lt;&gt;"PENDIENTE","CUMPLIDO",IF(G56="","SIN FECHA",IF(G56&lt;FECHA_CORTE,"VENCIDO",IF(G56-FECHA_CORTE&lt;=2,"POR VENCER","EN TIEMPO")))))</f>
        <v/>
      </c>
    </row>
    <row r="57">
      <c r="A57" s="46" t="n">
        <v>53</v>
      </c>
      <c r="B57" s="17" t="n"/>
      <c r="C57" s="56" t="n"/>
      <c r="D57" s="56" t="n"/>
      <c r="E57" s="56" t="n"/>
      <c r="F57" s="17" t="n"/>
      <c r="G57" s="47" t="n"/>
      <c r="H57" s="17" t="n"/>
      <c r="I57" s="47" t="n"/>
      <c r="J57" s="42">
        <f>IF(OR(B57="",G57="",H57&lt;&gt;"PENDIENTE"),"",MAX(0,FECHA_CORTE-G57))</f>
        <v/>
      </c>
      <c r="K57" s="19">
        <f>IF(B57="","",IF(H57&lt;&gt;"PENDIENTE","CUMPLIDO",IF(G57="","SIN FECHA",IF(G57&lt;FECHA_CORTE,"VENCIDO",IF(G57-FECHA_CORTE&lt;=2,"POR VENCER","EN TIEMPO")))))</f>
        <v/>
      </c>
    </row>
    <row r="58">
      <c r="A58" s="46" t="n">
        <v>54</v>
      </c>
      <c r="B58" s="17" t="n"/>
      <c r="C58" s="56" t="n"/>
      <c r="D58" s="56" t="n"/>
      <c r="E58" s="56" t="n"/>
      <c r="F58" s="17" t="n"/>
      <c r="G58" s="47" t="n"/>
      <c r="H58" s="17" t="n"/>
      <c r="I58" s="47" t="n"/>
      <c r="J58" s="42">
        <f>IF(OR(B58="",G58="",H58&lt;&gt;"PENDIENTE"),"",MAX(0,FECHA_CORTE-G58))</f>
        <v/>
      </c>
      <c r="K58" s="19">
        <f>IF(B58="","",IF(H58&lt;&gt;"PENDIENTE","CUMPLIDO",IF(G58="","SIN FECHA",IF(G58&lt;FECHA_CORTE,"VENCIDO",IF(G58-FECHA_CORTE&lt;=2,"POR VENCER","EN TIEMPO")))))</f>
        <v/>
      </c>
    </row>
    <row r="59">
      <c r="A59" s="46" t="n">
        <v>55</v>
      </c>
      <c r="B59" s="17" t="n"/>
      <c r="C59" s="56" t="n"/>
      <c r="D59" s="56" t="n"/>
      <c r="E59" s="56" t="n"/>
      <c r="F59" s="17" t="n"/>
      <c r="G59" s="47" t="n"/>
      <c r="H59" s="17" t="n"/>
      <c r="I59" s="47" t="n"/>
      <c r="J59" s="42">
        <f>IF(OR(B59="",G59="",H59&lt;&gt;"PENDIENTE"),"",MAX(0,FECHA_CORTE-G59))</f>
        <v/>
      </c>
      <c r="K59" s="19">
        <f>IF(B59="","",IF(H59&lt;&gt;"PENDIENTE","CUMPLIDO",IF(G59="","SIN FECHA",IF(G59&lt;FECHA_CORTE,"VENCIDO",IF(G59-FECHA_CORTE&lt;=2,"POR VENCER","EN TIEMPO")))))</f>
        <v/>
      </c>
    </row>
    <row r="60">
      <c r="A60" s="46" t="n">
        <v>56</v>
      </c>
      <c r="B60" s="17" t="n"/>
      <c r="C60" s="56" t="n"/>
      <c r="D60" s="56" t="n"/>
      <c r="E60" s="56" t="n"/>
      <c r="F60" s="17" t="n"/>
      <c r="G60" s="47" t="n"/>
      <c r="H60" s="17" t="n"/>
      <c r="I60" s="47" t="n"/>
      <c r="J60" s="42">
        <f>IF(OR(B60="",G60="",H60&lt;&gt;"PENDIENTE"),"",MAX(0,FECHA_CORTE-G60))</f>
        <v/>
      </c>
      <c r="K60" s="19">
        <f>IF(B60="","",IF(H60&lt;&gt;"PENDIENTE","CUMPLIDO",IF(G60="","SIN FECHA",IF(G60&lt;FECHA_CORTE,"VENCIDO",IF(G60-FECHA_CORTE&lt;=2,"POR VENCER","EN TIEMPO")))))</f>
        <v/>
      </c>
    </row>
    <row r="61">
      <c r="A61" s="46" t="n">
        <v>57</v>
      </c>
      <c r="B61" s="17" t="n"/>
      <c r="C61" s="56" t="n"/>
      <c r="D61" s="56" t="n"/>
      <c r="E61" s="56" t="n"/>
      <c r="F61" s="17" t="n"/>
      <c r="G61" s="47" t="n"/>
      <c r="H61" s="17" t="n"/>
      <c r="I61" s="47" t="n"/>
      <c r="J61" s="42">
        <f>IF(OR(B61="",G61="",H61&lt;&gt;"PENDIENTE"),"",MAX(0,FECHA_CORTE-G61))</f>
        <v/>
      </c>
      <c r="K61" s="19">
        <f>IF(B61="","",IF(H61&lt;&gt;"PENDIENTE","CUMPLIDO",IF(G61="","SIN FECHA",IF(G61&lt;FECHA_CORTE,"VENCIDO",IF(G61-FECHA_CORTE&lt;=2,"POR VENCER","EN TIEMPO")))))</f>
        <v/>
      </c>
    </row>
    <row r="62">
      <c r="A62" s="46" t="n">
        <v>58</v>
      </c>
      <c r="B62" s="17" t="n"/>
      <c r="C62" s="56" t="n"/>
      <c r="D62" s="56" t="n"/>
      <c r="E62" s="56" t="n"/>
      <c r="F62" s="17" t="n"/>
      <c r="G62" s="47" t="n"/>
      <c r="H62" s="17" t="n"/>
      <c r="I62" s="47" t="n"/>
      <c r="J62" s="42">
        <f>IF(OR(B62="",G62="",H62&lt;&gt;"PENDIENTE"),"",MAX(0,FECHA_CORTE-G62))</f>
        <v/>
      </c>
      <c r="K62" s="19">
        <f>IF(B62="","",IF(H62&lt;&gt;"PENDIENTE","CUMPLIDO",IF(G62="","SIN FECHA",IF(G62&lt;FECHA_CORTE,"VENCIDO",IF(G62-FECHA_CORTE&lt;=2,"POR VENCER","EN TIEMPO")))))</f>
        <v/>
      </c>
    </row>
    <row r="63">
      <c r="A63" s="46" t="n">
        <v>59</v>
      </c>
      <c r="B63" s="17" t="n"/>
      <c r="C63" s="56" t="n"/>
      <c r="D63" s="56" t="n"/>
      <c r="E63" s="56" t="n"/>
      <c r="F63" s="17" t="n"/>
      <c r="G63" s="47" t="n"/>
      <c r="H63" s="17" t="n"/>
      <c r="I63" s="47" t="n"/>
      <c r="J63" s="42">
        <f>IF(OR(B63="",G63="",H63&lt;&gt;"PENDIENTE"),"",MAX(0,FECHA_CORTE-G63))</f>
        <v/>
      </c>
      <c r="K63" s="19">
        <f>IF(B63="","",IF(H63&lt;&gt;"PENDIENTE","CUMPLIDO",IF(G63="","SIN FECHA",IF(G63&lt;FECHA_CORTE,"VENCIDO",IF(G63-FECHA_CORTE&lt;=2,"POR VENCER","EN TIEMPO")))))</f>
        <v/>
      </c>
    </row>
    <row r="64">
      <c r="A64" s="46" t="n">
        <v>60</v>
      </c>
      <c r="B64" s="17" t="n"/>
      <c r="C64" s="56" t="n"/>
      <c r="D64" s="56" t="n"/>
      <c r="E64" s="56" t="n"/>
      <c r="F64" s="17" t="n"/>
      <c r="G64" s="47" t="n"/>
      <c r="H64" s="17" t="n"/>
      <c r="I64" s="47" t="n"/>
      <c r="J64" s="42">
        <f>IF(OR(B64="",G64="",H64&lt;&gt;"PENDIENTE"),"",MAX(0,FECHA_CORTE-G64))</f>
        <v/>
      </c>
      <c r="K64" s="19">
        <f>IF(B64="","",IF(H64&lt;&gt;"PENDIENTE","CUMPLIDO",IF(G64="","SIN FECHA",IF(G64&lt;FECHA_CORTE,"VENCIDO",IF(G64-FECHA_CORTE&lt;=2,"POR VENCER","EN TIEMPO")))))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64"/>
  <mergeCells count="3">
    <mergeCell ref="A1:I1"/>
    <mergeCell ref="J1:K2"/>
    <mergeCell ref="A2:I2"/>
  </mergeCells>
  <conditionalFormatting sqref="K5:K6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1">
    <dataValidation sqref="H5:H64" showDropDown="0" showInputMessage="0" showErrorMessage="0" allowBlank="1" type="list">
      <formula1>=OFFSET('CATÁLOGOS'!$E$5,0,0,MAX(1,COUNTA('CATÁLOGOS'!$E$5:$E$34)),1)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T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  <col width="13" customWidth="1" min="19" max="19"/>
    <col width="15" customWidth="1" min="20" max="20"/>
  </cols>
  <sheetData>
    <row r="1" ht="44" customHeight="1">
      <c r="A1" s="22" t="inlineStr">
        <is>
          <t>INDICADORES OPERATIVOS</t>
        </is>
      </c>
      <c r="S1" s="68" t="inlineStr">
        <is>
          <t>INSERTE SU LOGO
(clic derecho &gt; Insertar imagen)</t>
        </is>
      </c>
      <c r="T1" s="70" t="n"/>
    </row>
    <row r="2" ht="26" customHeight="1">
      <c r="A2" s="71" t="inlineStr">
        <is>
          <t>Meta, 12 semanas de historia, cumplimiento y semáforo</t>
        </is>
      </c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  <c r="O2" s="72" t="n"/>
      <c r="P2" s="72" t="n"/>
      <c r="Q2" s="72" t="n"/>
      <c r="R2" s="72" t="n"/>
      <c r="S2" s="73" t="n"/>
      <c r="T2" s="7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32" customHeight="1">
      <c r="A4" s="40" t="inlineStr">
        <is>
          <t>NO.</t>
        </is>
      </c>
      <c r="B4" s="40" t="inlineStr">
        <is>
          <t>INDICADOR</t>
        </is>
      </c>
      <c r="C4" s="40" t="inlineStr">
        <is>
          <t>UNIDAD</t>
        </is>
      </c>
      <c r="D4" s="40" t="inlineStr">
        <is>
          <t>SENTIDO</t>
        </is>
      </c>
      <c r="E4" s="40" t="inlineStr">
        <is>
          <t>META</t>
        </is>
      </c>
      <c r="F4" s="40" t="inlineStr">
        <is>
          <t>S1</t>
        </is>
      </c>
      <c r="G4" s="40" t="inlineStr">
        <is>
          <t>S2</t>
        </is>
      </c>
      <c r="H4" s="40" t="inlineStr">
        <is>
          <t>S3</t>
        </is>
      </c>
      <c r="I4" s="40" t="inlineStr">
        <is>
          <t>S4</t>
        </is>
      </c>
      <c r="J4" s="40" t="inlineStr">
        <is>
          <t>S5</t>
        </is>
      </c>
      <c r="K4" s="40" t="inlineStr">
        <is>
          <t>S6</t>
        </is>
      </c>
      <c r="L4" s="40" t="inlineStr">
        <is>
          <t>S7</t>
        </is>
      </c>
      <c r="M4" s="40" t="inlineStr">
        <is>
          <t>S8</t>
        </is>
      </c>
      <c r="N4" s="40" t="inlineStr">
        <is>
          <t>S9</t>
        </is>
      </c>
      <c r="O4" s="40" t="inlineStr">
        <is>
          <t>S10</t>
        </is>
      </c>
      <c r="P4" s="40" t="inlineStr">
        <is>
          <t>S11</t>
        </is>
      </c>
      <c r="Q4" s="40" t="inlineStr">
        <is>
          <t>S12</t>
        </is>
      </c>
      <c r="R4" s="40" t="inlineStr">
        <is>
          <t>ÚLTIMO VALOR</t>
        </is>
      </c>
      <c r="S4" s="40" t="inlineStr">
        <is>
          <t>CUMPLIMIENTO</t>
        </is>
      </c>
      <c r="T4" s="40" t="inlineStr">
        <is>
          <t>SEMÁFORO</t>
        </is>
      </c>
    </row>
    <row r="5">
      <c r="A5" s="46" t="n">
        <v>1</v>
      </c>
      <c r="B5" s="17" t="inlineStr">
        <is>
          <t>% DE ACTIVIDADES CUMPLIDAS EN TIEMPO</t>
        </is>
      </c>
      <c r="C5" s="17" t="inlineStr">
        <is>
          <t>%</t>
        </is>
      </c>
      <c r="D5" s="17" t="inlineStr">
        <is>
          <t>MAYOR ES MEJOR</t>
        </is>
      </c>
      <c r="E5" s="57" t="n">
        <v>90</v>
      </c>
      <c r="F5" s="57" t="n">
        <v>78</v>
      </c>
      <c r="G5" s="57" t="n">
        <v>82</v>
      </c>
      <c r="H5" s="57" t="n">
        <v>85</v>
      </c>
      <c r="I5" s="57" t="n">
        <v>84</v>
      </c>
      <c r="J5" s="57" t="n">
        <v>88</v>
      </c>
      <c r="K5" s="57" t="n">
        <v>86</v>
      </c>
      <c r="L5" s="57" t="n"/>
      <c r="M5" s="57" t="n"/>
      <c r="N5" s="57" t="n"/>
      <c r="O5" s="57" t="n"/>
      <c r="P5" s="57" t="n"/>
      <c r="Q5" s="57" t="n"/>
      <c r="R5" s="58">
        <f>IFERROR(LOOKUP(2,1/(F5:Q5&lt;&gt;""),F5:Q5),"")</f>
        <v/>
      </c>
      <c r="S5" s="43">
        <f>IF(OR(E5="",R5=""),"",IF(D5="MENOR ES MEJOR",IF(R5=0,1,E5/R5),IF(E5=0,"",R5/E5)))</f>
        <v/>
      </c>
      <c r="T5" s="19">
        <f>IF(S5="","",IF(S5&gt;=1,"EN META",IF(S5&gt;=0.9,"EN RIESGO","FUERA DE META")))</f>
        <v/>
      </c>
    </row>
    <row r="6">
      <c r="A6" s="46" t="n">
        <v>2</v>
      </c>
      <c r="B6" s="17" t="inlineStr">
        <is>
          <t>FACTURACIÓN SEMANAL</t>
        </is>
      </c>
      <c r="C6" s="17" t="inlineStr">
        <is>
          <t>MXN</t>
        </is>
      </c>
      <c r="D6" s="17" t="inlineStr">
        <is>
          <t>MAYOR ES MEJOR</t>
        </is>
      </c>
      <c r="E6" s="57" t="n">
        <v>300000</v>
      </c>
      <c r="F6" s="57" t="n">
        <v>255000</v>
      </c>
      <c r="G6" s="57" t="n">
        <v>280000</v>
      </c>
      <c r="H6" s="57" t="n">
        <v>310000</v>
      </c>
      <c r="I6" s="57" t="n">
        <v>295000</v>
      </c>
      <c r="J6" s="57" t="n">
        <v>330000</v>
      </c>
      <c r="K6" s="57" t="n">
        <v>318000</v>
      </c>
      <c r="L6" s="57" t="n"/>
      <c r="M6" s="57" t="n"/>
      <c r="N6" s="57" t="n"/>
      <c r="O6" s="57" t="n"/>
      <c r="P6" s="57" t="n"/>
      <c r="Q6" s="57" t="n"/>
      <c r="R6" s="58">
        <f>IFERROR(LOOKUP(2,1/(F6:Q6&lt;&gt;""),F6:Q6),"")</f>
        <v/>
      </c>
      <c r="S6" s="43">
        <f>IF(OR(E6="",R6=""),"",IF(D6="MENOR ES MEJOR",IF(R6=0,1,E6/R6),IF(E6=0,"",R6/E6)))</f>
        <v/>
      </c>
      <c r="T6" s="19">
        <f>IF(S6="","",IF(S6&gt;=1,"EN META",IF(S6&gt;=0.9,"EN RIESGO","FUERA DE META")))</f>
        <v/>
      </c>
    </row>
    <row r="7">
      <c r="A7" s="46" t="n">
        <v>3</v>
      </c>
      <c r="B7" s="17" t="inlineStr">
        <is>
          <t>COBRANZA SEMANAL</t>
        </is>
      </c>
      <c r="C7" s="17" t="inlineStr">
        <is>
          <t>MXN</t>
        </is>
      </c>
      <c r="D7" s="17" t="inlineStr">
        <is>
          <t>MAYOR ES MEJOR</t>
        </is>
      </c>
      <c r="E7" s="57" t="n">
        <v>280000</v>
      </c>
      <c r="F7" s="57" t="n">
        <v>190000</v>
      </c>
      <c r="G7" s="57" t="n">
        <v>210000</v>
      </c>
      <c r="H7" s="57" t="n">
        <v>240000</v>
      </c>
      <c r="I7" s="57" t="n">
        <v>255000</v>
      </c>
      <c r="J7" s="57" t="n">
        <v>262000</v>
      </c>
      <c r="K7" s="57" t="n">
        <v>270000</v>
      </c>
      <c r="L7" s="57" t="n"/>
      <c r="M7" s="57" t="n"/>
      <c r="N7" s="57" t="n"/>
      <c r="O7" s="57" t="n"/>
      <c r="P7" s="57" t="n"/>
      <c r="Q7" s="57" t="n"/>
      <c r="R7" s="58">
        <f>IFERROR(LOOKUP(2,1/(F7:Q7&lt;&gt;""),F7:Q7),"")</f>
        <v/>
      </c>
      <c r="S7" s="43">
        <f>IF(OR(E7="",R7=""),"",IF(D7="MENOR ES MEJOR",IF(R7=0,1,E7/R7),IF(E7=0,"",R7/E7)))</f>
        <v/>
      </c>
      <c r="T7" s="19">
        <f>IF(S7="","",IF(S7&gt;=1,"EN META",IF(S7&gt;=0.9,"EN RIESGO","FUERA DE META")))</f>
        <v/>
      </c>
    </row>
    <row r="8">
      <c r="A8" s="46" t="n">
        <v>4</v>
      </c>
      <c r="B8" s="17" t="inlineStr">
        <is>
          <t>DÍAS PROMEDIO DE COBRO</t>
        </is>
      </c>
      <c r="C8" s="17" t="inlineStr">
        <is>
          <t>DÍAS</t>
        </is>
      </c>
      <c r="D8" s="17" t="inlineStr">
        <is>
          <t>MENOR ES MEJOR</t>
        </is>
      </c>
      <c r="E8" s="57" t="n">
        <v>35</v>
      </c>
      <c r="F8" s="57" t="n">
        <v>48</v>
      </c>
      <c r="G8" s="57" t="n">
        <v>46</v>
      </c>
      <c r="H8" s="57" t="n">
        <v>44</v>
      </c>
      <c r="I8" s="57" t="n">
        <v>43</v>
      </c>
      <c r="J8" s="57" t="n">
        <v>41</v>
      </c>
      <c r="K8" s="57" t="n">
        <v>40</v>
      </c>
      <c r="L8" s="57" t="n"/>
      <c r="M8" s="57" t="n"/>
      <c r="N8" s="57" t="n"/>
      <c r="O8" s="57" t="n"/>
      <c r="P8" s="57" t="n"/>
      <c r="Q8" s="57" t="n"/>
      <c r="R8" s="58">
        <f>IFERROR(LOOKUP(2,1/(F8:Q8&lt;&gt;""),F8:Q8),"")</f>
        <v/>
      </c>
      <c r="S8" s="43">
        <f>IF(OR(E8="",R8=""),"",IF(D8="MENOR ES MEJOR",IF(R8=0,1,E8/R8),IF(E8=0,"",R8/E8)))</f>
        <v/>
      </c>
      <c r="T8" s="19">
        <f>IF(S8="","",IF(S8&gt;=1,"EN META",IF(S8&gt;=0.9,"EN RIESGO","FUERA DE META")))</f>
        <v/>
      </c>
    </row>
    <row r="9">
      <c r="A9" s="46" t="n">
        <v>5</v>
      </c>
      <c r="B9" s="17" t="inlineStr">
        <is>
          <t>COMPRAS AUTORIZADAS EN TIEMPO</t>
        </is>
      </c>
      <c r="C9" s="17" t="inlineStr">
        <is>
          <t>%</t>
        </is>
      </c>
      <c r="D9" s="17" t="inlineStr">
        <is>
          <t>MAYOR ES MEJOR</t>
        </is>
      </c>
      <c r="E9" s="57" t="n">
        <v>95</v>
      </c>
      <c r="F9" s="57" t="n">
        <v>88</v>
      </c>
      <c r="G9" s="57" t="n">
        <v>90</v>
      </c>
      <c r="H9" s="57" t="n">
        <v>92</v>
      </c>
      <c r="I9" s="57" t="n">
        <v>91</v>
      </c>
      <c r="J9" s="57" t="n">
        <v>94</v>
      </c>
      <c r="K9" s="57" t="n">
        <v>96</v>
      </c>
      <c r="L9" s="57" t="n"/>
      <c r="M9" s="57" t="n"/>
      <c r="N9" s="57" t="n"/>
      <c r="O9" s="57" t="n"/>
      <c r="P9" s="57" t="n"/>
      <c r="Q9" s="57" t="n"/>
      <c r="R9" s="58">
        <f>IFERROR(LOOKUP(2,1/(F9:Q9&lt;&gt;""),F9:Q9),"")</f>
        <v/>
      </c>
      <c r="S9" s="43">
        <f>IF(OR(E9="",R9=""),"",IF(D9="MENOR ES MEJOR",IF(R9=0,1,E9/R9),IF(E9=0,"",R9/E9)))</f>
        <v/>
      </c>
      <c r="T9" s="19">
        <f>IF(S9="","",IF(S9&gt;=1,"EN META",IF(S9&gt;=0.9,"EN RIESGO","FUERA DE META")))</f>
        <v/>
      </c>
    </row>
    <row r="10">
      <c r="A10" s="46" t="n">
        <v>6</v>
      </c>
      <c r="B10" s="17" t="inlineStr">
        <is>
          <t>INCIDENCIAS DE NÓMINA</t>
        </is>
      </c>
      <c r="C10" s="17" t="inlineStr">
        <is>
          <t>CASOS</t>
        </is>
      </c>
      <c r="D10" s="17" t="inlineStr">
        <is>
          <t>MENOR ES MEJOR</t>
        </is>
      </c>
      <c r="E10" s="57" t="n">
        <v>3</v>
      </c>
      <c r="F10" s="57" t="n">
        <v>7</v>
      </c>
      <c r="G10" s="57" t="n">
        <v>6</v>
      </c>
      <c r="H10" s="57" t="n">
        <v>5</v>
      </c>
      <c r="I10" s="57" t="n">
        <v>5</v>
      </c>
      <c r="J10" s="57" t="n">
        <v>4</v>
      </c>
      <c r="K10" s="57" t="n">
        <v>3</v>
      </c>
      <c r="L10" s="57" t="n"/>
      <c r="M10" s="57" t="n"/>
      <c r="N10" s="57" t="n"/>
      <c r="O10" s="57" t="n"/>
      <c r="P10" s="57" t="n"/>
      <c r="Q10" s="57" t="n"/>
      <c r="R10" s="58">
        <f>IFERROR(LOOKUP(2,1/(F10:Q10&lt;&gt;""),F10:Q10),"")</f>
        <v/>
      </c>
      <c r="S10" s="43">
        <f>IF(OR(E10="",R10=""),"",IF(D10="MENOR ES MEJOR",IF(R10=0,1,E10/R10),IF(E10=0,"",R10/E10)))</f>
        <v/>
      </c>
      <c r="T10" s="19">
        <f>IF(S10="","",IF(S10&gt;=1,"EN META",IF(S10&gt;=0.9,"EN RIESGO","FUERA DE META")))</f>
        <v/>
      </c>
    </row>
    <row r="11">
      <c r="A11" s="46" t="n">
        <v>7</v>
      </c>
      <c r="B11" s="17" t="inlineStr">
        <is>
          <t>PENDIENTES VENCIDOS</t>
        </is>
      </c>
      <c r="C11" s="17" t="inlineStr">
        <is>
          <t>CASOS</t>
        </is>
      </c>
      <c r="D11" s="17" t="inlineStr">
        <is>
          <t>MENOR ES MEJOR</t>
        </is>
      </c>
      <c r="E11" s="57" t="n">
        <v>5</v>
      </c>
      <c r="F11" s="57" t="n">
        <v>12</v>
      </c>
      <c r="G11" s="57" t="n">
        <v>11</v>
      </c>
      <c r="H11" s="57" t="n">
        <v>9</v>
      </c>
      <c r="I11" s="57" t="n">
        <v>8</v>
      </c>
      <c r="J11" s="57" t="n">
        <v>7</v>
      </c>
      <c r="K11" s="57" t="n">
        <v>6</v>
      </c>
      <c r="L11" s="57" t="n"/>
      <c r="M11" s="57" t="n"/>
      <c r="N11" s="57" t="n"/>
      <c r="O11" s="57" t="n"/>
      <c r="P11" s="57" t="n"/>
      <c r="Q11" s="57" t="n"/>
      <c r="R11" s="58">
        <f>IFERROR(LOOKUP(2,1/(F11:Q11&lt;&gt;""),F11:Q11),"")</f>
        <v/>
      </c>
      <c r="S11" s="43">
        <f>IF(OR(E11="",R11=""),"",IF(D11="MENOR ES MEJOR",IF(R11=0,1,E11/R11),IF(E11=0,"",R11/E11)))</f>
        <v/>
      </c>
      <c r="T11" s="19">
        <f>IF(S11="","",IF(S11&gt;=1,"EN META",IF(S11&gt;=0.9,"EN RIESGO","FUERA DE META")))</f>
        <v/>
      </c>
    </row>
    <row r="12">
      <c r="A12" s="46" t="n">
        <v>8</v>
      </c>
      <c r="B12" s="17" t="inlineStr">
        <is>
          <t>AVANCE PROMEDIO DE PROYECTOS</t>
        </is>
      </c>
      <c r="C12" s="17" t="inlineStr">
        <is>
          <t>%</t>
        </is>
      </c>
      <c r="D12" s="17" t="inlineStr">
        <is>
          <t>MAYOR ES MEJOR</t>
        </is>
      </c>
      <c r="E12" s="57" t="n">
        <v>60</v>
      </c>
      <c r="F12" s="57" t="n">
        <v>38</v>
      </c>
      <c r="G12" s="57" t="n">
        <v>41</v>
      </c>
      <c r="H12" s="57" t="n">
        <v>44</v>
      </c>
      <c r="I12" s="57" t="n">
        <v>46</v>
      </c>
      <c r="J12" s="57" t="n">
        <v>49</v>
      </c>
      <c r="K12" s="57" t="n">
        <v>52</v>
      </c>
      <c r="L12" s="57" t="n"/>
      <c r="M12" s="57" t="n"/>
      <c r="N12" s="57" t="n"/>
      <c r="O12" s="57" t="n"/>
      <c r="P12" s="57" t="n"/>
      <c r="Q12" s="57" t="n"/>
      <c r="R12" s="58">
        <f>IFERROR(LOOKUP(2,1/(F12:Q12&lt;&gt;""),F12:Q12),"")</f>
        <v/>
      </c>
      <c r="S12" s="43">
        <f>IF(OR(E12="",R12=""),"",IF(D12="MENOR ES MEJOR",IF(R12=0,1,E12/R12),IF(E12=0,"",R12/E12)))</f>
        <v/>
      </c>
      <c r="T12" s="19">
        <f>IF(S12="","",IF(S12&gt;=1,"EN META",IF(S12&gt;=0.9,"EN RIESGO","FUERA DE META")))</f>
        <v/>
      </c>
    </row>
    <row r="13">
      <c r="A13" s="46" t="n">
        <v>9</v>
      </c>
      <c r="B13" s="17" t="n"/>
      <c r="C13" s="17" t="n"/>
      <c r="D13" s="1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8">
        <f>IFERROR(LOOKUP(2,1/(F13:Q13&lt;&gt;""),F13:Q13),"")</f>
        <v/>
      </c>
      <c r="S13" s="43">
        <f>IF(OR(E13="",R13=""),"",IF(D13="MENOR ES MEJOR",IF(R13=0,1,E13/R13),IF(E13=0,"",R13/E13)))</f>
        <v/>
      </c>
      <c r="T13" s="19">
        <f>IF(S13="","",IF(S13&gt;=1,"EN META",IF(S13&gt;=0.9,"EN RIESGO","FUERA DE META")))</f>
        <v/>
      </c>
    </row>
    <row r="14">
      <c r="A14" s="46" t="n">
        <v>10</v>
      </c>
      <c r="B14" s="17" t="n"/>
      <c r="C14" s="17" t="n"/>
      <c r="D14" s="1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8">
        <f>IFERROR(LOOKUP(2,1/(F14:Q14&lt;&gt;""),F14:Q14),"")</f>
        <v/>
      </c>
      <c r="S14" s="43">
        <f>IF(OR(E14="",R14=""),"",IF(D14="MENOR ES MEJOR",IF(R14=0,1,E14/R14),IF(E14=0,"",R14/E14)))</f>
        <v/>
      </c>
      <c r="T14" s="19">
        <f>IF(S14="","",IF(S14&gt;=1,"EN META",IF(S14&gt;=0.9,"EN RIESGO","FUERA DE META")))</f>
        <v/>
      </c>
    </row>
    <row r="15">
      <c r="A15" s="46" t="n">
        <v>11</v>
      </c>
      <c r="B15" s="17" t="n"/>
      <c r="C15" s="17" t="n"/>
      <c r="D15" s="1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8">
        <f>IFERROR(LOOKUP(2,1/(F15:Q15&lt;&gt;""),F15:Q15),"")</f>
        <v/>
      </c>
      <c r="S15" s="43">
        <f>IF(OR(E15="",R15=""),"",IF(D15="MENOR ES MEJOR",IF(R15=0,1,E15/R15),IF(E15=0,"",R15/E15)))</f>
        <v/>
      </c>
      <c r="T15" s="19">
        <f>IF(S15="","",IF(S15&gt;=1,"EN META",IF(S15&gt;=0.9,"EN RIESGO","FUERA DE META")))</f>
        <v/>
      </c>
    </row>
    <row r="16">
      <c r="A16" s="46" t="n">
        <v>12</v>
      </c>
      <c r="B16" s="17" t="n"/>
      <c r="C16" s="17" t="n"/>
      <c r="D16" s="1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8">
        <f>IFERROR(LOOKUP(2,1/(F16:Q16&lt;&gt;""),F16:Q16),"")</f>
        <v/>
      </c>
      <c r="S16" s="43">
        <f>IF(OR(E16="",R16=""),"",IF(D16="MENOR ES MEJOR",IF(R16=0,1,E16/R16),IF(E16=0,"",R16/E16)))</f>
        <v/>
      </c>
      <c r="T16" s="19">
        <f>IF(S16="","",IF(S16&gt;=1,"EN META",IF(S16&gt;=0.9,"EN RIESGO","FUERA DE META")))</f>
        <v/>
      </c>
    </row>
    <row r="17">
      <c r="A17" s="46" t="n">
        <v>13</v>
      </c>
      <c r="B17" s="17" t="n"/>
      <c r="C17" s="17" t="n"/>
      <c r="D17" s="1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8">
        <f>IFERROR(LOOKUP(2,1/(F17:Q17&lt;&gt;""),F17:Q17),"")</f>
        <v/>
      </c>
      <c r="S17" s="43">
        <f>IF(OR(E17="",R17=""),"",IF(D17="MENOR ES MEJOR",IF(R17=0,1,E17/R17),IF(E17=0,"",R17/E17)))</f>
        <v/>
      </c>
      <c r="T17" s="19">
        <f>IF(S17="","",IF(S17&gt;=1,"EN META",IF(S17&gt;=0.9,"EN RIESGO","FUERA DE META")))</f>
        <v/>
      </c>
    </row>
    <row r="18">
      <c r="A18" s="46" t="n">
        <v>14</v>
      </c>
      <c r="B18" s="17" t="n"/>
      <c r="C18" s="17" t="n"/>
      <c r="D18" s="1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8">
        <f>IFERROR(LOOKUP(2,1/(F18:Q18&lt;&gt;""),F18:Q18),"")</f>
        <v/>
      </c>
      <c r="S18" s="43">
        <f>IF(OR(E18="",R18=""),"",IF(D18="MENOR ES MEJOR",IF(R18=0,1,E18/R18),IF(E18=0,"",R18/E18)))</f>
        <v/>
      </c>
      <c r="T18" s="19">
        <f>IF(S18="","",IF(S18&gt;=1,"EN META",IF(S18&gt;=0.9,"EN RIESGO","FUERA DE META")))</f>
        <v/>
      </c>
    </row>
    <row r="19">
      <c r="A19" s="46" t="n">
        <v>15</v>
      </c>
      <c r="B19" s="17" t="n"/>
      <c r="C19" s="17" t="n"/>
      <c r="D19" s="1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8">
        <f>IFERROR(LOOKUP(2,1/(F19:Q19&lt;&gt;""),F19:Q19),"")</f>
        <v/>
      </c>
      <c r="S19" s="43">
        <f>IF(OR(E19="",R19=""),"",IF(D19="MENOR ES MEJOR",IF(R19=0,1,E19/R19),IF(E19=0,"",R19/E19)))</f>
        <v/>
      </c>
      <c r="T19" s="19">
        <f>IF(S19="","",IF(S19&gt;=1,"EN META",IF(S19&gt;=0.9,"EN RIESGO","FUERA DE META")))</f>
        <v/>
      </c>
    </row>
    <row r="20">
      <c r="A20" s="46" t="n">
        <v>16</v>
      </c>
      <c r="B20" s="17" t="n"/>
      <c r="C20" s="17" t="n"/>
      <c r="D20" s="1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8">
        <f>IFERROR(LOOKUP(2,1/(F20:Q20&lt;&gt;""),F20:Q20),"")</f>
        <v/>
      </c>
      <c r="S20" s="43">
        <f>IF(OR(E20="",R20=""),"",IF(D20="MENOR ES MEJOR",IF(R20=0,1,E20/R20),IF(E20=0,"",R20/E20)))</f>
        <v/>
      </c>
      <c r="T20" s="19">
        <f>IF(S20="","",IF(S20&gt;=1,"EN META",IF(S20&gt;=0.9,"EN RIESGO","FUERA DE META")))</f>
        <v/>
      </c>
    </row>
    <row r="21">
      <c r="A21" s="46" t="n">
        <v>17</v>
      </c>
      <c r="B21" s="17" t="n"/>
      <c r="C21" s="17" t="n"/>
      <c r="D21" s="1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8">
        <f>IFERROR(LOOKUP(2,1/(F21:Q21&lt;&gt;""),F21:Q21),"")</f>
        <v/>
      </c>
      <c r="S21" s="43">
        <f>IF(OR(E21="",R21=""),"",IF(D21="MENOR ES MEJOR",IF(R21=0,1,E21/R21),IF(E21=0,"",R21/E21)))</f>
        <v/>
      </c>
      <c r="T21" s="19">
        <f>IF(S21="","",IF(S21&gt;=1,"EN META",IF(S21&gt;=0.9,"EN RIESGO","FUERA DE META")))</f>
        <v/>
      </c>
    </row>
    <row r="22">
      <c r="A22" s="46" t="n">
        <v>18</v>
      </c>
      <c r="B22" s="17" t="n"/>
      <c r="C22" s="17" t="n"/>
      <c r="D22" s="1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8">
        <f>IFERROR(LOOKUP(2,1/(F22:Q22&lt;&gt;""),F22:Q22),"")</f>
        <v/>
      </c>
      <c r="S22" s="43">
        <f>IF(OR(E22="",R22=""),"",IF(D22="MENOR ES MEJOR",IF(R22=0,1,E22/R22),IF(E22=0,"",R22/E22)))</f>
        <v/>
      </c>
      <c r="T22" s="19">
        <f>IF(S22="","",IF(S22&gt;=1,"EN META",IF(S22&gt;=0.9,"EN RIESGO","FUERA DE META")))</f>
        <v/>
      </c>
    </row>
    <row r="23">
      <c r="A23" s="46" t="n">
        <v>19</v>
      </c>
      <c r="B23" s="17" t="n"/>
      <c r="C23" s="17" t="n"/>
      <c r="D23" s="1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8">
        <f>IFERROR(LOOKUP(2,1/(F23:Q23&lt;&gt;""),F23:Q23),"")</f>
        <v/>
      </c>
      <c r="S23" s="43">
        <f>IF(OR(E23="",R23=""),"",IF(D23="MENOR ES MEJOR",IF(R23=0,1,E23/R23),IF(E23=0,"",R23/E23)))</f>
        <v/>
      </c>
      <c r="T23" s="19">
        <f>IF(S23="","",IF(S23&gt;=1,"EN META",IF(S23&gt;=0.9,"EN RIESGO","FUERA DE META")))</f>
        <v/>
      </c>
    </row>
    <row r="24">
      <c r="A24" s="46" t="n">
        <v>20</v>
      </c>
      <c r="B24" s="17" t="n"/>
      <c r="C24" s="17" t="n"/>
      <c r="D24" s="1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8">
        <f>IFERROR(LOOKUP(2,1/(F24:Q24&lt;&gt;""),F24:Q24),"")</f>
        <v/>
      </c>
      <c r="S24" s="43">
        <f>IF(OR(E24="",R24=""),"",IF(D24="MENOR ES MEJOR",IF(R24=0,1,E24/R24),IF(E24=0,"",R24/E24)))</f>
        <v/>
      </c>
      <c r="T24" s="19">
        <f>IF(S24="","",IF(S24&gt;=1,"EN META",IF(S24&gt;=0.9,"EN RIESGO","FUERA DE META")))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T24"/>
  <mergeCells count="3">
    <mergeCell ref="S1:T2"/>
    <mergeCell ref="A2:R2"/>
    <mergeCell ref="A1:R1"/>
  </mergeCells>
  <conditionalFormatting sqref="T5:T2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1">
    <dataValidation sqref="D5:D24" showDropDown="0" showInputMessage="0" showErrorMessage="0" allowBlank="1" type="list">
      <formula1>=OFFSET('CATÁLOGOS'!$G$5,0,0,MAX(1,COUNTA('CATÁLOGOS'!$G$5:$G$34)),1)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4" customWidth="1" min="8" max="8"/>
    <col width="10" customWidth="1" min="9" max="9"/>
  </cols>
  <sheetData>
    <row r="1" ht="44" customHeight="1">
      <c r="A1" s="22" t="inlineStr">
        <is>
          <t>CATÁLOGOS EDITABLES</t>
        </is>
      </c>
      <c r="G1" s="68" t="inlineStr">
        <is>
          <t>INSERTE SU LOGO
(clic derecho &gt; Insertar imagen)</t>
        </is>
      </c>
      <c r="H1" s="69" t="n"/>
      <c r="I1" s="70" t="n"/>
    </row>
    <row r="2" ht="26" customHeight="1">
      <c r="A2" s="71" t="inlineStr">
        <is>
          <t>Las listas desplegables del formato se alimentan de estas columnas</t>
        </is>
      </c>
      <c r="B2" s="72" t="n"/>
      <c r="C2" s="72" t="n"/>
      <c r="D2" s="72" t="n"/>
      <c r="E2" s="72" t="n"/>
      <c r="F2" s="72" t="n"/>
      <c r="G2" s="73" t="n"/>
      <c r="H2" s="74" t="n"/>
      <c r="I2" s="7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32" customHeight="1">
      <c r="A4" s="4" t="n"/>
      <c r="B4" s="40" t="inlineStr">
        <is>
          <t>RESPONSABLES</t>
        </is>
      </c>
      <c r="C4" s="40" t="inlineStr">
        <is>
          <t>ESTATUS</t>
        </is>
      </c>
      <c r="D4" s="40" t="inlineStr">
        <is>
          <t>PRIORIDAD</t>
        </is>
      </c>
      <c r="E4" s="40" t="inlineStr">
        <is>
          <t>ESTATUS DE DECISIÓN</t>
        </is>
      </c>
      <c r="F4" s="40" t="inlineStr">
        <is>
          <t>ESCALA 1 A 5</t>
        </is>
      </c>
      <c r="G4" s="40" t="inlineStr">
        <is>
          <t>SENTIDO DEL INDICADOR</t>
        </is>
      </c>
      <c r="H4" s="4" t="n"/>
      <c r="I4" s="4" t="n"/>
    </row>
    <row r="5">
      <c r="A5" s="4" t="n"/>
      <c r="B5" s="17" t="inlineStr">
        <is>
          <t>ADMINISTRACIÓN</t>
        </is>
      </c>
      <c r="C5" s="17" t="inlineStr">
        <is>
          <t>PENDIENTE</t>
        </is>
      </c>
      <c r="D5" s="17" t="inlineStr">
        <is>
          <t>ALTA</t>
        </is>
      </c>
      <c r="E5" s="17" t="inlineStr">
        <is>
          <t>PENDIENTE</t>
        </is>
      </c>
      <c r="F5" s="17" t="inlineStr">
        <is>
          <t>1</t>
        </is>
      </c>
      <c r="G5" s="17" t="inlineStr">
        <is>
          <t>MAYOR ES MEJOR</t>
        </is>
      </c>
      <c r="H5" s="4" t="n"/>
      <c r="I5" s="4" t="n"/>
    </row>
    <row r="6">
      <c r="A6" s="4" t="n"/>
      <c r="B6" s="17" t="inlineStr">
        <is>
          <t>COMPRAS</t>
        </is>
      </c>
      <c r="C6" s="17" t="inlineStr">
        <is>
          <t>EN PROCESO</t>
        </is>
      </c>
      <c r="D6" s="17" t="inlineStr">
        <is>
          <t>MEDIA</t>
        </is>
      </c>
      <c r="E6" s="17" t="inlineStr">
        <is>
          <t>APROBADA</t>
        </is>
      </c>
      <c r="F6" s="17" t="inlineStr">
        <is>
          <t>2</t>
        </is>
      </c>
      <c r="G6" s="17" t="inlineStr">
        <is>
          <t>MENOR ES MEJOR</t>
        </is>
      </c>
      <c r="H6" s="4" t="n"/>
      <c r="I6" s="4" t="n"/>
    </row>
    <row r="7">
      <c r="A7" s="4" t="n"/>
      <c r="B7" s="17" t="inlineStr">
        <is>
          <t>FINANZAS</t>
        </is>
      </c>
      <c r="C7" s="17" t="inlineStr">
        <is>
          <t>TERMINADO</t>
        </is>
      </c>
      <c r="D7" s="17" t="inlineStr">
        <is>
          <t>BAJA</t>
        </is>
      </c>
      <c r="E7" s="17" t="inlineStr">
        <is>
          <t>RECHAZADA</t>
        </is>
      </c>
      <c r="F7" s="17" t="inlineStr">
        <is>
          <t>3</t>
        </is>
      </c>
      <c r="G7" s="17" t="n"/>
      <c r="H7" s="4" t="n"/>
      <c r="I7" s="4" t="n"/>
    </row>
    <row r="8">
      <c r="A8" s="4" t="n"/>
      <c r="B8" s="17" t="inlineStr">
        <is>
          <t>RECURSOS HUMANOS</t>
        </is>
      </c>
      <c r="C8" s="17" t="inlineStr">
        <is>
          <t>BLOQUEADO</t>
        </is>
      </c>
      <c r="D8" s="17" t="n"/>
      <c r="E8" s="17" t="inlineStr">
        <is>
          <t>APLAZADA</t>
        </is>
      </c>
      <c r="F8" s="17" t="inlineStr">
        <is>
          <t>4</t>
        </is>
      </c>
      <c r="G8" s="17" t="n"/>
      <c r="H8" s="4" t="n"/>
      <c r="I8" s="4" t="n"/>
    </row>
    <row r="9">
      <c r="A9" s="4" t="n"/>
      <c r="B9" s="17" t="inlineStr">
        <is>
          <t>OPERACIONES</t>
        </is>
      </c>
      <c r="C9" s="17" t="n"/>
      <c r="D9" s="17" t="n"/>
      <c r="E9" s="17" t="n"/>
      <c r="F9" s="17" t="inlineStr">
        <is>
          <t>5</t>
        </is>
      </c>
      <c r="G9" s="17" t="n"/>
      <c r="H9" s="4" t="n"/>
      <c r="I9" s="4" t="n"/>
    </row>
    <row r="10">
      <c r="A10" s="4" t="n"/>
      <c r="B10" s="17" t="inlineStr">
        <is>
          <t>PROYECTOS</t>
        </is>
      </c>
      <c r="C10" s="17" t="n"/>
      <c r="D10" s="17" t="n"/>
      <c r="E10" s="17" t="n"/>
      <c r="F10" s="17" t="n"/>
      <c r="G10" s="17" t="n"/>
      <c r="H10" s="4" t="n"/>
      <c r="I10" s="4" t="n"/>
    </row>
    <row r="11">
      <c r="A11" s="4" t="n"/>
      <c r="B11" s="17" t="inlineStr">
        <is>
          <t>VENTAS</t>
        </is>
      </c>
      <c r="C11" s="17" t="n"/>
      <c r="D11" s="17" t="n"/>
      <c r="E11" s="17" t="n"/>
      <c r="F11" s="17" t="n"/>
      <c r="G11" s="17" t="n"/>
      <c r="H11" s="4" t="n"/>
      <c r="I11" s="4" t="n"/>
    </row>
    <row r="12">
      <c r="A12" s="4" t="n"/>
      <c r="B12" s="17" t="inlineStr">
        <is>
          <t>DIRECCIÓN</t>
        </is>
      </c>
      <c r="C12" s="17" t="n"/>
      <c r="D12" s="17" t="n"/>
      <c r="E12" s="17" t="n"/>
      <c r="F12" s="17" t="n"/>
      <c r="G12" s="17" t="n"/>
      <c r="H12" s="4" t="n"/>
      <c r="I12" s="4" t="n"/>
    </row>
    <row r="13">
      <c r="A13" s="4" t="n"/>
      <c r="B13" s="17" t="n"/>
      <c r="C13" s="17" t="n"/>
      <c r="D13" s="17" t="n"/>
      <c r="E13" s="17" t="n"/>
      <c r="F13" s="17" t="n"/>
      <c r="G13" s="17" t="n"/>
      <c r="H13" s="4" t="n"/>
      <c r="I13" s="4" t="n"/>
    </row>
    <row r="14">
      <c r="A14" s="4" t="n"/>
      <c r="B14" s="17" t="n"/>
      <c r="C14" s="17" t="n"/>
      <c r="D14" s="17" t="n"/>
      <c r="E14" s="17" t="n"/>
      <c r="F14" s="17" t="n"/>
      <c r="G14" s="17" t="n"/>
      <c r="H14" s="4" t="n"/>
      <c r="I14" s="4" t="n"/>
    </row>
    <row r="15">
      <c r="A15" s="4" t="n"/>
      <c r="B15" s="17" t="n"/>
      <c r="C15" s="17" t="n"/>
      <c r="D15" s="17" t="n"/>
      <c r="E15" s="17" t="n"/>
      <c r="F15" s="17" t="n"/>
      <c r="G15" s="17" t="n"/>
      <c r="H15" s="4" t="n"/>
      <c r="I15" s="4" t="n"/>
    </row>
    <row r="16">
      <c r="A16" s="4" t="n"/>
      <c r="B16" s="17" t="n"/>
      <c r="C16" s="17" t="n"/>
      <c r="D16" s="17" t="n"/>
      <c r="E16" s="17" t="n"/>
      <c r="F16" s="17" t="n"/>
      <c r="G16" s="17" t="n"/>
      <c r="H16" s="4" t="n"/>
      <c r="I16" s="4" t="n"/>
    </row>
    <row r="17">
      <c r="A17" s="4" t="n"/>
      <c r="B17" s="17" t="n"/>
      <c r="C17" s="17" t="n"/>
      <c r="D17" s="17" t="n"/>
      <c r="E17" s="17" t="n"/>
      <c r="F17" s="17" t="n"/>
      <c r="G17" s="17" t="n"/>
      <c r="H17" s="4" t="n"/>
      <c r="I17" s="4" t="n"/>
    </row>
    <row r="18">
      <c r="A18" s="4" t="n"/>
      <c r="B18" s="17" t="n"/>
      <c r="C18" s="17" t="n"/>
      <c r="D18" s="17" t="n"/>
      <c r="E18" s="17" t="n"/>
      <c r="F18" s="17" t="n"/>
      <c r="G18" s="17" t="n"/>
      <c r="H18" s="4" t="n"/>
      <c r="I18" s="4" t="n"/>
    </row>
    <row r="19">
      <c r="A19" s="4" t="n"/>
      <c r="B19" s="17" t="n"/>
      <c r="C19" s="17" t="n"/>
      <c r="D19" s="17" t="n"/>
      <c r="E19" s="17" t="n"/>
      <c r="F19" s="17" t="n"/>
      <c r="G19" s="17" t="n"/>
      <c r="H19" s="4" t="n"/>
      <c r="I19" s="4" t="n"/>
    </row>
    <row r="20">
      <c r="A20" s="4" t="n"/>
      <c r="B20" s="17" t="n"/>
      <c r="C20" s="17" t="n"/>
      <c r="D20" s="17" t="n"/>
      <c r="E20" s="17" t="n"/>
      <c r="F20" s="17" t="n"/>
      <c r="G20" s="17" t="n"/>
      <c r="H20" s="4" t="n"/>
      <c r="I20" s="4" t="n"/>
    </row>
    <row r="21">
      <c r="A21" s="4" t="n"/>
      <c r="B21" s="17" t="n"/>
      <c r="C21" s="17" t="n"/>
      <c r="D21" s="17" t="n"/>
      <c r="E21" s="17" t="n"/>
      <c r="F21" s="17" t="n"/>
      <c r="G21" s="17" t="n"/>
      <c r="H21" s="4" t="n"/>
      <c r="I21" s="4" t="n"/>
    </row>
    <row r="22">
      <c r="A22" s="4" t="n"/>
      <c r="B22" s="17" t="n"/>
      <c r="C22" s="17" t="n"/>
      <c r="D22" s="17" t="n"/>
      <c r="E22" s="17" t="n"/>
      <c r="F22" s="17" t="n"/>
      <c r="G22" s="17" t="n"/>
      <c r="H22" s="4" t="n"/>
      <c r="I22" s="4" t="n"/>
    </row>
    <row r="23">
      <c r="A23" s="4" t="n"/>
      <c r="B23" s="17" t="n"/>
      <c r="C23" s="17" t="n"/>
      <c r="D23" s="17" t="n"/>
      <c r="E23" s="17" t="n"/>
      <c r="F23" s="17" t="n"/>
      <c r="G23" s="17" t="n"/>
      <c r="H23" s="4" t="n"/>
      <c r="I23" s="4" t="n"/>
    </row>
    <row r="24">
      <c r="A24" s="4" t="n"/>
      <c r="B24" s="17" t="n"/>
      <c r="C24" s="17" t="n"/>
      <c r="D24" s="17" t="n"/>
      <c r="E24" s="17" t="n"/>
      <c r="F24" s="17" t="n"/>
      <c r="G24" s="17" t="n"/>
      <c r="H24" s="4" t="n"/>
      <c r="I24" s="4" t="n"/>
    </row>
    <row r="25">
      <c r="A25" s="4" t="n"/>
      <c r="B25" s="17" t="n"/>
      <c r="C25" s="17" t="n"/>
      <c r="D25" s="17" t="n"/>
      <c r="E25" s="17" t="n"/>
      <c r="F25" s="17" t="n"/>
      <c r="G25" s="17" t="n"/>
      <c r="H25" s="4" t="n"/>
      <c r="I25" s="4" t="n"/>
    </row>
    <row r="26">
      <c r="A26" s="4" t="n"/>
      <c r="B26" s="17" t="n"/>
      <c r="C26" s="17" t="n"/>
      <c r="D26" s="17" t="n"/>
      <c r="E26" s="17" t="n"/>
      <c r="F26" s="17" t="n"/>
      <c r="G26" s="17" t="n"/>
      <c r="H26" s="4" t="n"/>
      <c r="I26" s="4" t="n"/>
    </row>
    <row r="27">
      <c r="A27" s="4" t="n"/>
      <c r="B27" s="17" t="n"/>
      <c r="C27" s="17" t="n"/>
      <c r="D27" s="17" t="n"/>
      <c r="E27" s="17" t="n"/>
      <c r="F27" s="17" t="n"/>
      <c r="G27" s="17" t="n"/>
      <c r="H27" s="4" t="n"/>
      <c r="I27" s="4" t="n"/>
    </row>
    <row r="28">
      <c r="A28" s="4" t="n"/>
      <c r="B28" s="17" t="n"/>
      <c r="C28" s="17" t="n"/>
      <c r="D28" s="17" t="n"/>
      <c r="E28" s="17" t="n"/>
      <c r="F28" s="17" t="n"/>
      <c r="G28" s="17" t="n"/>
      <c r="H28" s="4" t="n"/>
      <c r="I28" s="4" t="n"/>
    </row>
    <row r="29">
      <c r="A29" s="4" t="n"/>
      <c r="B29" s="17" t="n"/>
      <c r="C29" s="17" t="n"/>
      <c r="D29" s="17" t="n"/>
      <c r="E29" s="17" t="n"/>
      <c r="F29" s="17" t="n"/>
      <c r="G29" s="17" t="n"/>
      <c r="H29" s="4" t="n"/>
      <c r="I29" s="4" t="n"/>
    </row>
    <row r="30">
      <c r="A30" s="4" t="n"/>
      <c r="B30" s="17" t="n"/>
      <c r="C30" s="17" t="n"/>
      <c r="D30" s="17" t="n"/>
      <c r="E30" s="17" t="n"/>
      <c r="F30" s="17" t="n"/>
      <c r="G30" s="17" t="n"/>
      <c r="H30" s="4" t="n"/>
      <c r="I30" s="4" t="n"/>
    </row>
    <row r="31">
      <c r="A31" s="4" t="n"/>
      <c r="B31" s="17" t="n"/>
      <c r="C31" s="17" t="n"/>
      <c r="D31" s="17" t="n"/>
      <c r="E31" s="17" t="n"/>
      <c r="F31" s="17" t="n"/>
      <c r="G31" s="17" t="n"/>
      <c r="H31" s="4" t="n"/>
      <c r="I31" s="4" t="n"/>
    </row>
    <row r="32">
      <c r="A32" s="4" t="n"/>
      <c r="B32" s="17" t="n"/>
      <c r="C32" s="17" t="n"/>
      <c r="D32" s="17" t="n"/>
      <c r="E32" s="17" t="n"/>
      <c r="F32" s="17" t="n"/>
      <c r="G32" s="17" t="n"/>
      <c r="H32" s="4" t="n"/>
      <c r="I32" s="4" t="n"/>
    </row>
    <row r="33">
      <c r="A33" s="4" t="n"/>
      <c r="B33" s="17" t="n"/>
      <c r="C33" s="17" t="n"/>
      <c r="D33" s="17" t="n"/>
      <c r="E33" s="17" t="n"/>
      <c r="F33" s="17" t="n"/>
      <c r="G33" s="17" t="n"/>
      <c r="H33" s="4" t="n"/>
      <c r="I33" s="4" t="n"/>
    </row>
    <row r="34">
      <c r="A34" s="4" t="n"/>
      <c r="B34" s="17" t="n"/>
      <c r="C34" s="17" t="n"/>
      <c r="D34" s="17" t="n"/>
      <c r="E34" s="17" t="n"/>
      <c r="F34" s="17" t="n"/>
      <c r="G34" s="17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59" t="inlineStr">
        <is>
          <t>Escribe una opción por renglón, sin dejar espacios en blanco entre ellas.</t>
        </is>
      </c>
      <c r="C36" s="4" t="n"/>
      <c r="D36" s="4" t="n"/>
      <c r="E36" s="4" t="n"/>
      <c r="F36" s="4" t="n"/>
      <c r="G36" s="4" t="n"/>
      <c r="H36" s="4" t="n"/>
      <c r="I36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G1:I2"/>
    <mergeCell ref="A2:F2"/>
    <mergeCell ref="A1:F1"/>
  </mergeCell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60" t="inlineStr">
        <is>
          <t>AYUDA Y PREGUNTAS FRECUENTES</t>
        </is>
      </c>
      <c r="E1" s="1" t="n"/>
    </row>
    <row r="2">
      <c r="A2" s="1" t="n"/>
      <c r="B2" s="61" t="inlineStr">
        <is>
          <t>CONTROL OPERATIVO SEMANAL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53" customHeight="1">
      <c r="A6" s="4" t="n"/>
      <c r="B6" s="4" t="n"/>
      <c r="C6" s="62" t="inlineStr">
        <is>
          <t>¿Cómo funcionan los semáforos?</t>
        </is>
      </c>
      <c r="D6" s="63" t="inlineStr">
        <is>
          <t>En actividades, pendientes y decisiones: VENCIDO si la fecha compromiso ya pasó, POR VENCER si faltan 2 días o menos, EN TIEMPO en el resto y CUMPLIDO si está terminado. En proyectos y riesgos se calculan con las reglas explicadas en la hoja de cada uno.</t>
        </is>
      </c>
      <c r="E6" s="4" t="n"/>
    </row>
    <row r="7" ht="38" customHeight="1">
      <c r="A7" s="4" t="n"/>
      <c r="B7" s="4" t="n"/>
      <c r="C7" s="62" t="inlineStr">
        <is>
          <t>¿Cómo se calcula el avance planeado de un proyecto?</t>
        </is>
      </c>
      <c r="D7" s="63" t="inlineStr">
        <is>
          <t>De forma lineal entre la fecha de inicio y la fecha fin planeada, comparada contra la fecha de corte.</t>
        </is>
      </c>
      <c r="E7" s="4" t="n"/>
    </row>
    <row r="8" ht="38" customHeight="1">
      <c r="A8" s="4" t="n"/>
      <c r="B8" s="4" t="n"/>
      <c r="C8" s="62" t="inlineStr">
        <is>
          <t>¿Dónde veo el resumen para mi reporte semanal?</t>
        </is>
      </c>
      <c r="D8" s="63" t="inlineStr">
        <is>
          <t>En la hoja TABLERO hay un texto automático que puedes copiar al reporte semanal para directivos (Word).</t>
        </is>
      </c>
      <c r="E8" s="4" t="n"/>
    </row>
    <row r="9" ht="38" customHeight="1">
      <c r="A9" s="4" t="n"/>
      <c r="B9" s="4" t="n"/>
      <c r="C9" s="62" t="inlineStr">
        <is>
          <t>¿Cuántos renglones puedo capturar?</t>
        </is>
      </c>
      <c r="D9" s="63" t="inlineStr">
        <is>
          <t>200 actividades, 40 proyectos, 150 pendientes, 60 riesgos, 60 decisiones y 20 indicadores con 12 semanas de historia.</t>
        </is>
      </c>
      <c r="E9" s="4" t="n"/>
    </row>
    <row r="10" ht="53" customHeight="1">
      <c r="A10" s="4" t="n"/>
      <c r="B10" s="4" t="n"/>
      <c r="C10" s="62" t="inlineStr">
        <is>
          <t>¿Por qué no puedo escribir en algunas celdas?</t>
        </is>
      </c>
      <c r="D10" s="63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10" s="4" t="n"/>
    </row>
    <row r="11" ht="38" customHeight="1">
      <c r="A11" s="4" t="n"/>
      <c r="B11" s="4" t="n"/>
      <c r="C11" s="62" t="inlineStr">
        <is>
          <t>¿Cómo agrego mi logotipo?</t>
        </is>
      </c>
      <c r="D11" s="63" t="inlineStr">
        <is>
          <t>Haz clic en el recuadro punteado de la esquina superior derecha del formato y usa Insertar &gt; Imágenes. Ajusta el tamaño sin salirte del recuadro.</t>
        </is>
      </c>
      <c r="E11" s="4" t="n"/>
    </row>
    <row r="12" ht="38" customHeight="1">
      <c r="A12" s="4" t="n"/>
      <c r="B12" s="4" t="n"/>
      <c r="C12" s="62" t="inlineStr">
        <is>
          <t>¿Cómo lo imprimo o lo convierto a PDF?</t>
        </is>
      </c>
      <c r="D12" s="63" t="inlineStr">
        <is>
          <t>Archivo &gt; Imprimir (ya está ajustado a una hoja de ancho). Para PDF elige 'Microsoft Print to PDF' o Archivo &gt; Exportar &gt; PDF.</t>
        </is>
      </c>
      <c r="E12" s="4" t="n"/>
    </row>
    <row r="13" ht="38" customHeight="1">
      <c r="A13" s="4" t="n"/>
      <c r="B13" s="4" t="n"/>
      <c r="C13" s="62" t="inlineStr">
        <is>
          <t>¿Con qué versiones de Excel funciona?</t>
        </is>
      </c>
      <c r="D13" s="63" t="inlineStr">
        <is>
          <t>Excel 2016, 2019, 2021 y Microsoft 365 (Windows y Mac). Funciona en LibreOffice y Google Sheets, aunque algunas gráficas y formatos pueden verse distintos.</t>
        </is>
      </c>
      <c r="E13" s="4" t="n"/>
    </row>
    <row r="14" ht="38" customHeight="1">
      <c r="A14" s="4" t="n"/>
      <c r="B14" s="4" t="n"/>
      <c r="C14" s="62" t="inlineStr">
        <is>
          <t>¿Por qué la letra se ve diferente?</t>
        </is>
      </c>
      <c r="D14" s="63" t="inlineStr">
        <is>
          <t>El diseño usa la fuente Abadi, incluida en Microsoft 365. Si tu versión no la tiene, Excel la sustituye por otra; no afecta el funcionamiento.</t>
        </is>
      </c>
      <c r="E14" s="4" t="n"/>
    </row>
    <row r="15" ht="38" customHeight="1">
      <c r="A15" s="4" t="n"/>
      <c r="B15" s="4" t="n"/>
      <c r="C15" s="62" t="inlineStr">
        <is>
          <t>¿Puedo usarlo en varias empresas o por varios años?</t>
        </is>
      </c>
      <c r="D15" s="63" t="inlineStr">
        <is>
          <t>Sí. Guarda una copia del archivo por empresa o por periodo (Archivo &gt; Guardar como) y deja el original en blanco como plantilla maestra.</t>
        </is>
      </c>
      <c r="E15" s="4" t="n"/>
    </row>
    <row r="16">
      <c r="A16" s="4" t="n"/>
      <c r="B16" s="4" t="n"/>
      <c r="C16" s="4" t="n"/>
      <c r="D16" s="4" t="n"/>
      <c r="E16" s="4" t="n"/>
    </row>
    <row r="17" ht="24" customHeight="1">
      <c r="A17" s="4" t="n"/>
      <c r="B17" s="9" t="inlineStr">
        <is>
          <t>GLOSARIO</t>
        </is>
      </c>
      <c r="C17" s="10" t="n"/>
      <c r="D17" s="10" t="n"/>
      <c r="E17" s="4" t="n"/>
    </row>
    <row r="18" ht="36" customHeight="1">
      <c r="A18" s="4" t="n"/>
      <c r="B18" s="4" t="n"/>
      <c r="C18" s="64" t="inlineStr">
        <is>
          <t>SEMÁFORO</t>
        </is>
      </c>
      <c r="D18" s="65" t="inlineStr">
        <is>
          <t>Indicador visual de estado: verde (en control), ámbar (atención) y coral/rojo (acción inmediata).</t>
        </is>
      </c>
      <c r="E18" s="4" t="n"/>
    </row>
    <row r="19" ht="21" customHeight="1">
      <c r="A19" s="4" t="n"/>
      <c r="B19" s="4" t="n"/>
      <c r="C19" s="64" t="inlineStr">
        <is>
          <t>NIVEL DE RIESGO</t>
        </is>
      </c>
      <c r="D19" s="65" t="inlineStr">
        <is>
          <t>Probabilidad x impacto (1 a 25). Alto &gt;= 15, medio 8 a 14, bajo &lt; 8.</t>
        </is>
      </c>
      <c r="E19" s="4" t="n"/>
    </row>
    <row r="20" ht="21" customHeight="1">
      <c r="A20" s="4" t="n"/>
      <c r="B20" s="4" t="n"/>
      <c r="C20" s="64" t="inlineStr">
        <is>
          <t>AVANCE PLANEADO</t>
        </is>
      </c>
      <c r="D20" s="65" t="inlineStr">
        <is>
          <t>Porcentaje que debería llevar el proyecto según calendario.</t>
        </is>
      </c>
      <c r="E20" s="4" t="n"/>
    </row>
    <row r="21" ht="21" customHeight="1">
      <c r="A21" s="4" t="n"/>
      <c r="B21" s="4" t="n"/>
      <c r="C21" s="64" t="inlineStr">
        <is>
          <t>DESVIACIÓN</t>
        </is>
      </c>
      <c r="D21" s="65" t="inlineStr">
        <is>
          <t>Avance real - avance planeado.</t>
        </is>
      </c>
      <c r="E21" s="4" t="n"/>
    </row>
    <row r="22" ht="21" customHeight="1">
      <c r="A22" s="4" t="n"/>
      <c r="B22" s="4" t="n"/>
      <c r="C22" s="64" t="inlineStr">
        <is>
          <t>CUMPLIMIENTO</t>
        </is>
      </c>
      <c r="D22" s="65" t="inlineStr">
        <is>
          <t>Resultado real / meta del indicador.</t>
        </is>
      </c>
      <c r="E22" s="4" t="n"/>
    </row>
    <row r="23">
      <c r="A23" s="4" t="n"/>
      <c r="B23" s="4" t="n"/>
      <c r="C23" s="4" t="n"/>
      <c r="D23" s="4" t="n"/>
      <c r="E23" s="4" t="n"/>
    </row>
    <row r="24" ht="24" customHeight="1">
      <c r="A24" s="4" t="n"/>
      <c r="B24" s="9" t="inlineStr">
        <is>
          <t>LISTA DE VERIFICACIÓN (marca ☑ al completar)</t>
        </is>
      </c>
      <c r="C24" s="10" t="n"/>
      <c r="D24" s="10" t="n"/>
      <c r="E24" s="4" t="n"/>
    </row>
    <row r="25" ht="20" customHeight="1">
      <c r="A25" s="4" t="n"/>
      <c r="B25" s="66" t="inlineStr">
        <is>
          <t>☐</t>
        </is>
      </c>
      <c r="C25" s="67" t="inlineStr">
        <is>
          <t>Fecha de corte actualizada</t>
        </is>
      </c>
      <c r="E25" s="4" t="n"/>
    </row>
    <row r="26" ht="20" customHeight="1">
      <c r="A26" s="4" t="n"/>
      <c r="B26" s="66" t="inlineStr">
        <is>
          <t>☐</t>
        </is>
      </c>
      <c r="C26" s="67" t="inlineStr">
        <is>
          <t>Actividades de la semana capturadas y con estatus</t>
        </is>
      </c>
      <c r="E26" s="4" t="n"/>
    </row>
    <row r="27" ht="20" customHeight="1">
      <c r="A27" s="4" t="n"/>
      <c r="B27" s="66" t="inlineStr">
        <is>
          <t>☐</t>
        </is>
      </c>
      <c r="C27" s="67" t="inlineStr">
        <is>
          <t>Pendientes con responsable y fecha</t>
        </is>
      </c>
      <c r="E27" s="4" t="n"/>
    </row>
    <row r="28" ht="20" customHeight="1">
      <c r="A28" s="4" t="n"/>
      <c r="B28" s="66" t="inlineStr">
        <is>
          <t>☐</t>
        </is>
      </c>
      <c r="C28" s="67" t="inlineStr">
        <is>
          <t>Riesgos nuevos evaluados</t>
        </is>
      </c>
      <c r="E28" s="4" t="n"/>
    </row>
    <row r="29" ht="20" customHeight="1">
      <c r="A29" s="4" t="n"/>
      <c r="B29" s="66" t="inlineStr">
        <is>
          <t>☐</t>
        </is>
      </c>
      <c r="C29" s="67" t="inlineStr">
        <is>
          <t>Decisiones requeridas listas para la junta</t>
        </is>
      </c>
      <c r="E29" s="4" t="n"/>
    </row>
    <row r="30" ht="20" customHeight="1">
      <c r="A30" s="4" t="n"/>
      <c r="B30" s="66" t="inlineStr">
        <is>
          <t>☐</t>
        </is>
      </c>
      <c r="C30" s="67" t="inlineStr">
        <is>
          <t>Indicadores de la semana capturados</t>
        </is>
      </c>
      <c r="E30" s="4" t="n"/>
    </row>
    <row r="31" ht="20" customHeight="1">
      <c r="A31" s="4" t="n"/>
      <c r="B31" s="66" t="inlineStr">
        <is>
          <t>☐</t>
        </is>
      </c>
      <c r="C31" s="67" t="inlineStr">
        <is>
          <t>Reporte semanal enviado</t>
        </is>
      </c>
      <c r="E31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9">
    <mergeCell ref="C29:D29"/>
    <mergeCell ref="C30:D30"/>
    <mergeCell ref="B1:D1"/>
    <mergeCell ref="C25:D25"/>
    <mergeCell ref="C27:D27"/>
    <mergeCell ref="C28:D28"/>
    <mergeCell ref="C31:D31"/>
    <mergeCell ref="C26:D26"/>
    <mergeCell ref="B2:D2"/>
  </mergeCells>
  <dataValidations count="1">
    <dataValidation sqref="B25 B26 B27 B28 B29 B30 B31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2026-10-07T22:13:45Z</dcterms:created>
  <dcterms:modified xmlns:dcterms="http://purl.org/dc/terms/" xmlns:xsi="http://www.w3.org/2001/XMLSchema-instance" xsi:type="dcterms:W3CDTF">2026-10-07T22:13:47Z</dcterms:modified>
</cp:coreProperties>
</file>